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AquestLlibreDeTreball"/>
  <mc:AlternateContent xmlns:mc="http://schemas.openxmlformats.org/markup-compatibility/2006">
    <mc:Choice Requires="x15">
      <x15ac:absPath xmlns:x15ac="http://schemas.microsoft.com/office/spreadsheetml/2010/11/ac" url="https://indeeptech.sharepoint.com/sites/Projectes/Documentos compartidos/General/0110. Projectes clients/00_Plantilla/PRXXX_Estructura carpeta projecte/13. Disseny visió/Disseny mecànic/"/>
    </mc:Choice>
  </mc:AlternateContent>
  <xr:revisionPtr revIDLastSave="3407" documentId="13_ncr:1_{189A2528-DA6B-409F-BB3C-A0B016229E48}" xr6:coauthVersionLast="47" xr6:coauthVersionMax="47" xr10:uidLastSave="{8941AE46-572B-441F-AC25-92FE7D3BC70E}"/>
  <bookViews>
    <workbookView xWindow="-120" yWindow="-120" windowWidth="29040" windowHeight="15720" tabRatio="601" xr2:uid="{00000000-000D-0000-FFFF-FFFF00000000}"/>
  </bookViews>
  <sheets>
    <sheet name="Habilitar macros" sheetId="10" r:id="rId1"/>
    <sheet name="Definició setup" sheetId="1" state="veryHidden" r:id="rId2"/>
    <sheet name="Càmeres Matricials" sheetId="2" state="veryHidden" r:id="rId3"/>
    <sheet name="Càmeres Lineals" sheetId="8" state="veryHidden" r:id="rId4"/>
    <sheet name="Òptiques" sheetId="3" state="veryHidden" r:id="rId5"/>
    <sheet name="Calcul setup" sheetId="5" state="veryHidden" r:id="rId6"/>
    <sheet name="Constants" sheetId="4" state="veryHidden" r:id="rId7"/>
    <sheet name="Filtre Cameres" sheetId="7" state="veryHidden" r:id="rId8"/>
    <sheet name="Filtre Òptiques" sheetId="9" state="very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4" i="7" l="1"/>
  <c r="T14" i="7" s="1"/>
  <c r="Q14" i="7"/>
  <c r="O14" i="7"/>
  <c r="M14" i="7"/>
  <c r="L14" i="7"/>
  <c r="N14" i="7" s="1"/>
  <c r="P14" i="7" s="1"/>
  <c r="R13" i="7"/>
  <c r="T13" i="7" s="1"/>
  <c r="Q13" i="7"/>
  <c r="O13" i="7"/>
  <c r="M13" i="7"/>
  <c r="L13" i="7"/>
  <c r="N13" i="7" s="1"/>
  <c r="P13" i="7" s="1"/>
  <c r="R12" i="7"/>
  <c r="Q12" i="7"/>
  <c r="O12" i="7"/>
  <c r="N12" i="7"/>
  <c r="P12" i="7" s="1"/>
  <c r="M12" i="7"/>
  <c r="L12" i="7"/>
  <c r="R11" i="7"/>
  <c r="Q11" i="7"/>
  <c r="O11" i="7"/>
  <c r="M11" i="7"/>
  <c r="L11" i="7"/>
  <c r="N11" i="7" s="1"/>
  <c r="P11" i="7" s="1"/>
  <c r="R10" i="7"/>
  <c r="Q10" i="7"/>
  <c r="O10" i="7"/>
  <c r="N10" i="7"/>
  <c r="P10" i="7" s="1"/>
  <c r="M10" i="7"/>
  <c r="L10" i="7"/>
  <c r="R9" i="7"/>
  <c r="Q9" i="7"/>
  <c r="O9" i="7"/>
  <c r="M9" i="7"/>
  <c r="L9" i="7"/>
  <c r="N9" i="7" s="1"/>
  <c r="P9" i="7" s="1"/>
  <c r="R8" i="7"/>
  <c r="Q8" i="7"/>
  <c r="O8" i="7"/>
  <c r="N8" i="7"/>
  <c r="P8" i="7" s="1"/>
  <c r="M8" i="7"/>
  <c r="L8" i="7"/>
  <c r="R7" i="7"/>
  <c r="Q7" i="7"/>
  <c r="O7" i="7"/>
  <c r="M7" i="7"/>
  <c r="L7" i="7"/>
  <c r="N7" i="7" s="1"/>
  <c r="P7" i="7" s="1"/>
  <c r="R6" i="7"/>
  <c r="Q6" i="7"/>
  <c r="O6" i="7"/>
  <c r="M6" i="7"/>
  <c r="L6" i="7"/>
  <c r="N6" i="7" s="1"/>
  <c r="P6" i="7" s="1"/>
  <c r="S5" i="7"/>
  <c r="R5" i="7"/>
  <c r="Q5" i="7"/>
  <c r="O5" i="7"/>
  <c r="M5" i="7"/>
  <c r="L5" i="7"/>
  <c r="N5" i="7" s="1"/>
  <c r="P5" i="7" s="1"/>
  <c r="S4" i="7"/>
  <c r="R4" i="7"/>
  <c r="Q4" i="7"/>
  <c r="O4" i="7"/>
  <c r="M4" i="7"/>
  <c r="N4" i="7" s="1"/>
  <c r="P4" i="7" s="1"/>
  <c r="L4" i="7"/>
  <c r="R3" i="7"/>
  <c r="Q3" i="7"/>
  <c r="O3" i="7"/>
  <c r="M3" i="7"/>
  <c r="L3" i="7"/>
  <c r="N3" i="7" s="1"/>
  <c r="P3" i="7" s="1"/>
  <c r="R2" i="7"/>
  <c r="Q2" i="7"/>
  <c r="O2" i="7"/>
  <c r="M2" i="7"/>
  <c r="L2" i="7"/>
  <c r="N2" i="7" s="1"/>
  <c r="P2" i="7" s="1"/>
  <c r="C19" i="5"/>
  <c r="C15" i="1" s="1"/>
  <c r="D19" i="5"/>
  <c r="C16" i="1" s="1"/>
  <c r="E19" i="5"/>
  <c r="F19" i="5"/>
  <c r="G19" i="5"/>
  <c r="H19" i="5"/>
  <c r="I19" i="5"/>
  <c r="J19" i="5"/>
  <c r="B19" i="5"/>
  <c r="C18" i="5"/>
  <c r="D18" i="5"/>
  <c r="E18" i="5"/>
  <c r="F18" i="5"/>
  <c r="G18" i="5"/>
  <c r="H18" i="5"/>
  <c r="I18" i="5"/>
  <c r="J18" i="5"/>
  <c r="B18" i="5"/>
  <c r="C3" i="5"/>
  <c r="B3" i="5"/>
  <c r="D3" i="5"/>
  <c r="D22" i="5"/>
  <c r="B14" i="5"/>
  <c r="B13" i="5"/>
  <c r="E37" i="3"/>
  <c r="E38" i="3"/>
  <c r="B8" i="1"/>
  <c r="Q7" i="8"/>
  <c r="Q3" i="8"/>
  <c r="Q8" i="8"/>
  <c r="Q9" i="8"/>
  <c r="Q10" i="8"/>
  <c r="Q11" i="8"/>
  <c r="Q12" i="8"/>
  <c r="Q13" i="8"/>
  <c r="Q14" i="8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Q41" i="8"/>
  <c r="Q42" i="8"/>
  <c r="Q43" i="8"/>
  <c r="Q44" i="8"/>
  <c r="Q45" i="8"/>
  <c r="Q46" i="8"/>
  <c r="Q47" i="8"/>
  <c r="Q48" i="8"/>
  <c r="Q49" i="8"/>
  <c r="Q50" i="8"/>
  <c r="Q51" i="8"/>
  <c r="Q52" i="8"/>
  <c r="Q53" i="8"/>
  <c r="Q54" i="8"/>
  <c r="Q55" i="8"/>
  <c r="Q56" i="8"/>
  <c r="Q57" i="8"/>
  <c r="Q58" i="8"/>
  <c r="Q59" i="8"/>
  <c r="Q60" i="8"/>
  <c r="Q61" i="8"/>
  <c r="Q62" i="8"/>
  <c r="Q63" i="8"/>
  <c r="Q64" i="8"/>
  <c r="Q65" i="8"/>
  <c r="Q66" i="8"/>
  <c r="Q67" i="8"/>
  <c r="Q68" i="8"/>
  <c r="Q69" i="8"/>
  <c r="Q70" i="8"/>
  <c r="Q71" i="8"/>
  <c r="Q72" i="8"/>
  <c r="Q73" i="8"/>
  <c r="Q74" i="8"/>
  <c r="Q75" i="8"/>
  <c r="Q76" i="8"/>
  <c r="Q77" i="8"/>
  <c r="Q78" i="8"/>
  <c r="Q79" i="8"/>
  <c r="Q80" i="8"/>
  <c r="Q81" i="8"/>
  <c r="Q82" i="8"/>
  <c r="Q83" i="8"/>
  <c r="Q84" i="8"/>
  <c r="Q85" i="8"/>
  <c r="Q86" i="8"/>
  <c r="Q87" i="8"/>
  <c r="Q88" i="8"/>
  <c r="Q89" i="8"/>
  <c r="Q90" i="8"/>
  <c r="Q91" i="8"/>
  <c r="Q92" i="8"/>
  <c r="Q93" i="8"/>
  <c r="Q94" i="8"/>
  <c r="Q95" i="8"/>
  <c r="Q96" i="8"/>
  <c r="Q97" i="8"/>
  <c r="Q98" i="8"/>
  <c r="Q99" i="8"/>
  <c r="Q100" i="8"/>
  <c r="Q101" i="8"/>
  <c r="Q102" i="8"/>
  <c r="Q103" i="8"/>
  <c r="Q104" i="8"/>
  <c r="Q105" i="8"/>
  <c r="Q106" i="8"/>
  <c r="Q107" i="8"/>
  <c r="Q108" i="8"/>
  <c r="Q109" i="8"/>
  <c r="Q110" i="8"/>
  <c r="Q111" i="8"/>
  <c r="Q112" i="8"/>
  <c r="Q113" i="8"/>
  <c r="Q114" i="8"/>
  <c r="Q115" i="8"/>
  <c r="Q116" i="8"/>
  <c r="Q117" i="8"/>
  <c r="Q118" i="8"/>
  <c r="Q119" i="8"/>
  <c r="Q120" i="8"/>
  <c r="Q121" i="8"/>
  <c r="Q122" i="8"/>
  <c r="Q123" i="8"/>
  <c r="Q124" i="8"/>
  <c r="Q125" i="8"/>
  <c r="Q126" i="8"/>
  <c r="Q127" i="8"/>
  <c r="Q128" i="8"/>
  <c r="Q129" i="8"/>
  <c r="Q130" i="8"/>
  <c r="Q131" i="8"/>
  <c r="Q132" i="8"/>
  <c r="Q133" i="8"/>
  <c r="Q134" i="8"/>
  <c r="Q135" i="8"/>
  <c r="Q136" i="8"/>
  <c r="Q137" i="8"/>
  <c r="Q138" i="8"/>
  <c r="Q139" i="8"/>
  <c r="Q140" i="8"/>
  <c r="Q141" i="8"/>
  <c r="Q142" i="8"/>
  <c r="Q143" i="8"/>
  <c r="Q144" i="8"/>
  <c r="Q145" i="8"/>
  <c r="Q146" i="8"/>
  <c r="Q147" i="8"/>
  <c r="Q148" i="8"/>
  <c r="Q149" i="8"/>
  <c r="Q150" i="8"/>
  <c r="Q151" i="8"/>
  <c r="Q152" i="8"/>
  <c r="Q153" i="8"/>
  <c r="Q154" i="8"/>
  <c r="Q155" i="8"/>
  <c r="Q156" i="8"/>
  <c r="Q157" i="8"/>
  <c r="Q158" i="8"/>
  <c r="Q159" i="8"/>
  <c r="Q160" i="8"/>
  <c r="Q161" i="8"/>
  <c r="Q162" i="8"/>
  <c r="Q163" i="8"/>
  <c r="Q164" i="8"/>
  <c r="Q165" i="8"/>
  <c r="Q166" i="8"/>
  <c r="Q167" i="8"/>
  <c r="Q168" i="8"/>
  <c r="Q169" i="8"/>
  <c r="Q170" i="8"/>
  <c r="Q171" i="8"/>
  <c r="Q172" i="8"/>
  <c r="Q173" i="8"/>
  <c r="Q174" i="8"/>
  <c r="Q175" i="8"/>
  <c r="Q176" i="8"/>
  <c r="Q177" i="8"/>
  <c r="Q178" i="8"/>
  <c r="Q179" i="8"/>
  <c r="Q180" i="8"/>
  <c r="Q181" i="8"/>
  <c r="Q182" i="8"/>
  <c r="Q183" i="8"/>
  <c r="Q184" i="8"/>
  <c r="Q185" i="8"/>
  <c r="Q186" i="8"/>
  <c r="Q187" i="8"/>
  <c r="Q188" i="8"/>
  <c r="Q189" i="8"/>
  <c r="Q190" i="8"/>
  <c r="Q191" i="8"/>
  <c r="Q192" i="8"/>
  <c r="Q193" i="8"/>
  <c r="Q194" i="8"/>
  <c r="Q195" i="8"/>
  <c r="Q196" i="8"/>
  <c r="Q197" i="8"/>
  <c r="Q198" i="8"/>
  <c r="Q199" i="8"/>
  <c r="Q200" i="8"/>
  <c r="Q201" i="8"/>
  <c r="Q202" i="8"/>
  <c r="Q203" i="8"/>
  <c r="Q204" i="8"/>
  <c r="Q205" i="8"/>
  <c r="Q206" i="8"/>
  <c r="Q207" i="8"/>
  <c r="Q208" i="8"/>
  <c r="Q209" i="8"/>
  <c r="Q210" i="8"/>
  <c r="Q211" i="8"/>
  <c r="Q212" i="8"/>
  <c r="Q213" i="8"/>
  <c r="Q214" i="8"/>
  <c r="Q215" i="8"/>
  <c r="Q216" i="8"/>
  <c r="Q217" i="8"/>
  <c r="Q218" i="8"/>
  <c r="Q219" i="8"/>
  <c r="Q220" i="8"/>
  <c r="Q221" i="8"/>
  <c r="Q222" i="8"/>
  <c r="Q223" i="8"/>
  <c r="Q224" i="8"/>
  <c r="Q225" i="8"/>
  <c r="Q226" i="8"/>
  <c r="Q227" i="8"/>
  <c r="Q228" i="8"/>
  <c r="Q229" i="8"/>
  <c r="Q230" i="8"/>
  <c r="Q231" i="8"/>
  <c r="Q232" i="8"/>
  <c r="Q233" i="8"/>
  <c r="Q234" i="8"/>
  <c r="Q235" i="8"/>
  <c r="Q236" i="8"/>
  <c r="Q237" i="8"/>
  <c r="Q238" i="8"/>
  <c r="Q239" i="8"/>
  <c r="Q240" i="8"/>
  <c r="Q241" i="8"/>
  <c r="Q242" i="8"/>
  <c r="Q243" i="8"/>
  <c r="Q244" i="8"/>
  <c r="Q245" i="8"/>
  <c r="Q246" i="8"/>
  <c r="Q247" i="8"/>
  <c r="Q248" i="8"/>
  <c r="Q249" i="8"/>
  <c r="Q250" i="8"/>
  <c r="Q251" i="8"/>
  <c r="Q252" i="8"/>
  <c r="Q253" i="8"/>
  <c r="Q254" i="8"/>
  <c r="Q255" i="8"/>
  <c r="Q256" i="8"/>
  <c r="Q257" i="8"/>
  <c r="Q258" i="8"/>
  <c r="Q259" i="8"/>
  <c r="Q260" i="8"/>
  <c r="Q261" i="8"/>
  <c r="Q262" i="8"/>
  <c r="Q263" i="8"/>
  <c r="Q264" i="8"/>
  <c r="Q265" i="8"/>
  <c r="Q266" i="8"/>
  <c r="Q267" i="8"/>
  <c r="Q268" i="8"/>
  <c r="Q269" i="8"/>
  <c r="Q270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Q305" i="8"/>
  <c r="Q306" i="8"/>
  <c r="Q307" i="8"/>
  <c r="Q308" i="8"/>
  <c r="Q309" i="8"/>
  <c r="Q310" i="8"/>
  <c r="Q311" i="8"/>
  <c r="Q312" i="8"/>
  <c r="Q313" i="8"/>
  <c r="Q314" i="8"/>
  <c r="Q315" i="8"/>
  <c r="Q316" i="8"/>
  <c r="Q317" i="8"/>
  <c r="Q318" i="8"/>
  <c r="Q319" i="8"/>
  <c r="Q320" i="8"/>
  <c r="Q321" i="8"/>
  <c r="Q322" i="8"/>
  <c r="Q323" i="8"/>
  <c r="Q324" i="8"/>
  <c r="Q325" i="8"/>
  <c r="Q326" i="8"/>
  <c r="Q327" i="8"/>
  <c r="Q328" i="8"/>
  <c r="Q329" i="8"/>
  <c r="Q330" i="8"/>
  <c r="Q331" i="8"/>
  <c r="Q332" i="8"/>
  <c r="Q333" i="8"/>
  <c r="Q334" i="8"/>
  <c r="Q335" i="8"/>
  <c r="Q336" i="8"/>
  <c r="Q337" i="8"/>
  <c r="Q338" i="8"/>
  <c r="Q339" i="8"/>
  <c r="Q340" i="8"/>
  <c r="Q341" i="8"/>
  <c r="Q342" i="8"/>
  <c r="Q343" i="8"/>
  <c r="Q344" i="8"/>
  <c r="Q345" i="8"/>
  <c r="Q346" i="8"/>
  <c r="Q347" i="8"/>
  <c r="Q348" i="8"/>
  <c r="Q349" i="8"/>
  <c r="Q350" i="8"/>
  <c r="Q351" i="8"/>
  <c r="Q352" i="8"/>
  <c r="Q353" i="8"/>
  <c r="Q354" i="8"/>
  <c r="Q355" i="8"/>
  <c r="Q356" i="8"/>
  <c r="Q357" i="8"/>
  <c r="Q358" i="8"/>
  <c r="Q359" i="8"/>
  <c r="Q360" i="8"/>
  <c r="Q361" i="8"/>
  <c r="Q362" i="8"/>
  <c r="Q363" i="8"/>
  <c r="Q364" i="8"/>
  <c r="Q365" i="8"/>
  <c r="Q366" i="8"/>
  <c r="Q367" i="8"/>
  <c r="Q368" i="8"/>
  <c r="Q369" i="8"/>
  <c r="Q370" i="8"/>
  <c r="Q371" i="8"/>
  <c r="Q372" i="8"/>
  <c r="Q373" i="8"/>
  <c r="Q374" i="8"/>
  <c r="Q375" i="8"/>
  <c r="Q376" i="8"/>
  <c r="Q377" i="8"/>
  <c r="Q378" i="8"/>
  <c r="Q379" i="8"/>
  <c r="Q380" i="8"/>
  <c r="Q381" i="8"/>
  <c r="Q382" i="8"/>
  <c r="Q383" i="8"/>
  <c r="Q384" i="8"/>
  <c r="Q385" i="8"/>
  <c r="Q386" i="8"/>
  <c r="Q387" i="8"/>
  <c r="Q388" i="8"/>
  <c r="Q389" i="8"/>
  <c r="Q390" i="8"/>
  <c r="Q391" i="8"/>
  <c r="Q392" i="8"/>
  <c r="Q393" i="8"/>
  <c r="Q394" i="8"/>
  <c r="Q395" i="8"/>
  <c r="Q396" i="8"/>
  <c r="Q397" i="8"/>
  <c r="Q398" i="8"/>
  <c r="Q399" i="8"/>
  <c r="Q400" i="8"/>
  <c r="Q401" i="8"/>
  <c r="Q402" i="8"/>
  <c r="Q403" i="8"/>
  <c r="Q404" i="8"/>
  <c r="Q405" i="8"/>
  <c r="Q406" i="8"/>
  <c r="Q407" i="8"/>
  <c r="Q408" i="8"/>
  <c r="Q409" i="8"/>
  <c r="Q410" i="8"/>
  <c r="Q411" i="8"/>
  <c r="Q412" i="8"/>
  <c r="Q413" i="8"/>
  <c r="Q414" i="8"/>
  <c r="Q415" i="8"/>
  <c r="Q416" i="8"/>
  <c r="Q417" i="8"/>
  <c r="Q418" i="8"/>
  <c r="Q419" i="8"/>
  <c r="Q420" i="8"/>
  <c r="Q421" i="8"/>
  <c r="Q422" i="8"/>
  <c r="Q423" i="8"/>
  <c r="Q424" i="8"/>
  <c r="Q425" i="8"/>
  <c r="Q426" i="8"/>
  <c r="Q427" i="8"/>
  <c r="Q428" i="8"/>
  <c r="Q429" i="8"/>
  <c r="Q430" i="8"/>
  <c r="Q431" i="8"/>
  <c r="Q432" i="8"/>
  <c r="Q433" i="8"/>
  <c r="Q434" i="8"/>
  <c r="Q435" i="8"/>
  <c r="Q436" i="8"/>
  <c r="Q437" i="8"/>
  <c r="Q438" i="8"/>
  <c r="Q439" i="8"/>
  <c r="Q440" i="8"/>
  <c r="Q441" i="8"/>
  <c r="Q442" i="8"/>
  <c r="Q443" i="8"/>
  <c r="Q444" i="8"/>
  <c r="Q445" i="8"/>
  <c r="Q446" i="8"/>
  <c r="Q447" i="8"/>
  <c r="Q448" i="8"/>
  <c r="Q449" i="8"/>
  <c r="Q450" i="8"/>
  <c r="Q451" i="8"/>
  <c r="Q452" i="8"/>
  <c r="Q453" i="8"/>
  <c r="Q454" i="8"/>
  <c r="Q455" i="8"/>
  <c r="Q456" i="8"/>
  <c r="Q457" i="8"/>
  <c r="Q458" i="8"/>
  <c r="Q459" i="8"/>
  <c r="Q460" i="8"/>
  <c r="Q461" i="8"/>
  <c r="Q462" i="8"/>
  <c r="Q463" i="8"/>
  <c r="Q464" i="8"/>
  <c r="Q465" i="8"/>
  <c r="Q466" i="8"/>
  <c r="Q467" i="8"/>
  <c r="Q468" i="8"/>
  <c r="Q469" i="8"/>
  <c r="Q470" i="8"/>
  <c r="Q471" i="8"/>
  <c r="Q472" i="8"/>
  <c r="Q473" i="8"/>
  <c r="Q474" i="8"/>
  <c r="Q475" i="8"/>
  <c r="Q476" i="8"/>
  <c r="Q477" i="8"/>
  <c r="Q478" i="8"/>
  <c r="Q479" i="8"/>
  <c r="Q480" i="8"/>
  <c r="Q481" i="8"/>
  <c r="Q482" i="8"/>
  <c r="Q483" i="8"/>
  <c r="Q484" i="8"/>
  <c r="Q485" i="8"/>
  <c r="Q486" i="8"/>
  <c r="Q487" i="8"/>
  <c r="Q488" i="8"/>
  <c r="Q489" i="8"/>
  <c r="Q490" i="8"/>
  <c r="Q491" i="8"/>
  <c r="Q492" i="8"/>
  <c r="Q493" i="8"/>
  <c r="Q494" i="8"/>
  <c r="Q495" i="8"/>
  <c r="Q496" i="8"/>
  <c r="Q497" i="8"/>
  <c r="Q498" i="8"/>
  <c r="Q499" i="8"/>
  <c r="Q500" i="8"/>
  <c r="Q501" i="8"/>
  <c r="Q502" i="8"/>
  <c r="Q503" i="8"/>
  <c r="Q504" i="8"/>
  <c r="Q505" i="8"/>
  <c r="Q506" i="8"/>
  <c r="Q507" i="8"/>
  <c r="Q508" i="8"/>
  <c r="Q509" i="8"/>
  <c r="Q510" i="8"/>
  <c r="Q511" i="8"/>
  <c r="Q512" i="8"/>
  <c r="Q513" i="8"/>
  <c r="Q514" i="8"/>
  <c r="Q515" i="8"/>
  <c r="Q516" i="8"/>
  <c r="Q517" i="8"/>
  <c r="Q518" i="8"/>
  <c r="Q519" i="8"/>
  <c r="Q520" i="8"/>
  <c r="Q521" i="8"/>
  <c r="Q522" i="8"/>
  <c r="Q523" i="8"/>
  <c r="Q524" i="8"/>
  <c r="Q525" i="8"/>
  <c r="Q526" i="8"/>
  <c r="Q527" i="8"/>
  <c r="Q528" i="8"/>
  <c r="Q529" i="8"/>
  <c r="Q530" i="8"/>
  <c r="Q531" i="8"/>
  <c r="Q532" i="8"/>
  <c r="Q533" i="8"/>
  <c r="Q534" i="8"/>
  <c r="Q535" i="8"/>
  <c r="Q536" i="8"/>
  <c r="Q537" i="8"/>
  <c r="Q538" i="8"/>
  <c r="Q539" i="8"/>
  <c r="Q540" i="8"/>
  <c r="Q541" i="8"/>
  <c r="Q542" i="8"/>
  <c r="Q543" i="8"/>
  <c r="Q544" i="8"/>
  <c r="Q545" i="8"/>
  <c r="Q546" i="8"/>
  <c r="Q547" i="8"/>
  <c r="Q548" i="8"/>
  <c r="Q549" i="8"/>
  <c r="Q550" i="8"/>
  <c r="Q551" i="8"/>
  <c r="Q552" i="8"/>
  <c r="Q553" i="8"/>
  <c r="Q554" i="8"/>
  <c r="Q555" i="8"/>
  <c r="Q556" i="8"/>
  <c r="Q557" i="8"/>
  <c r="Q558" i="8"/>
  <c r="Q559" i="8"/>
  <c r="Q560" i="8"/>
  <c r="Q561" i="8"/>
  <c r="Q562" i="8"/>
  <c r="Q563" i="8"/>
  <c r="Q564" i="8"/>
  <c r="Q565" i="8"/>
  <c r="Q566" i="8"/>
  <c r="Q567" i="8"/>
  <c r="Q568" i="8"/>
  <c r="Q569" i="8"/>
  <c r="Q570" i="8"/>
  <c r="Q571" i="8"/>
  <c r="Q572" i="8"/>
  <c r="Q573" i="8"/>
  <c r="Q574" i="8"/>
  <c r="Q575" i="8"/>
  <c r="Q576" i="8"/>
  <c r="Q577" i="8"/>
  <c r="Q578" i="8"/>
  <c r="Q579" i="8"/>
  <c r="Q580" i="8"/>
  <c r="Q581" i="8"/>
  <c r="Q582" i="8"/>
  <c r="Q583" i="8"/>
  <c r="Q584" i="8"/>
  <c r="Q585" i="8"/>
  <c r="Q586" i="8"/>
  <c r="Q587" i="8"/>
  <c r="Q588" i="8"/>
  <c r="Q589" i="8"/>
  <c r="Q590" i="8"/>
  <c r="Q591" i="8"/>
  <c r="Q592" i="8"/>
  <c r="Q593" i="8"/>
  <c r="Q594" i="8"/>
  <c r="Q595" i="8"/>
  <c r="Q596" i="8"/>
  <c r="Q597" i="8"/>
  <c r="Q598" i="8"/>
  <c r="Q599" i="8"/>
  <c r="Q600" i="8"/>
  <c r="Q601" i="8"/>
  <c r="Q602" i="8"/>
  <c r="Q603" i="8"/>
  <c r="Q604" i="8"/>
  <c r="Q605" i="8"/>
  <c r="Q606" i="8"/>
  <c r="Q607" i="8"/>
  <c r="Q608" i="8"/>
  <c r="Q609" i="8"/>
  <c r="Q610" i="8"/>
  <c r="Q611" i="8"/>
  <c r="Q612" i="8"/>
  <c r="Q613" i="8"/>
  <c r="Q614" i="8"/>
  <c r="Q615" i="8"/>
  <c r="Q616" i="8"/>
  <c r="Q617" i="8"/>
  <c r="Q618" i="8"/>
  <c r="Q619" i="8"/>
  <c r="Q620" i="8"/>
  <c r="Q621" i="8"/>
  <c r="Q622" i="8"/>
  <c r="Q623" i="8"/>
  <c r="Q624" i="8"/>
  <c r="Q625" i="8"/>
  <c r="Q626" i="8"/>
  <c r="Q627" i="8"/>
  <c r="Q628" i="8"/>
  <c r="Q629" i="8"/>
  <c r="Q630" i="8"/>
  <c r="Q631" i="8"/>
  <c r="Q632" i="8"/>
  <c r="Q633" i="8"/>
  <c r="Q634" i="8"/>
  <c r="Q635" i="8"/>
  <c r="Q636" i="8"/>
  <c r="Q637" i="8"/>
  <c r="Q638" i="8"/>
  <c r="Q639" i="8"/>
  <c r="Q640" i="8"/>
  <c r="Q641" i="8"/>
  <c r="Q642" i="8"/>
  <c r="Q643" i="8"/>
  <c r="Q644" i="8"/>
  <c r="Q645" i="8"/>
  <c r="Q646" i="8"/>
  <c r="Q647" i="8"/>
  <c r="Q648" i="8"/>
  <c r="Q649" i="8"/>
  <c r="Q650" i="8"/>
  <c r="Q651" i="8"/>
  <c r="Q652" i="8"/>
  <c r="Q653" i="8"/>
  <c r="Q654" i="8"/>
  <c r="Q655" i="8"/>
  <c r="Q656" i="8"/>
  <c r="Q657" i="8"/>
  <c r="Q658" i="8"/>
  <c r="Q659" i="8"/>
  <c r="Q660" i="8"/>
  <c r="Q661" i="8"/>
  <c r="Q662" i="8"/>
  <c r="Q663" i="8"/>
  <c r="Q664" i="8"/>
  <c r="Q665" i="8"/>
  <c r="Q666" i="8"/>
  <c r="Q667" i="8"/>
  <c r="Q668" i="8"/>
  <c r="Q669" i="8"/>
  <c r="Q670" i="8"/>
  <c r="Q671" i="8"/>
  <c r="Q672" i="8"/>
  <c r="Q673" i="8"/>
  <c r="Q674" i="8"/>
  <c r="Q675" i="8"/>
  <c r="Q676" i="8"/>
  <c r="Q677" i="8"/>
  <c r="Q678" i="8"/>
  <c r="Q679" i="8"/>
  <c r="Q680" i="8"/>
  <c r="Q681" i="8"/>
  <c r="Q682" i="8"/>
  <c r="Q683" i="8"/>
  <c r="Q684" i="8"/>
  <c r="Q685" i="8"/>
  <c r="Q686" i="8"/>
  <c r="Q687" i="8"/>
  <c r="Q688" i="8"/>
  <c r="Q689" i="8"/>
  <c r="Q690" i="8"/>
  <c r="Q691" i="8"/>
  <c r="Q692" i="8"/>
  <c r="Q693" i="8"/>
  <c r="Q694" i="8"/>
  <c r="Q695" i="8"/>
  <c r="Q696" i="8"/>
  <c r="Q697" i="8"/>
  <c r="Q698" i="8"/>
  <c r="Q699" i="8"/>
  <c r="Q700" i="8"/>
  <c r="Q701" i="8"/>
  <c r="Q702" i="8"/>
  <c r="Q703" i="8"/>
  <c r="Q704" i="8"/>
  <c r="Q705" i="8"/>
  <c r="Q706" i="8"/>
  <c r="Q707" i="8"/>
  <c r="Q708" i="8"/>
  <c r="Q709" i="8"/>
  <c r="Q710" i="8"/>
  <c r="Q711" i="8"/>
  <c r="Q712" i="8"/>
  <c r="Q713" i="8"/>
  <c r="Q714" i="8"/>
  <c r="Q715" i="8"/>
  <c r="Q716" i="8"/>
  <c r="Q717" i="8"/>
  <c r="Q718" i="8"/>
  <c r="Q719" i="8"/>
  <c r="Q720" i="8"/>
  <c r="Q721" i="8"/>
  <c r="Q722" i="8"/>
  <c r="Q723" i="8"/>
  <c r="Q724" i="8"/>
  <c r="Q725" i="8"/>
  <c r="Q726" i="8"/>
  <c r="Q727" i="8"/>
  <c r="Q728" i="8"/>
  <c r="Q729" i="8"/>
  <c r="Q730" i="8"/>
  <c r="Q731" i="8"/>
  <c r="Q732" i="8"/>
  <c r="Q733" i="8"/>
  <c r="Q734" i="8"/>
  <c r="Q735" i="8"/>
  <c r="Q736" i="8"/>
  <c r="Q737" i="8"/>
  <c r="Q738" i="8"/>
  <c r="Q739" i="8"/>
  <c r="Q740" i="8"/>
  <c r="Q741" i="8"/>
  <c r="Q742" i="8"/>
  <c r="Q743" i="8"/>
  <c r="Q744" i="8"/>
  <c r="Q745" i="8"/>
  <c r="Q746" i="8"/>
  <c r="Q747" i="8"/>
  <c r="Q748" i="8"/>
  <c r="Q749" i="8"/>
  <c r="Q750" i="8"/>
  <c r="Q751" i="8"/>
  <c r="Q752" i="8"/>
  <c r="Q753" i="8"/>
  <c r="Q754" i="8"/>
  <c r="Q755" i="8"/>
  <c r="Q756" i="8"/>
  <c r="Q757" i="8"/>
  <c r="Q758" i="8"/>
  <c r="Q759" i="8"/>
  <c r="Q760" i="8"/>
  <c r="Q761" i="8"/>
  <c r="Q762" i="8"/>
  <c r="Q763" i="8"/>
  <c r="Q764" i="8"/>
  <c r="Q765" i="8"/>
  <c r="Q766" i="8"/>
  <c r="Q767" i="8"/>
  <c r="Q768" i="8"/>
  <c r="Q769" i="8"/>
  <c r="Q770" i="8"/>
  <c r="Q771" i="8"/>
  <c r="Q772" i="8"/>
  <c r="Q773" i="8"/>
  <c r="Q774" i="8"/>
  <c r="Q775" i="8"/>
  <c r="Q776" i="8"/>
  <c r="Q777" i="8"/>
  <c r="Q778" i="8"/>
  <c r="Q779" i="8"/>
  <c r="Q780" i="8"/>
  <c r="Q781" i="8"/>
  <c r="Q782" i="8"/>
  <c r="Q783" i="8"/>
  <c r="Q784" i="8"/>
  <c r="Q785" i="8"/>
  <c r="Q786" i="8"/>
  <c r="Q787" i="8"/>
  <c r="Q788" i="8"/>
  <c r="Q789" i="8"/>
  <c r="Q790" i="8"/>
  <c r="Q791" i="8"/>
  <c r="Q792" i="8"/>
  <c r="Q793" i="8"/>
  <c r="Q794" i="8"/>
  <c r="Q795" i="8"/>
  <c r="Q796" i="8"/>
  <c r="Q797" i="8"/>
  <c r="Q798" i="8"/>
  <c r="Q799" i="8"/>
  <c r="Q800" i="8"/>
  <c r="Q801" i="8"/>
  <c r="Q802" i="8"/>
  <c r="Q803" i="8"/>
  <c r="Q804" i="8"/>
  <c r="Q805" i="8"/>
  <c r="Q806" i="8"/>
  <c r="Q807" i="8"/>
  <c r="Q808" i="8"/>
  <c r="Q809" i="8"/>
  <c r="Q810" i="8"/>
  <c r="Q811" i="8"/>
  <c r="Q812" i="8"/>
  <c r="Q813" i="8"/>
  <c r="Q814" i="8"/>
  <c r="Q815" i="8"/>
  <c r="Q816" i="8"/>
  <c r="Q817" i="8"/>
  <c r="Q818" i="8"/>
  <c r="Q819" i="8"/>
  <c r="Q820" i="8"/>
  <c r="Q821" i="8"/>
  <c r="Q822" i="8"/>
  <c r="Q823" i="8"/>
  <c r="Q824" i="8"/>
  <c r="Q825" i="8"/>
  <c r="Q826" i="8"/>
  <c r="Q827" i="8"/>
  <c r="Q828" i="8"/>
  <c r="Q829" i="8"/>
  <c r="Q830" i="8"/>
  <c r="Q831" i="8"/>
  <c r="Q832" i="8"/>
  <c r="Q833" i="8"/>
  <c r="Q834" i="8"/>
  <c r="Q835" i="8"/>
  <c r="Q836" i="8"/>
  <c r="Q837" i="8"/>
  <c r="Q838" i="8"/>
  <c r="Q839" i="8"/>
  <c r="Q840" i="8"/>
  <c r="Q841" i="8"/>
  <c r="Q842" i="8"/>
  <c r="Q843" i="8"/>
  <c r="Q844" i="8"/>
  <c r="Q845" i="8"/>
  <c r="Q846" i="8"/>
  <c r="Q847" i="8"/>
  <c r="Q848" i="8"/>
  <c r="Q849" i="8"/>
  <c r="Q850" i="8"/>
  <c r="Q851" i="8"/>
  <c r="Q852" i="8"/>
  <c r="Q853" i="8"/>
  <c r="Q854" i="8"/>
  <c r="Q855" i="8"/>
  <c r="Q856" i="8"/>
  <c r="Q857" i="8"/>
  <c r="Q858" i="8"/>
  <c r="Q859" i="8"/>
  <c r="Q860" i="8"/>
  <c r="Q861" i="8"/>
  <c r="Q862" i="8"/>
  <c r="Q863" i="8"/>
  <c r="Q864" i="8"/>
  <c r="Q865" i="8"/>
  <c r="Q866" i="8"/>
  <c r="Q867" i="8"/>
  <c r="Q868" i="8"/>
  <c r="Q869" i="8"/>
  <c r="Q870" i="8"/>
  <c r="Q871" i="8"/>
  <c r="Q872" i="8"/>
  <c r="Q873" i="8"/>
  <c r="Q874" i="8"/>
  <c r="Q875" i="8"/>
  <c r="Q876" i="8"/>
  <c r="Q877" i="8"/>
  <c r="Q878" i="8"/>
  <c r="Q879" i="8"/>
  <c r="Q880" i="8"/>
  <c r="Q881" i="8"/>
  <c r="Q882" i="8"/>
  <c r="Q883" i="8"/>
  <c r="Q884" i="8"/>
  <c r="Q885" i="8"/>
  <c r="Q886" i="8"/>
  <c r="Q887" i="8"/>
  <c r="Q888" i="8"/>
  <c r="Q889" i="8"/>
  <c r="Q890" i="8"/>
  <c r="Q891" i="8"/>
  <c r="Q892" i="8"/>
  <c r="Q893" i="8"/>
  <c r="Q894" i="8"/>
  <c r="Q895" i="8"/>
  <c r="Q896" i="8"/>
  <c r="Q897" i="8"/>
  <c r="Q898" i="8"/>
  <c r="Q899" i="8"/>
  <c r="Q900" i="8"/>
  <c r="Q901" i="8"/>
  <c r="Q902" i="8"/>
  <c r="Q903" i="8"/>
  <c r="Q904" i="8"/>
  <c r="Q905" i="8"/>
  <c r="Q906" i="8"/>
  <c r="Q907" i="8"/>
  <c r="Q908" i="8"/>
  <c r="Q909" i="8"/>
  <c r="Q910" i="8"/>
  <c r="Q911" i="8"/>
  <c r="Q912" i="8"/>
  <c r="Q913" i="8"/>
  <c r="Q914" i="8"/>
  <c r="Q915" i="8"/>
  <c r="Q916" i="8"/>
  <c r="Q917" i="8"/>
  <c r="Q918" i="8"/>
  <c r="Q919" i="8"/>
  <c r="Q920" i="8"/>
  <c r="Q921" i="8"/>
  <c r="Q922" i="8"/>
  <c r="Q923" i="8"/>
  <c r="Q924" i="8"/>
  <c r="Q925" i="8"/>
  <c r="Q926" i="8"/>
  <c r="Q927" i="8"/>
  <c r="Q928" i="8"/>
  <c r="Q929" i="8"/>
  <c r="Q930" i="8"/>
  <c r="Q931" i="8"/>
  <c r="Q932" i="8"/>
  <c r="Q933" i="8"/>
  <c r="Q934" i="8"/>
  <c r="Q935" i="8"/>
  <c r="Q936" i="8"/>
  <c r="Q937" i="8"/>
  <c r="Q938" i="8"/>
  <c r="Q939" i="8"/>
  <c r="Q940" i="8"/>
  <c r="Q941" i="8"/>
  <c r="Q942" i="8"/>
  <c r="Q943" i="8"/>
  <c r="Q944" i="8"/>
  <c r="Q945" i="8"/>
  <c r="Q946" i="8"/>
  <c r="Q947" i="8"/>
  <c r="Q948" i="8"/>
  <c r="Q949" i="8"/>
  <c r="Q950" i="8"/>
  <c r="Q951" i="8"/>
  <c r="Q952" i="8"/>
  <c r="Q953" i="8"/>
  <c r="Q954" i="8"/>
  <c r="Q955" i="8"/>
  <c r="Q956" i="8"/>
  <c r="Q957" i="8"/>
  <c r="Q958" i="8"/>
  <c r="Q959" i="8"/>
  <c r="Q960" i="8"/>
  <c r="Q961" i="8"/>
  <c r="Q962" i="8"/>
  <c r="Q963" i="8"/>
  <c r="Q964" i="8"/>
  <c r="Q965" i="8"/>
  <c r="Q966" i="8"/>
  <c r="Q967" i="8"/>
  <c r="Q968" i="8"/>
  <c r="Q969" i="8"/>
  <c r="Q970" i="8"/>
  <c r="Q971" i="8"/>
  <c r="Q972" i="8"/>
  <c r="Q973" i="8"/>
  <c r="Q974" i="8"/>
  <c r="Q975" i="8"/>
  <c r="Q976" i="8"/>
  <c r="Q977" i="8"/>
  <c r="Q978" i="8"/>
  <c r="Q979" i="8"/>
  <c r="Q980" i="8"/>
  <c r="Q981" i="8"/>
  <c r="Q982" i="8"/>
  <c r="Q983" i="8"/>
  <c r="Q984" i="8"/>
  <c r="Q985" i="8"/>
  <c r="Q986" i="8"/>
  <c r="Q987" i="8"/>
  <c r="Q988" i="8"/>
  <c r="Q989" i="8"/>
  <c r="Q990" i="8"/>
  <c r="Q991" i="8"/>
  <c r="Q992" i="8"/>
  <c r="Q993" i="8"/>
  <c r="Q994" i="8"/>
  <c r="Q995" i="8"/>
  <c r="Q996" i="8"/>
  <c r="Q997" i="8"/>
  <c r="Q998" i="8"/>
  <c r="Q999" i="8"/>
  <c r="Q1000" i="8"/>
  <c r="Q1001" i="8"/>
  <c r="Q1002" i="8"/>
  <c r="Q1003" i="8"/>
  <c r="Q1004" i="8"/>
  <c r="Q1005" i="8"/>
  <c r="Q1006" i="8"/>
  <c r="Q1007" i="8"/>
  <c r="Q1008" i="8"/>
  <c r="Q1009" i="8"/>
  <c r="Q1010" i="8"/>
  <c r="Q1011" i="8"/>
  <c r="Q1012" i="8"/>
  <c r="Q1013" i="8"/>
  <c r="Q1014" i="8"/>
  <c r="Q1015" i="8"/>
  <c r="Q1016" i="8"/>
  <c r="Q1017" i="8"/>
  <c r="Q1018" i="8"/>
  <c r="Q1019" i="8"/>
  <c r="Q1020" i="8"/>
  <c r="Q1021" i="8"/>
  <c r="Q1022" i="8"/>
  <c r="Q1023" i="8"/>
  <c r="Q1024" i="8"/>
  <c r="Q1025" i="8"/>
  <c r="Q1026" i="8"/>
  <c r="Q1027" i="8"/>
  <c r="Q1028" i="8"/>
  <c r="Q1029" i="8"/>
  <c r="Q1030" i="8"/>
  <c r="Q1031" i="8"/>
  <c r="Q1032" i="8"/>
  <c r="Q1033" i="8"/>
  <c r="Q1034" i="8"/>
  <c r="Q1035" i="8"/>
  <c r="Q1036" i="8"/>
  <c r="Q1037" i="8"/>
  <c r="Q1038" i="8"/>
  <c r="Q1039" i="8"/>
  <c r="Q1040" i="8"/>
  <c r="Q1041" i="8"/>
  <c r="Q1042" i="8"/>
  <c r="Q1043" i="8"/>
  <c r="Q1044" i="8"/>
  <c r="Q1045" i="8"/>
  <c r="Q1046" i="8"/>
  <c r="Q1047" i="8"/>
  <c r="Q1048" i="8"/>
  <c r="Q1049" i="8"/>
  <c r="Q1050" i="8"/>
  <c r="Q1051" i="8"/>
  <c r="Q1052" i="8"/>
  <c r="Q1053" i="8"/>
  <c r="Q1054" i="8"/>
  <c r="Q1055" i="8"/>
  <c r="Q1056" i="8"/>
  <c r="Q1057" i="8"/>
  <c r="Q1058" i="8"/>
  <c r="Q1059" i="8"/>
  <c r="Q1060" i="8"/>
  <c r="Q1061" i="8"/>
  <c r="Q1062" i="8"/>
  <c r="Q1063" i="8"/>
  <c r="Q1064" i="8"/>
  <c r="Q1065" i="8"/>
  <c r="Q1066" i="8"/>
  <c r="Q1067" i="8"/>
  <c r="Q1068" i="8"/>
  <c r="Q1069" i="8"/>
  <c r="Q1070" i="8"/>
  <c r="Q1071" i="8"/>
  <c r="Q1072" i="8"/>
  <c r="Q1073" i="8"/>
  <c r="Q1074" i="8"/>
  <c r="Q1075" i="8"/>
  <c r="Q1076" i="8"/>
  <c r="Q1077" i="8"/>
  <c r="Q1078" i="8"/>
  <c r="Q1079" i="8"/>
  <c r="Q1080" i="8"/>
  <c r="Q1081" i="8"/>
  <c r="Q1082" i="8"/>
  <c r="Q1083" i="8"/>
  <c r="Q1084" i="8"/>
  <c r="Q1085" i="8"/>
  <c r="Q1086" i="8"/>
  <c r="Q1087" i="8"/>
  <c r="Q1088" i="8"/>
  <c r="Q1089" i="8"/>
  <c r="Q1090" i="8"/>
  <c r="Q1091" i="8"/>
  <c r="Q1092" i="8"/>
  <c r="Q1093" i="8"/>
  <c r="Q1094" i="8"/>
  <c r="Q1095" i="8"/>
  <c r="Q1096" i="8"/>
  <c r="Q1097" i="8"/>
  <c r="Q1098" i="8"/>
  <c r="Q1099" i="8"/>
  <c r="Q1100" i="8"/>
  <c r="Q1101" i="8"/>
  <c r="Q1102" i="8"/>
  <c r="Q1103" i="8"/>
  <c r="Q1104" i="8"/>
  <c r="Q1105" i="8"/>
  <c r="Q1106" i="8"/>
  <c r="Q1107" i="8"/>
  <c r="Q1108" i="8"/>
  <c r="Q1109" i="8"/>
  <c r="Q1110" i="8"/>
  <c r="Q1111" i="8"/>
  <c r="Q1112" i="8"/>
  <c r="Q1113" i="8"/>
  <c r="Q1114" i="8"/>
  <c r="Q1115" i="8"/>
  <c r="Q1116" i="8"/>
  <c r="Q1117" i="8"/>
  <c r="Q1118" i="8"/>
  <c r="Q1119" i="8"/>
  <c r="Q1120" i="8"/>
  <c r="Q1121" i="8"/>
  <c r="Q1122" i="8"/>
  <c r="Q1123" i="8"/>
  <c r="Q1124" i="8"/>
  <c r="Q1125" i="8"/>
  <c r="Q1126" i="8"/>
  <c r="Q1127" i="8"/>
  <c r="Q1128" i="8"/>
  <c r="Q1129" i="8"/>
  <c r="Q1130" i="8"/>
  <c r="Q1131" i="8"/>
  <c r="Q1132" i="8"/>
  <c r="Q1133" i="8"/>
  <c r="Q1134" i="8"/>
  <c r="Q1135" i="8"/>
  <c r="Q1136" i="8"/>
  <c r="Q1137" i="8"/>
  <c r="Q1138" i="8"/>
  <c r="Q1139" i="8"/>
  <c r="Q1140" i="8"/>
  <c r="Q1141" i="8"/>
  <c r="Q1142" i="8"/>
  <c r="Q1143" i="8"/>
  <c r="Q1144" i="8"/>
  <c r="Q1145" i="8"/>
  <c r="Q1146" i="8"/>
  <c r="Q1147" i="8"/>
  <c r="Q1148" i="8"/>
  <c r="Q1149" i="8"/>
  <c r="Q1150" i="8"/>
  <c r="Q1151" i="8"/>
  <c r="Q1152" i="8"/>
  <c r="Q1153" i="8"/>
  <c r="Q1154" i="8"/>
  <c r="Q1155" i="8"/>
  <c r="Q1156" i="8"/>
  <c r="Q1157" i="8"/>
  <c r="Q1158" i="8"/>
  <c r="Q1159" i="8"/>
  <c r="Q1160" i="8"/>
  <c r="Q1161" i="8"/>
  <c r="Q1162" i="8"/>
  <c r="Q1163" i="8"/>
  <c r="Q1164" i="8"/>
  <c r="Q1165" i="8"/>
  <c r="Q1166" i="8"/>
  <c r="Q1167" i="8"/>
  <c r="Q1168" i="8"/>
  <c r="Q1169" i="8"/>
  <c r="Q1170" i="8"/>
  <c r="Q1171" i="8"/>
  <c r="Q1172" i="8"/>
  <c r="Q1173" i="8"/>
  <c r="Q1174" i="8"/>
  <c r="Q1175" i="8"/>
  <c r="Q1176" i="8"/>
  <c r="Q1177" i="8"/>
  <c r="Q1178" i="8"/>
  <c r="Q1179" i="8"/>
  <c r="Q1180" i="8"/>
  <c r="Q1181" i="8"/>
  <c r="Q1182" i="8"/>
  <c r="Q1183" i="8"/>
  <c r="Q1184" i="8"/>
  <c r="Q1185" i="8"/>
  <c r="Q1186" i="8"/>
  <c r="Q1187" i="8"/>
  <c r="Q1188" i="8"/>
  <c r="Q1189" i="8"/>
  <c r="Q1190" i="8"/>
  <c r="Q1191" i="8"/>
  <c r="Q1192" i="8"/>
  <c r="Q1193" i="8"/>
  <c r="Q1194" i="8"/>
  <c r="Q1195" i="8"/>
  <c r="Q1196" i="8"/>
  <c r="Q1197" i="8"/>
  <c r="Q1198" i="8"/>
  <c r="Q1199" i="8"/>
  <c r="Q1200" i="8"/>
  <c r="Q1201" i="8"/>
  <c r="Q1202" i="8"/>
  <c r="Q1203" i="8"/>
  <c r="Q1204" i="8"/>
  <c r="Q1205" i="8"/>
  <c r="Q1206" i="8"/>
  <c r="Q1207" i="8"/>
  <c r="Q1208" i="8"/>
  <c r="Q1209" i="8"/>
  <c r="Q1210" i="8"/>
  <c r="Q1211" i="8"/>
  <c r="Q1212" i="8"/>
  <c r="Q1213" i="8"/>
  <c r="Q1214" i="8"/>
  <c r="Q1215" i="8"/>
  <c r="Q1216" i="8"/>
  <c r="Q1217" i="8"/>
  <c r="Q1218" i="8"/>
  <c r="Q1219" i="8"/>
  <c r="Q1220" i="8"/>
  <c r="Q1221" i="8"/>
  <c r="Q1222" i="8"/>
  <c r="Q1223" i="8"/>
  <c r="Q1224" i="8"/>
  <c r="Q1225" i="8"/>
  <c r="Q1226" i="8"/>
  <c r="Q1227" i="8"/>
  <c r="Q1228" i="8"/>
  <c r="Q1229" i="8"/>
  <c r="Q1230" i="8"/>
  <c r="Q1231" i="8"/>
  <c r="Q1232" i="8"/>
  <c r="Q1233" i="8"/>
  <c r="Q1234" i="8"/>
  <c r="Q1235" i="8"/>
  <c r="Q1236" i="8"/>
  <c r="Q1237" i="8"/>
  <c r="Q1238" i="8"/>
  <c r="Q1239" i="8"/>
  <c r="Q1240" i="8"/>
  <c r="Q1241" i="8"/>
  <c r="Q1242" i="8"/>
  <c r="Q1243" i="8"/>
  <c r="Q1244" i="8"/>
  <c r="Q1245" i="8"/>
  <c r="Q1246" i="8"/>
  <c r="Q1247" i="8"/>
  <c r="Q1248" i="8"/>
  <c r="Q1249" i="8"/>
  <c r="Q1250" i="8"/>
  <c r="Q1251" i="8"/>
  <c r="Q1252" i="8"/>
  <c r="Q1253" i="8"/>
  <c r="Q1254" i="8"/>
  <c r="Q1255" i="8"/>
  <c r="Q1256" i="8"/>
  <c r="Q1257" i="8"/>
  <c r="Q1258" i="8"/>
  <c r="Q1259" i="8"/>
  <c r="Q1260" i="8"/>
  <c r="Q1261" i="8"/>
  <c r="Q1262" i="8"/>
  <c r="Q1263" i="8"/>
  <c r="Q1264" i="8"/>
  <c r="Q1265" i="8"/>
  <c r="Q1266" i="8"/>
  <c r="Q1267" i="8"/>
  <c r="Q1268" i="8"/>
  <c r="Q1269" i="8"/>
  <c r="Q1270" i="8"/>
  <c r="Q1271" i="8"/>
  <c r="Q1272" i="8"/>
  <c r="Q1273" i="8"/>
  <c r="Q1274" i="8"/>
  <c r="Q1275" i="8"/>
  <c r="Q1276" i="8"/>
  <c r="Q1277" i="8"/>
  <c r="Q1278" i="8"/>
  <c r="Q1279" i="8"/>
  <c r="Q1280" i="8"/>
  <c r="Q1281" i="8"/>
  <c r="Q1282" i="8"/>
  <c r="Q1283" i="8"/>
  <c r="Q1284" i="8"/>
  <c r="Q1285" i="8"/>
  <c r="Q1286" i="8"/>
  <c r="Q1287" i="8"/>
  <c r="Q1288" i="8"/>
  <c r="Q1289" i="8"/>
  <c r="Q1290" i="8"/>
  <c r="Q1291" i="8"/>
  <c r="Q1292" i="8"/>
  <c r="Q1293" i="8"/>
  <c r="Q1294" i="8"/>
  <c r="Q1295" i="8"/>
  <c r="Q1296" i="8"/>
  <c r="Q1297" i="8"/>
  <c r="Q1298" i="8"/>
  <c r="Q1299" i="8"/>
  <c r="Q1300" i="8"/>
  <c r="Q1301" i="8"/>
  <c r="Q1302" i="8"/>
  <c r="Q1303" i="8"/>
  <c r="Q1304" i="8"/>
  <c r="Q1305" i="8"/>
  <c r="Q1306" i="8"/>
  <c r="Q1307" i="8"/>
  <c r="Q1308" i="8"/>
  <c r="Q1309" i="8"/>
  <c r="Q1310" i="8"/>
  <c r="Q1311" i="8"/>
  <c r="Q1312" i="8"/>
  <c r="Q1313" i="8"/>
  <c r="Q1314" i="8"/>
  <c r="Q1315" i="8"/>
  <c r="Q1316" i="8"/>
  <c r="Q1317" i="8"/>
  <c r="Q1318" i="8"/>
  <c r="Q1319" i="8"/>
  <c r="Q1320" i="8"/>
  <c r="Q1321" i="8"/>
  <c r="Q1322" i="8"/>
  <c r="Q1323" i="8"/>
  <c r="Q1324" i="8"/>
  <c r="Q1325" i="8"/>
  <c r="Q1326" i="8"/>
  <c r="Q1327" i="8"/>
  <c r="Q1328" i="8"/>
  <c r="Q1329" i="8"/>
  <c r="Q1330" i="8"/>
  <c r="Q1331" i="8"/>
  <c r="Q1332" i="8"/>
  <c r="Q1333" i="8"/>
  <c r="Q1334" i="8"/>
  <c r="Q1335" i="8"/>
  <c r="Q1336" i="8"/>
  <c r="Q1337" i="8"/>
  <c r="Q1338" i="8"/>
  <c r="Q1339" i="8"/>
  <c r="Q1340" i="8"/>
  <c r="Q1341" i="8"/>
  <c r="Q1342" i="8"/>
  <c r="Q1343" i="8"/>
  <c r="Q1344" i="8"/>
  <c r="Q1345" i="8"/>
  <c r="Q1346" i="8"/>
  <c r="Q1347" i="8"/>
  <c r="Q1348" i="8"/>
  <c r="Q1349" i="8"/>
  <c r="Q1350" i="8"/>
  <c r="Q1351" i="8"/>
  <c r="Q1352" i="8"/>
  <c r="Q1353" i="8"/>
  <c r="Q1354" i="8"/>
  <c r="Q1355" i="8"/>
  <c r="Q1356" i="8"/>
  <c r="Q1357" i="8"/>
  <c r="Q1358" i="8"/>
  <c r="Q1359" i="8"/>
  <c r="Q1360" i="8"/>
  <c r="Q1361" i="8"/>
  <c r="Q1362" i="8"/>
  <c r="Q1363" i="8"/>
  <c r="Q1364" i="8"/>
  <c r="Q1365" i="8"/>
  <c r="Q1366" i="8"/>
  <c r="Q1367" i="8"/>
  <c r="Q1368" i="8"/>
  <c r="Q1369" i="8"/>
  <c r="Q1370" i="8"/>
  <c r="Q1371" i="8"/>
  <c r="Q1372" i="8"/>
  <c r="Q1373" i="8"/>
  <c r="Q1374" i="8"/>
  <c r="Q1375" i="8"/>
  <c r="Q1376" i="8"/>
  <c r="Q1377" i="8"/>
  <c r="Q1378" i="8"/>
  <c r="Q1379" i="8"/>
  <c r="Q1380" i="8"/>
  <c r="Q1381" i="8"/>
  <c r="Q1382" i="8"/>
  <c r="Q1383" i="8"/>
  <c r="Q1384" i="8"/>
  <c r="Q1385" i="8"/>
  <c r="Q1386" i="8"/>
  <c r="Q1387" i="8"/>
  <c r="Q1388" i="8"/>
  <c r="Q1389" i="8"/>
  <c r="Q1390" i="8"/>
  <c r="Q1391" i="8"/>
  <c r="Q1392" i="8"/>
  <c r="Q1393" i="8"/>
  <c r="Q1394" i="8"/>
  <c r="Q1395" i="8"/>
  <c r="Q1396" i="8"/>
  <c r="Q1397" i="8"/>
  <c r="Q1398" i="8"/>
  <c r="Q1399" i="8"/>
  <c r="Q1400" i="8"/>
  <c r="Q1401" i="8"/>
  <c r="Q1402" i="8"/>
  <c r="Q1403" i="8"/>
  <c r="Q1404" i="8"/>
  <c r="Q1405" i="8"/>
  <c r="Q1406" i="8"/>
  <c r="Q1407" i="8"/>
  <c r="Q1408" i="8"/>
  <c r="Q1409" i="8"/>
  <c r="Q1410" i="8"/>
  <c r="Q1411" i="8"/>
  <c r="Q1412" i="8"/>
  <c r="Q1413" i="8"/>
  <c r="Q1414" i="8"/>
  <c r="Q1415" i="8"/>
  <c r="Q1416" i="8"/>
  <c r="Q1417" i="8"/>
  <c r="Q1418" i="8"/>
  <c r="Q1419" i="8"/>
  <c r="Q1420" i="8"/>
  <c r="Q1421" i="8"/>
  <c r="Q1422" i="8"/>
  <c r="Q1423" i="8"/>
  <c r="Q1424" i="8"/>
  <c r="Q1425" i="8"/>
  <c r="Q1426" i="8"/>
  <c r="Q1427" i="8"/>
  <c r="Q1428" i="8"/>
  <c r="Q1429" i="8"/>
  <c r="Q1430" i="8"/>
  <c r="Q1431" i="8"/>
  <c r="Q1432" i="8"/>
  <c r="Q1433" i="8"/>
  <c r="Q1434" i="8"/>
  <c r="Q1435" i="8"/>
  <c r="Q1436" i="8"/>
  <c r="Q1437" i="8"/>
  <c r="Q1438" i="8"/>
  <c r="Q1439" i="8"/>
  <c r="Q1440" i="8"/>
  <c r="Q1441" i="8"/>
  <c r="Q1442" i="8"/>
  <c r="Q1443" i="8"/>
  <c r="Q1444" i="8"/>
  <c r="Q1445" i="8"/>
  <c r="Q1446" i="8"/>
  <c r="Q1447" i="8"/>
  <c r="Q1448" i="8"/>
  <c r="Q1449" i="8"/>
  <c r="Q1450" i="8"/>
  <c r="Q1451" i="8"/>
  <c r="Q1452" i="8"/>
  <c r="Q1453" i="8"/>
  <c r="Q1454" i="8"/>
  <c r="Q1455" i="8"/>
  <c r="Q1456" i="8"/>
  <c r="Q1457" i="8"/>
  <c r="Q1458" i="8"/>
  <c r="Q1459" i="8"/>
  <c r="Q1460" i="8"/>
  <c r="Q1461" i="8"/>
  <c r="Q1462" i="8"/>
  <c r="Q1463" i="8"/>
  <c r="Q1464" i="8"/>
  <c r="Q1465" i="8"/>
  <c r="Q1466" i="8"/>
  <c r="Q1467" i="8"/>
  <c r="Q1468" i="8"/>
  <c r="Q1469" i="8"/>
  <c r="Q1470" i="8"/>
  <c r="Q1471" i="8"/>
  <c r="Q1472" i="8"/>
  <c r="Q1473" i="8"/>
  <c r="Q1474" i="8"/>
  <c r="Q1475" i="8"/>
  <c r="Q1476" i="8"/>
  <c r="Q1477" i="8"/>
  <c r="Q1478" i="8"/>
  <c r="Q1479" i="8"/>
  <c r="Q1480" i="8"/>
  <c r="Q1481" i="8"/>
  <c r="Q1482" i="8"/>
  <c r="Q1483" i="8"/>
  <c r="Q1484" i="8"/>
  <c r="Q1485" i="8"/>
  <c r="Q1486" i="8"/>
  <c r="Q1487" i="8"/>
  <c r="Q1488" i="8"/>
  <c r="Q1489" i="8"/>
  <c r="Q1490" i="8"/>
  <c r="Q1491" i="8"/>
  <c r="Q1492" i="8"/>
  <c r="Q1493" i="8"/>
  <c r="Q1494" i="8"/>
  <c r="Q1495" i="8"/>
  <c r="Q1496" i="8"/>
  <c r="Q1497" i="8"/>
  <c r="Q1498" i="8"/>
  <c r="Q1499" i="8"/>
  <c r="Q1500" i="8"/>
  <c r="Q1501" i="8"/>
  <c r="Q1502" i="8"/>
  <c r="Q1503" i="8"/>
  <c r="Q1504" i="8"/>
  <c r="Q1505" i="8"/>
  <c r="Q1506" i="8"/>
  <c r="Q1507" i="8"/>
  <c r="Q1508" i="8"/>
  <c r="Q1509" i="8"/>
  <c r="Q1510" i="8"/>
  <c r="Q1511" i="8"/>
  <c r="Q1512" i="8"/>
  <c r="Q1513" i="8"/>
  <c r="Q1514" i="8"/>
  <c r="Q1515" i="8"/>
  <c r="Q1516" i="8"/>
  <c r="Q1517" i="8"/>
  <c r="Q1518" i="8"/>
  <c r="Q1519" i="8"/>
  <c r="Q1520" i="8"/>
  <c r="Q1521" i="8"/>
  <c r="Q1522" i="8"/>
  <c r="Q1523" i="8"/>
  <c r="Q1524" i="8"/>
  <c r="Q1525" i="8"/>
  <c r="Q1526" i="8"/>
  <c r="Q1527" i="8"/>
  <c r="Q1528" i="8"/>
  <c r="Q1529" i="8"/>
  <c r="Q1530" i="8"/>
  <c r="Q1531" i="8"/>
  <c r="Q1532" i="8"/>
  <c r="Q1533" i="8"/>
  <c r="Q1534" i="8"/>
  <c r="Q1535" i="8"/>
  <c r="Q1536" i="8"/>
  <c r="Q1537" i="8"/>
  <c r="Q1538" i="8"/>
  <c r="Q1539" i="8"/>
  <c r="Q1540" i="8"/>
  <c r="Q1541" i="8"/>
  <c r="Q1542" i="8"/>
  <c r="Q1543" i="8"/>
  <c r="Q1544" i="8"/>
  <c r="Q1545" i="8"/>
  <c r="Q1546" i="8"/>
  <c r="Q1547" i="8"/>
  <c r="Q1548" i="8"/>
  <c r="Q1549" i="8"/>
  <c r="Q1550" i="8"/>
  <c r="Q1551" i="8"/>
  <c r="Q1552" i="8"/>
  <c r="Q1553" i="8"/>
  <c r="Q1554" i="8"/>
  <c r="Q1555" i="8"/>
  <c r="Q1556" i="8"/>
  <c r="Q1557" i="8"/>
  <c r="Q1558" i="8"/>
  <c r="Q1559" i="8"/>
  <c r="Q1560" i="8"/>
  <c r="Q1561" i="8"/>
  <c r="Q1562" i="8"/>
  <c r="Q1563" i="8"/>
  <c r="Q1564" i="8"/>
  <c r="Q1565" i="8"/>
  <c r="Q1566" i="8"/>
  <c r="Q1567" i="8"/>
  <c r="Q1568" i="8"/>
  <c r="Q1569" i="8"/>
  <c r="Q1570" i="8"/>
  <c r="Q1571" i="8"/>
  <c r="Q1572" i="8"/>
  <c r="Q1573" i="8"/>
  <c r="Q1574" i="8"/>
  <c r="Q1575" i="8"/>
  <c r="Q1576" i="8"/>
  <c r="Q1577" i="8"/>
  <c r="Q1578" i="8"/>
  <c r="Q1579" i="8"/>
  <c r="Q1580" i="8"/>
  <c r="Q1581" i="8"/>
  <c r="Q1582" i="8"/>
  <c r="Q1583" i="8"/>
  <c r="Q1584" i="8"/>
  <c r="Q1585" i="8"/>
  <c r="Q1586" i="8"/>
  <c r="Q1587" i="8"/>
  <c r="Q1588" i="8"/>
  <c r="Q1589" i="8"/>
  <c r="Q1590" i="8"/>
  <c r="Q1591" i="8"/>
  <c r="Q1592" i="8"/>
  <c r="Q1593" i="8"/>
  <c r="Q1594" i="8"/>
  <c r="Q1595" i="8"/>
  <c r="Q1596" i="8"/>
  <c r="Q1597" i="8"/>
  <c r="Q1598" i="8"/>
  <c r="Q1599" i="8"/>
  <c r="Q1600" i="8"/>
  <c r="Q1601" i="8"/>
  <c r="Q1602" i="8"/>
  <c r="Q1603" i="8"/>
  <c r="Q1604" i="8"/>
  <c r="Q1605" i="8"/>
  <c r="Q1606" i="8"/>
  <c r="Q1607" i="8"/>
  <c r="Q1608" i="8"/>
  <c r="Q1609" i="8"/>
  <c r="Q1610" i="8"/>
  <c r="Q1611" i="8"/>
  <c r="Q1612" i="8"/>
  <c r="Q1613" i="8"/>
  <c r="Q1614" i="8"/>
  <c r="Q1615" i="8"/>
  <c r="Q1616" i="8"/>
  <c r="Q1617" i="8"/>
  <c r="Q1618" i="8"/>
  <c r="Q1619" i="8"/>
  <c r="Q1620" i="8"/>
  <c r="Q1621" i="8"/>
  <c r="Q1622" i="8"/>
  <c r="Q1623" i="8"/>
  <c r="Q1624" i="8"/>
  <c r="Q1625" i="8"/>
  <c r="Q1626" i="8"/>
  <c r="Q1627" i="8"/>
  <c r="Q1628" i="8"/>
  <c r="Q1629" i="8"/>
  <c r="Q1630" i="8"/>
  <c r="Q1631" i="8"/>
  <c r="Q1632" i="8"/>
  <c r="Q1633" i="8"/>
  <c r="Q1634" i="8"/>
  <c r="Q1635" i="8"/>
  <c r="Q1636" i="8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38" i="3"/>
  <c r="I41" i="3"/>
  <c r="I42" i="3"/>
  <c r="I43" i="3"/>
  <c r="I44" i="3"/>
  <c r="I45" i="3"/>
  <c r="I46" i="3"/>
  <c r="I47" i="3"/>
  <c r="I48" i="3"/>
  <c r="G31" i="3"/>
  <c r="G32" i="3"/>
  <c r="G33" i="3"/>
  <c r="G34" i="3"/>
  <c r="G30" i="3"/>
  <c r="G25" i="3"/>
  <c r="G26" i="3"/>
  <c r="G27" i="3"/>
  <c r="G28" i="3"/>
  <c r="G24" i="3"/>
  <c r="G17" i="3"/>
  <c r="G18" i="3"/>
  <c r="G19" i="3"/>
  <c r="G20" i="3"/>
  <c r="G21" i="3"/>
  <c r="G22" i="3"/>
  <c r="G16" i="3"/>
  <c r="G8" i="3"/>
  <c r="G9" i="3"/>
  <c r="G10" i="3"/>
  <c r="G11" i="3"/>
  <c r="G12" i="3"/>
  <c r="G13" i="3"/>
  <c r="G14" i="3"/>
  <c r="G7" i="3"/>
  <c r="I37" i="3"/>
  <c r="I3" i="3"/>
  <c r="I4" i="3"/>
  <c r="I5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T8" i="8"/>
  <c r="T10" i="8"/>
  <c r="T12" i="8"/>
  <c r="T13" i="8"/>
  <c r="T14" i="8"/>
  <c r="T15" i="8"/>
  <c r="T16" i="8"/>
  <c r="T17" i="8"/>
  <c r="T18" i="8"/>
  <c r="T19" i="8"/>
  <c r="T20" i="8"/>
  <c r="T21" i="8"/>
  <c r="T22" i="8"/>
  <c r="T23" i="8"/>
  <c r="S8" i="8"/>
  <c r="S12" i="8"/>
  <c r="S13" i="8"/>
  <c r="S14" i="8"/>
  <c r="S15" i="8"/>
  <c r="S16" i="8"/>
  <c r="S17" i="8"/>
  <c r="S18" i="8"/>
  <c r="S19" i="8"/>
  <c r="S20" i="8"/>
  <c r="S21" i="8"/>
  <c r="S22" i="8"/>
  <c r="S23" i="8"/>
  <c r="R8" i="8"/>
  <c r="R9" i="8"/>
  <c r="S9" i="8" s="1"/>
  <c r="R10" i="8"/>
  <c r="S10" i="8" s="1"/>
  <c r="R11" i="8"/>
  <c r="S11" i="8" s="1"/>
  <c r="R12" i="8"/>
  <c r="R13" i="8"/>
  <c r="R14" i="8"/>
  <c r="R15" i="8"/>
  <c r="R16" i="8"/>
  <c r="R17" i="8"/>
  <c r="R18" i="8"/>
  <c r="R19" i="8"/>
  <c r="R20" i="8"/>
  <c r="R21" i="8"/>
  <c r="R22" i="8"/>
  <c r="R23" i="8"/>
  <c r="P8" i="8"/>
  <c r="P12" i="8"/>
  <c r="P13" i="8"/>
  <c r="P14" i="8"/>
  <c r="P15" i="8"/>
  <c r="P16" i="8"/>
  <c r="P17" i="8"/>
  <c r="P18" i="8"/>
  <c r="P19" i="8"/>
  <c r="P20" i="8"/>
  <c r="P21" i="8"/>
  <c r="P22" i="8"/>
  <c r="P23" i="8"/>
  <c r="O8" i="8"/>
  <c r="O9" i="8"/>
  <c r="O10" i="8"/>
  <c r="O11" i="8"/>
  <c r="O12" i="8"/>
  <c r="O13" i="8"/>
  <c r="O14" i="8"/>
  <c r="O15" i="8"/>
  <c r="O16" i="8"/>
  <c r="O17" i="8"/>
  <c r="O18" i="8"/>
  <c r="O19" i="8"/>
  <c r="O20" i="8"/>
  <c r="O21" i="8"/>
  <c r="O22" i="8"/>
  <c r="O23" i="8"/>
  <c r="N8" i="8"/>
  <c r="N12" i="8"/>
  <c r="N13" i="8"/>
  <c r="N14" i="8"/>
  <c r="N15" i="8"/>
  <c r="N16" i="8"/>
  <c r="N17" i="8"/>
  <c r="N18" i="8"/>
  <c r="N19" i="8"/>
  <c r="N20" i="8"/>
  <c r="N21" i="8"/>
  <c r="N22" i="8"/>
  <c r="N23" i="8"/>
  <c r="M8" i="8"/>
  <c r="M9" i="8"/>
  <c r="M12" i="8"/>
  <c r="M13" i="8"/>
  <c r="M14" i="8"/>
  <c r="M15" i="8"/>
  <c r="M16" i="8"/>
  <c r="M17" i="8"/>
  <c r="M18" i="8"/>
  <c r="M19" i="8"/>
  <c r="M20" i="8"/>
  <c r="M21" i="8"/>
  <c r="M22" i="8"/>
  <c r="M23" i="8"/>
  <c r="L8" i="8"/>
  <c r="L9" i="8"/>
  <c r="L10" i="8"/>
  <c r="L11" i="8"/>
  <c r="L12" i="8"/>
  <c r="L13" i="8"/>
  <c r="L14" i="8"/>
  <c r="L15" i="8"/>
  <c r="L16" i="8"/>
  <c r="L17" i="8"/>
  <c r="L18" i="8"/>
  <c r="L19" i="8"/>
  <c r="L20" i="8"/>
  <c r="L21" i="8"/>
  <c r="L22" i="8"/>
  <c r="L23" i="8"/>
  <c r="L24" i="8"/>
  <c r="L25" i="8"/>
  <c r="L26" i="8"/>
  <c r="L27" i="8"/>
  <c r="L28" i="8"/>
  <c r="L29" i="8"/>
  <c r="L30" i="8"/>
  <c r="L31" i="8"/>
  <c r="L32" i="8"/>
  <c r="L33" i="8"/>
  <c r="L34" i="8"/>
  <c r="L35" i="8"/>
  <c r="L36" i="8"/>
  <c r="L37" i="8"/>
  <c r="L38" i="8"/>
  <c r="L39" i="8"/>
  <c r="L40" i="8"/>
  <c r="L41" i="8"/>
  <c r="L42" i="8"/>
  <c r="L43" i="8"/>
  <c r="L44" i="8"/>
  <c r="L45" i="8"/>
  <c r="L46" i="8"/>
  <c r="L47" i="8"/>
  <c r="L48" i="8"/>
  <c r="L49" i="8"/>
  <c r="L50" i="8"/>
  <c r="L51" i="8"/>
  <c r="L52" i="8"/>
  <c r="L53" i="8"/>
  <c r="L54" i="8"/>
  <c r="L55" i="8"/>
  <c r="L56" i="8"/>
  <c r="L57" i="8"/>
  <c r="L58" i="8"/>
  <c r="L59" i="8"/>
  <c r="L60" i="8"/>
  <c r="L61" i="8"/>
  <c r="L62" i="8"/>
  <c r="L63" i="8"/>
  <c r="L64" i="8"/>
  <c r="L65" i="8"/>
  <c r="L66" i="8"/>
  <c r="L67" i="8"/>
  <c r="L68" i="8"/>
  <c r="L69" i="8"/>
  <c r="L70" i="8"/>
  <c r="L71" i="8"/>
  <c r="L72" i="8"/>
  <c r="L73" i="8"/>
  <c r="L74" i="8"/>
  <c r="L75" i="8"/>
  <c r="L76" i="8"/>
  <c r="L77" i="8"/>
  <c r="L78" i="8"/>
  <c r="L79" i="8"/>
  <c r="L80" i="8"/>
  <c r="L81" i="8"/>
  <c r="L82" i="8"/>
  <c r="L83" i="8"/>
  <c r="L84" i="8"/>
  <c r="L85" i="8"/>
  <c r="L86" i="8"/>
  <c r="L87" i="8"/>
  <c r="L88" i="8"/>
  <c r="L89" i="8"/>
  <c r="L90" i="8"/>
  <c r="L91" i="8"/>
  <c r="L92" i="8"/>
  <c r="L93" i="8"/>
  <c r="L94" i="8"/>
  <c r="L95" i="8"/>
  <c r="L96" i="8"/>
  <c r="L97" i="8"/>
  <c r="L98" i="8"/>
  <c r="L99" i="8"/>
  <c r="L100" i="8"/>
  <c r="L101" i="8"/>
  <c r="L102" i="8"/>
  <c r="L103" i="8"/>
  <c r="L104" i="8"/>
  <c r="L105" i="8"/>
  <c r="L106" i="8"/>
  <c r="L107" i="8"/>
  <c r="L108" i="8"/>
  <c r="L109" i="8"/>
  <c r="L110" i="8"/>
  <c r="L111" i="8"/>
  <c r="L112" i="8"/>
  <c r="L113" i="8"/>
  <c r="L114" i="8"/>
  <c r="L115" i="8"/>
  <c r="L116" i="8"/>
  <c r="L117" i="8"/>
  <c r="L118" i="8"/>
  <c r="L119" i="8"/>
  <c r="L120" i="8"/>
  <c r="L121" i="8"/>
  <c r="L122" i="8"/>
  <c r="L123" i="8"/>
  <c r="L124" i="8"/>
  <c r="L125" i="8"/>
  <c r="L126" i="8"/>
  <c r="L127" i="8"/>
  <c r="L128" i="8"/>
  <c r="L129" i="8"/>
  <c r="L130" i="8"/>
  <c r="L131" i="8"/>
  <c r="L132" i="8"/>
  <c r="L133" i="8"/>
  <c r="L134" i="8"/>
  <c r="L135" i="8"/>
  <c r="L136" i="8"/>
  <c r="L137" i="8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61" i="8"/>
  <c r="L162" i="8"/>
  <c r="L163" i="8"/>
  <c r="L164" i="8"/>
  <c r="L165" i="8"/>
  <c r="L166" i="8"/>
  <c r="L167" i="8"/>
  <c r="L168" i="8"/>
  <c r="L169" i="8"/>
  <c r="L170" i="8"/>
  <c r="L171" i="8"/>
  <c r="L172" i="8"/>
  <c r="L173" i="8"/>
  <c r="L174" i="8"/>
  <c r="L175" i="8"/>
  <c r="L176" i="8"/>
  <c r="L177" i="8"/>
  <c r="L178" i="8"/>
  <c r="L179" i="8"/>
  <c r="L180" i="8"/>
  <c r="L181" i="8"/>
  <c r="L182" i="8"/>
  <c r="L183" i="8"/>
  <c r="L184" i="8"/>
  <c r="L185" i="8"/>
  <c r="L186" i="8"/>
  <c r="L187" i="8"/>
  <c r="L188" i="8"/>
  <c r="L189" i="8"/>
  <c r="L190" i="8"/>
  <c r="L191" i="8"/>
  <c r="L192" i="8"/>
  <c r="L193" i="8"/>
  <c r="L194" i="8"/>
  <c r="L195" i="8"/>
  <c r="L196" i="8"/>
  <c r="L197" i="8"/>
  <c r="L198" i="8"/>
  <c r="L199" i="8"/>
  <c r="L200" i="8"/>
  <c r="L201" i="8"/>
  <c r="L202" i="8"/>
  <c r="L203" i="8"/>
  <c r="L204" i="8"/>
  <c r="L205" i="8"/>
  <c r="L206" i="8"/>
  <c r="L207" i="8"/>
  <c r="L208" i="8"/>
  <c r="L209" i="8"/>
  <c r="L210" i="8"/>
  <c r="L211" i="8"/>
  <c r="L212" i="8"/>
  <c r="L213" i="8"/>
  <c r="L214" i="8"/>
  <c r="L215" i="8"/>
  <c r="L216" i="8"/>
  <c r="L217" i="8"/>
  <c r="L218" i="8"/>
  <c r="L219" i="8"/>
  <c r="L220" i="8"/>
  <c r="L221" i="8"/>
  <c r="L222" i="8"/>
  <c r="L223" i="8"/>
  <c r="L224" i="8"/>
  <c r="L225" i="8"/>
  <c r="L226" i="8"/>
  <c r="L227" i="8"/>
  <c r="L228" i="8"/>
  <c r="L229" i="8"/>
  <c r="L230" i="8"/>
  <c r="L231" i="8"/>
  <c r="L232" i="8"/>
  <c r="L233" i="8"/>
  <c r="L234" i="8"/>
  <c r="L235" i="8"/>
  <c r="L236" i="8"/>
  <c r="L237" i="8"/>
  <c r="L238" i="8"/>
  <c r="L239" i="8"/>
  <c r="L240" i="8"/>
  <c r="L241" i="8"/>
  <c r="L242" i="8"/>
  <c r="L243" i="8"/>
  <c r="L244" i="8"/>
  <c r="L245" i="8"/>
  <c r="L246" i="8"/>
  <c r="L247" i="8"/>
  <c r="L248" i="8"/>
  <c r="L249" i="8"/>
  <c r="L250" i="8"/>
  <c r="L251" i="8"/>
  <c r="L252" i="8"/>
  <c r="L253" i="8"/>
  <c r="L254" i="8"/>
  <c r="L255" i="8"/>
  <c r="L256" i="8"/>
  <c r="L257" i="8"/>
  <c r="L258" i="8"/>
  <c r="L259" i="8"/>
  <c r="L260" i="8"/>
  <c r="L261" i="8"/>
  <c r="L262" i="8"/>
  <c r="L263" i="8"/>
  <c r="L264" i="8"/>
  <c r="L265" i="8"/>
  <c r="L266" i="8"/>
  <c r="L267" i="8"/>
  <c r="L268" i="8"/>
  <c r="L269" i="8"/>
  <c r="L270" i="8"/>
  <c r="L271" i="8"/>
  <c r="L272" i="8"/>
  <c r="L273" i="8"/>
  <c r="L274" i="8"/>
  <c r="L275" i="8"/>
  <c r="L276" i="8"/>
  <c r="L277" i="8"/>
  <c r="L278" i="8"/>
  <c r="L279" i="8"/>
  <c r="L280" i="8"/>
  <c r="L281" i="8"/>
  <c r="L282" i="8"/>
  <c r="L283" i="8"/>
  <c r="L284" i="8"/>
  <c r="L285" i="8"/>
  <c r="L286" i="8"/>
  <c r="L287" i="8"/>
  <c r="L288" i="8"/>
  <c r="L289" i="8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3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607" i="8"/>
  <c r="L608" i="8"/>
  <c r="L609" i="8"/>
  <c r="L610" i="8"/>
  <c r="L611" i="8"/>
  <c r="L612" i="8"/>
  <c r="L613" i="8"/>
  <c r="L614" i="8"/>
  <c r="L615" i="8"/>
  <c r="L616" i="8"/>
  <c r="L617" i="8"/>
  <c r="L618" i="8"/>
  <c r="L619" i="8"/>
  <c r="L620" i="8"/>
  <c r="L621" i="8"/>
  <c r="L622" i="8"/>
  <c r="L623" i="8"/>
  <c r="L624" i="8"/>
  <c r="L625" i="8"/>
  <c r="L626" i="8"/>
  <c r="L627" i="8"/>
  <c r="L628" i="8"/>
  <c r="L629" i="8"/>
  <c r="L630" i="8"/>
  <c r="L631" i="8"/>
  <c r="L632" i="8"/>
  <c r="L633" i="8"/>
  <c r="L634" i="8"/>
  <c r="L635" i="8"/>
  <c r="L636" i="8"/>
  <c r="L637" i="8"/>
  <c r="L638" i="8"/>
  <c r="L639" i="8"/>
  <c r="L640" i="8"/>
  <c r="L641" i="8"/>
  <c r="L642" i="8"/>
  <c r="L643" i="8"/>
  <c r="L644" i="8"/>
  <c r="L645" i="8"/>
  <c r="L646" i="8"/>
  <c r="L647" i="8"/>
  <c r="L648" i="8"/>
  <c r="L649" i="8"/>
  <c r="L650" i="8"/>
  <c r="L651" i="8"/>
  <c r="L652" i="8"/>
  <c r="L653" i="8"/>
  <c r="L654" i="8"/>
  <c r="L655" i="8"/>
  <c r="L656" i="8"/>
  <c r="L657" i="8"/>
  <c r="L658" i="8"/>
  <c r="L659" i="8"/>
  <c r="L660" i="8"/>
  <c r="L661" i="8"/>
  <c r="L662" i="8"/>
  <c r="L663" i="8"/>
  <c r="L664" i="8"/>
  <c r="L665" i="8"/>
  <c r="L666" i="8"/>
  <c r="L667" i="8"/>
  <c r="L668" i="8"/>
  <c r="L669" i="8"/>
  <c r="L670" i="8"/>
  <c r="L671" i="8"/>
  <c r="L672" i="8"/>
  <c r="L673" i="8"/>
  <c r="L674" i="8"/>
  <c r="L675" i="8"/>
  <c r="L676" i="8"/>
  <c r="L677" i="8"/>
  <c r="L678" i="8"/>
  <c r="L679" i="8"/>
  <c r="L680" i="8"/>
  <c r="L681" i="8"/>
  <c r="L682" i="8"/>
  <c r="L683" i="8"/>
  <c r="L684" i="8"/>
  <c r="L685" i="8"/>
  <c r="L686" i="8"/>
  <c r="L687" i="8"/>
  <c r="L688" i="8"/>
  <c r="L689" i="8"/>
  <c r="L690" i="8"/>
  <c r="L691" i="8"/>
  <c r="L692" i="8"/>
  <c r="L693" i="8"/>
  <c r="L694" i="8"/>
  <c r="L695" i="8"/>
  <c r="L696" i="8"/>
  <c r="L697" i="8"/>
  <c r="L698" i="8"/>
  <c r="L699" i="8"/>
  <c r="L700" i="8"/>
  <c r="L701" i="8"/>
  <c r="L702" i="8"/>
  <c r="L703" i="8"/>
  <c r="L704" i="8"/>
  <c r="L705" i="8"/>
  <c r="L706" i="8"/>
  <c r="L707" i="8"/>
  <c r="L708" i="8"/>
  <c r="L709" i="8"/>
  <c r="L710" i="8"/>
  <c r="L711" i="8"/>
  <c r="L712" i="8"/>
  <c r="L713" i="8"/>
  <c r="L714" i="8"/>
  <c r="L715" i="8"/>
  <c r="L716" i="8"/>
  <c r="L717" i="8"/>
  <c r="L718" i="8"/>
  <c r="L719" i="8"/>
  <c r="L720" i="8"/>
  <c r="L721" i="8"/>
  <c r="L722" i="8"/>
  <c r="L723" i="8"/>
  <c r="L724" i="8"/>
  <c r="L725" i="8"/>
  <c r="L726" i="8"/>
  <c r="L727" i="8"/>
  <c r="L728" i="8"/>
  <c r="L729" i="8"/>
  <c r="L730" i="8"/>
  <c r="L731" i="8"/>
  <c r="L732" i="8"/>
  <c r="L733" i="8"/>
  <c r="L734" i="8"/>
  <c r="L735" i="8"/>
  <c r="L736" i="8"/>
  <c r="L737" i="8"/>
  <c r="L738" i="8"/>
  <c r="L739" i="8"/>
  <c r="L740" i="8"/>
  <c r="L741" i="8"/>
  <c r="L742" i="8"/>
  <c r="L743" i="8"/>
  <c r="L744" i="8"/>
  <c r="L745" i="8"/>
  <c r="L746" i="8"/>
  <c r="L747" i="8"/>
  <c r="L748" i="8"/>
  <c r="L749" i="8"/>
  <c r="L750" i="8"/>
  <c r="L751" i="8"/>
  <c r="L752" i="8"/>
  <c r="L753" i="8"/>
  <c r="L754" i="8"/>
  <c r="L755" i="8"/>
  <c r="L756" i="8"/>
  <c r="L757" i="8"/>
  <c r="L758" i="8"/>
  <c r="L759" i="8"/>
  <c r="L760" i="8"/>
  <c r="L761" i="8"/>
  <c r="L762" i="8"/>
  <c r="L763" i="8"/>
  <c r="L764" i="8"/>
  <c r="L765" i="8"/>
  <c r="L766" i="8"/>
  <c r="L767" i="8"/>
  <c r="L768" i="8"/>
  <c r="L769" i="8"/>
  <c r="L770" i="8"/>
  <c r="L771" i="8"/>
  <c r="L772" i="8"/>
  <c r="L773" i="8"/>
  <c r="L774" i="8"/>
  <c r="L775" i="8"/>
  <c r="L776" i="8"/>
  <c r="L777" i="8"/>
  <c r="L778" i="8"/>
  <c r="L779" i="8"/>
  <c r="L780" i="8"/>
  <c r="L781" i="8"/>
  <c r="L782" i="8"/>
  <c r="L783" i="8"/>
  <c r="L784" i="8"/>
  <c r="L785" i="8"/>
  <c r="L786" i="8"/>
  <c r="L787" i="8"/>
  <c r="L788" i="8"/>
  <c r="L789" i="8"/>
  <c r="L790" i="8"/>
  <c r="L791" i="8"/>
  <c r="L792" i="8"/>
  <c r="L793" i="8"/>
  <c r="L794" i="8"/>
  <c r="L795" i="8"/>
  <c r="L796" i="8"/>
  <c r="L797" i="8"/>
  <c r="L798" i="8"/>
  <c r="L799" i="8"/>
  <c r="L800" i="8"/>
  <c r="L801" i="8"/>
  <c r="L802" i="8"/>
  <c r="L803" i="8"/>
  <c r="L804" i="8"/>
  <c r="L805" i="8"/>
  <c r="L806" i="8"/>
  <c r="L807" i="8"/>
  <c r="L808" i="8"/>
  <c r="L809" i="8"/>
  <c r="L810" i="8"/>
  <c r="L811" i="8"/>
  <c r="L812" i="8"/>
  <c r="L813" i="8"/>
  <c r="L814" i="8"/>
  <c r="L815" i="8"/>
  <c r="L816" i="8"/>
  <c r="L817" i="8"/>
  <c r="L818" i="8"/>
  <c r="L819" i="8"/>
  <c r="L820" i="8"/>
  <c r="L821" i="8"/>
  <c r="L822" i="8"/>
  <c r="L823" i="8"/>
  <c r="L824" i="8"/>
  <c r="L825" i="8"/>
  <c r="L826" i="8"/>
  <c r="L827" i="8"/>
  <c r="L828" i="8"/>
  <c r="L829" i="8"/>
  <c r="L830" i="8"/>
  <c r="L831" i="8"/>
  <c r="L832" i="8"/>
  <c r="L833" i="8"/>
  <c r="L834" i="8"/>
  <c r="L835" i="8"/>
  <c r="L836" i="8"/>
  <c r="L837" i="8"/>
  <c r="L838" i="8"/>
  <c r="L839" i="8"/>
  <c r="L840" i="8"/>
  <c r="L841" i="8"/>
  <c r="L842" i="8"/>
  <c r="L843" i="8"/>
  <c r="L844" i="8"/>
  <c r="L845" i="8"/>
  <c r="L846" i="8"/>
  <c r="L847" i="8"/>
  <c r="L848" i="8"/>
  <c r="L849" i="8"/>
  <c r="L850" i="8"/>
  <c r="L851" i="8"/>
  <c r="L852" i="8"/>
  <c r="L853" i="8"/>
  <c r="L854" i="8"/>
  <c r="L855" i="8"/>
  <c r="L856" i="8"/>
  <c r="L857" i="8"/>
  <c r="L858" i="8"/>
  <c r="L859" i="8"/>
  <c r="L860" i="8"/>
  <c r="L861" i="8"/>
  <c r="L862" i="8"/>
  <c r="L863" i="8"/>
  <c r="L864" i="8"/>
  <c r="L865" i="8"/>
  <c r="L866" i="8"/>
  <c r="L867" i="8"/>
  <c r="L868" i="8"/>
  <c r="L869" i="8"/>
  <c r="L870" i="8"/>
  <c r="L871" i="8"/>
  <c r="L872" i="8"/>
  <c r="L873" i="8"/>
  <c r="L874" i="8"/>
  <c r="L875" i="8"/>
  <c r="L876" i="8"/>
  <c r="L877" i="8"/>
  <c r="L878" i="8"/>
  <c r="L879" i="8"/>
  <c r="L880" i="8"/>
  <c r="L881" i="8"/>
  <c r="L882" i="8"/>
  <c r="L883" i="8"/>
  <c r="L884" i="8"/>
  <c r="L885" i="8"/>
  <c r="L886" i="8"/>
  <c r="L887" i="8"/>
  <c r="L88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L999" i="8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L1155" i="8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M10" i="8"/>
  <c r="N10" i="8" s="1"/>
  <c r="P10" i="8" s="1"/>
  <c r="M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" i="8"/>
  <c r="N14" i="5"/>
  <c r="O14" i="5"/>
  <c r="P14" i="5"/>
  <c r="Q14" i="5"/>
  <c r="C8" i="1" s="1"/>
  <c r="R14" i="5"/>
  <c r="S14" i="5"/>
  <c r="T14" i="5"/>
  <c r="C11" i="1" s="1"/>
  <c r="D14" i="5"/>
  <c r="E14" i="5"/>
  <c r="C9" i="1" s="1"/>
  <c r="F14" i="5"/>
  <c r="D9" i="1" s="1"/>
  <c r="G14" i="5"/>
  <c r="C10" i="1" s="1"/>
  <c r="H14" i="5"/>
  <c r="I14" i="5"/>
  <c r="J14" i="5"/>
  <c r="C17" i="1" s="1"/>
  <c r="K14" i="5"/>
  <c r="L14" i="5"/>
  <c r="M14" i="5"/>
  <c r="C14" i="5"/>
  <c r="C7" i="1" s="1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C13" i="5"/>
  <c r="S14" i="7" l="1"/>
  <c r="S13" i="7"/>
  <c r="T12" i="7"/>
  <c r="S12" i="7"/>
  <c r="T11" i="7"/>
  <c r="S11" i="7"/>
  <c r="T10" i="7"/>
  <c r="S10" i="7"/>
  <c r="T9" i="7"/>
  <c r="S9" i="7"/>
  <c r="T8" i="7"/>
  <c r="S8" i="7"/>
  <c r="T7" i="7"/>
  <c r="S7" i="7"/>
  <c r="T6" i="7"/>
  <c r="S6" i="7"/>
  <c r="T5" i="7"/>
  <c r="T4" i="7"/>
  <c r="T3" i="7"/>
  <c r="S3" i="7"/>
  <c r="T2" i="7"/>
  <c r="S2" i="7"/>
  <c r="T11" i="8"/>
  <c r="N11" i="8"/>
  <c r="P11" i="8" s="1"/>
  <c r="T9" i="8"/>
  <c r="N9" i="8"/>
  <c r="P9" i="8" s="1"/>
  <c r="R22" i="2"/>
  <c r="Q22" i="2"/>
  <c r="O22" i="2"/>
  <c r="M22" i="2"/>
  <c r="L22" i="2"/>
  <c r="R20" i="2"/>
  <c r="Q20" i="2"/>
  <c r="O20" i="2"/>
  <c r="M20" i="2"/>
  <c r="L20" i="2"/>
  <c r="R18" i="2"/>
  <c r="Q18" i="2"/>
  <c r="O18" i="2"/>
  <c r="M18" i="2"/>
  <c r="L18" i="2"/>
  <c r="R16" i="2"/>
  <c r="Q16" i="2"/>
  <c r="O16" i="2"/>
  <c r="M16" i="2"/>
  <c r="L16" i="2"/>
  <c r="R14" i="2"/>
  <c r="Q14" i="2"/>
  <c r="O14" i="2"/>
  <c r="M14" i="2"/>
  <c r="L14" i="2"/>
  <c r="R12" i="2"/>
  <c r="Q12" i="2"/>
  <c r="O12" i="2"/>
  <c r="M12" i="2"/>
  <c r="L12" i="2"/>
  <c r="R10" i="2"/>
  <c r="Q10" i="2"/>
  <c r="O10" i="2"/>
  <c r="M10" i="2"/>
  <c r="L10" i="2"/>
  <c r="R8" i="2"/>
  <c r="Q8" i="2"/>
  <c r="O8" i="2"/>
  <c r="M8" i="2"/>
  <c r="L8" i="2"/>
  <c r="R1636" i="8"/>
  <c r="O1636" i="8"/>
  <c r="M1636" i="8"/>
  <c r="N1636" i="8"/>
  <c r="P1636" i="8" s="1"/>
  <c r="R1635" i="8"/>
  <c r="S1635" i="8" s="1"/>
  <c r="O1635" i="8"/>
  <c r="M1635" i="8"/>
  <c r="N1635" i="8"/>
  <c r="P1635" i="8" s="1"/>
  <c r="R1634" i="8"/>
  <c r="T1634" i="8" s="1"/>
  <c r="O1634" i="8"/>
  <c r="M1634" i="8"/>
  <c r="N1634" i="8"/>
  <c r="P1634" i="8" s="1"/>
  <c r="R1633" i="8"/>
  <c r="T1633" i="8" s="1"/>
  <c r="O1633" i="8"/>
  <c r="M1633" i="8"/>
  <c r="N1633" i="8"/>
  <c r="P1633" i="8" s="1"/>
  <c r="R1632" i="8"/>
  <c r="O1632" i="8"/>
  <c r="M1632" i="8"/>
  <c r="N1632" i="8"/>
  <c r="P1632" i="8" s="1"/>
  <c r="R1631" i="8"/>
  <c r="O1631" i="8"/>
  <c r="M1631" i="8"/>
  <c r="N1631" i="8"/>
  <c r="P1631" i="8" s="1"/>
  <c r="R1630" i="8"/>
  <c r="O1630" i="8"/>
  <c r="M1630" i="8"/>
  <c r="N1630" i="8"/>
  <c r="P1630" i="8" s="1"/>
  <c r="T1629" i="8"/>
  <c r="R1629" i="8"/>
  <c r="S1629" i="8" s="1"/>
  <c r="O1629" i="8"/>
  <c r="M1629" i="8"/>
  <c r="N1629" i="8"/>
  <c r="P1629" i="8" s="1"/>
  <c r="T1628" i="8"/>
  <c r="S1628" i="8"/>
  <c r="R1628" i="8"/>
  <c r="O1628" i="8"/>
  <c r="M1628" i="8"/>
  <c r="N1628" i="8"/>
  <c r="P1628" i="8" s="1"/>
  <c r="R1627" i="8"/>
  <c r="T1627" i="8" s="1"/>
  <c r="O1627" i="8"/>
  <c r="M1627" i="8"/>
  <c r="N1627" i="8"/>
  <c r="P1627" i="8" s="1"/>
  <c r="R1626" i="8"/>
  <c r="O1626" i="8"/>
  <c r="M1626" i="8"/>
  <c r="N1626" i="8"/>
  <c r="P1626" i="8" s="1"/>
  <c r="R1625" i="8"/>
  <c r="O1625" i="8"/>
  <c r="M1625" i="8"/>
  <c r="N1625" i="8"/>
  <c r="P1625" i="8" s="1"/>
  <c r="R1624" i="8"/>
  <c r="T1624" i="8" s="1"/>
  <c r="O1624" i="8"/>
  <c r="M1624" i="8"/>
  <c r="N1624" i="8"/>
  <c r="P1624" i="8" s="1"/>
  <c r="R1623" i="8"/>
  <c r="T1623" i="8" s="1"/>
  <c r="O1623" i="8"/>
  <c r="M1623" i="8"/>
  <c r="N1623" i="8"/>
  <c r="P1623" i="8" s="1"/>
  <c r="R1622" i="8"/>
  <c r="S1622" i="8" s="1"/>
  <c r="O1622" i="8"/>
  <c r="M1622" i="8"/>
  <c r="N1622" i="8"/>
  <c r="P1622" i="8" s="1"/>
  <c r="T1621" i="8"/>
  <c r="R1621" i="8"/>
  <c r="S1621" i="8" s="1"/>
  <c r="O1621" i="8"/>
  <c r="M1621" i="8"/>
  <c r="N1621" i="8"/>
  <c r="P1621" i="8" s="1"/>
  <c r="R1620" i="8"/>
  <c r="O1620" i="8"/>
  <c r="M1620" i="8"/>
  <c r="N1620" i="8"/>
  <c r="P1620" i="8" s="1"/>
  <c r="R1619" i="8"/>
  <c r="O1619" i="8"/>
  <c r="M1619" i="8"/>
  <c r="N1619" i="8"/>
  <c r="P1619" i="8" s="1"/>
  <c r="T1618" i="8"/>
  <c r="R1618" i="8"/>
  <c r="S1618" i="8" s="1"/>
  <c r="O1618" i="8"/>
  <c r="M1618" i="8"/>
  <c r="N1618" i="8"/>
  <c r="P1618" i="8" s="1"/>
  <c r="R1617" i="8"/>
  <c r="O1617" i="8"/>
  <c r="M1617" i="8"/>
  <c r="N1617" i="8"/>
  <c r="P1617" i="8" s="1"/>
  <c r="R1616" i="8"/>
  <c r="P1616" i="8"/>
  <c r="O1616" i="8"/>
  <c r="M1616" i="8"/>
  <c r="N1616" i="8"/>
  <c r="R1615" i="8"/>
  <c r="T1615" i="8" s="1"/>
  <c r="O1615" i="8"/>
  <c r="M1615" i="8"/>
  <c r="N1615" i="8"/>
  <c r="P1615" i="8" s="1"/>
  <c r="R1614" i="8"/>
  <c r="S1614" i="8" s="1"/>
  <c r="O1614" i="8"/>
  <c r="M1614" i="8"/>
  <c r="N1614" i="8"/>
  <c r="P1614" i="8" s="1"/>
  <c r="R1613" i="8"/>
  <c r="T1613" i="8" s="1"/>
  <c r="O1613" i="8"/>
  <c r="N1613" i="8"/>
  <c r="P1613" i="8" s="1"/>
  <c r="M1613" i="8"/>
  <c r="R1612" i="8"/>
  <c r="O1612" i="8"/>
  <c r="M1612" i="8"/>
  <c r="N1612" i="8"/>
  <c r="P1612" i="8" s="1"/>
  <c r="R1611" i="8"/>
  <c r="T1611" i="8" s="1"/>
  <c r="O1611" i="8"/>
  <c r="M1611" i="8"/>
  <c r="N1611" i="8"/>
  <c r="P1611" i="8" s="1"/>
  <c r="R1610" i="8"/>
  <c r="T1610" i="8" s="1"/>
  <c r="O1610" i="8"/>
  <c r="M1610" i="8"/>
  <c r="N1610" i="8"/>
  <c r="P1610" i="8" s="1"/>
  <c r="T1609" i="8"/>
  <c r="S1609" i="8"/>
  <c r="R1609" i="8"/>
  <c r="O1609" i="8"/>
  <c r="N1609" i="8"/>
  <c r="P1609" i="8" s="1"/>
  <c r="M1609" i="8"/>
  <c r="S1608" i="8"/>
  <c r="R1608" i="8"/>
  <c r="T1608" i="8" s="1"/>
  <c r="O1608" i="8"/>
  <c r="M1608" i="8"/>
  <c r="N1608" i="8"/>
  <c r="P1608" i="8" s="1"/>
  <c r="R1607" i="8"/>
  <c r="T1607" i="8" s="1"/>
  <c r="O1607" i="8"/>
  <c r="M1607" i="8"/>
  <c r="N1607" i="8"/>
  <c r="P1607" i="8" s="1"/>
  <c r="T1606" i="8"/>
  <c r="R1606" i="8"/>
  <c r="S1606" i="8" s="1"/>
  <c r="O1606" i="8"/>
  <c r="M1606" i="8"/>
  <c r="N1606" i="8"/>
  <c r="P1606" i="8" s="1"/>
  <c r="T1605" i="8"/>
  <c r="R1605" i="8"/>
  <c r="S1605" i="8" s="1"/>
  <c r="O1605" i="8"/>
  <c r="M1605" i="8"/>
  <c r="N1605" i="8"/>
  <c r="P1605" i="8" s="1"/>
  <c r="R1604" i="8"/>
  <c r="O1604" i="8"/>
  <c r="M1604" i="8"/>
  <c r="N1604" i="8"/>
  <c r="P1604" i="8" s="1"/>
  <c r="R1603" i="8"/>
  <c r="T1603" i="8" s="1"/>
  <c r="O1603" i="8"/>
  <c r="M1603" i="8"/>
  <c r="N1603" i="8"/>
  <c r="P1603" i="8" s="1"/>
  <c r="R1602" i="8"/>
  <c r="O1602" i="8"/>
  <c r="M1602" i="8"/>
  <c r="N1602" i="8"/>
  <c r="P1602" i="8" s="1"/>
  <c r="R1601" i="8"/>
  <c r="O1601" i="8"/>
  <c r="M1601" i="8"/>
  <c r="N1601" i="8"/>
  <c r="P1601" i="8" s="1"/>
  <c r="R1600" i="8"/>
  <c r="O1600" i="8"/>
  <c r="M1600" i="8"/>
  <c r="N1600" i="8"/>
  <c r="P1600" i="8" s="1"/>
  <c r="R1599" i="8"/>
  <c r="O1599" i="8"/>
  <c r="M1599" i="8"/>
  <c r="N1599" i="8"/>
  <c r="P1599" i="8" s="1"/>
  <c r="R1598" i="8"/>
  <c r="T1598" i="8" s="1"/>
  <c r="O1598" i="8"/>
  <c r="M1598" i="8"/>
  <c r="N1598" i="8"/>
  <c r="P1598" i="8" s="1"/>
  <c r="R1597" i="8"/>
  <c r="O1597" i="8"/>
  <c r="N1597" i="8"/>
  <c r="P1597" i="8" s="1"/>
  <c r="M1597" i="8"/>
  <c r="R1596" i="8"/>
  <c r="O1596" i="8"/>
  <c r="M1596" i="8"/>
  <c r="N1596" i="8"/>
  <c r="P1596" i="8" s="1"/>
  <c r="R1595" i="8"/>
  <c r="O1595" i="8"/>
  <c r="M1595" i="8"/>
  <c r="N1595" i="8"/>
  <c r="P1595" i="8" s="1"/>
  <c r="T1594" i="8"/>
  <c r="S1594" i="8"/>
  <c r="R1594" i="8"/>
  <c r="O1594" i="8"/>
  <c r="N1594" i="8"/>
  <c r="P1594" i="8" s="1"/>
  <c r="M1594" i="8"/>
  <c r="R1593" i="8"/>
  <c r="S1593" i="8" s="1"/>
  <c r="O1593" i="8"/>
  <c r="M1593" i="8"/>
  <c r="N1593" i="8"/>
  <c r="P1593" i="8" s="1"/>
  <c r="R1592" i="8"/>
  <c r="T1592" i="8" s="1"/>
  <c r="O1592" i="8"/>
  <c r="M1592" i="8"/>
  <c r="N1592" i="8"/>
  <c r="P1592" i="8" s="1"/>
  <c r="T1591" i="8"/>
  <c r="S1591" i="8"/>
  <c r="R1591" i="8"/>
  <c r="O1591" i="8"/>
  <c r="M1591" i="8"/>
  <c r="N1591" i="8"/>
  <c r="P1591" i="8" s="1"/>
  <c r="S1590" i="8"/>
  <c r="R1590" i="8"/>
  <c r="T1590" i="8" s="1"/>
  <c r="O1590" i="8"/>
  <c r="M1590" i="8"/>
  <c r="N1590" i="8"/>
  <c r="P1590" i="8" s="1"/>
  <c r="S1589" i="8"/>
  <c r="R1589" i="8"/>
  <c r="T1589" i="8" s="1"/>
  <c r="O1589" i="8"/>
  <c r="M1589" i="8"/>
  <c r="N1589" i="8"/>
  <c r="P1589" i="8" s="1"/>
  <c r="T1588" i="8"/>
  <c r="S1588" i="8"/>
  <c r="R1588" i="8"/>
  <c r="O1588" i="8"/>
  <c r="N1588" i="8"/>
  <c r="P1588" i="8" s="1"/>
  <c r="M1588" i="8"/>
  <c r="R1587" i="8"/>
  <c r="O1587" i="8"/>
  <c r="M1587" i="8"/>
  <c r="N1587" i="8"/>
  <c r="P1587" i="8" s="1"/>
  <c r="R1586" i="8"/>
  <c r="T1586" i="8" s="1"/>
  <c r="O1586" i="8"/>
  <c r="M1586" i="8"/>
  <c r="N1586" i="8"/>
  <c r="P1586" i="8" s="1"/>
  <c r="R1585" i="8"/>
  <c r="S1585" i="8" s="1"/>
  <c r="O1585" i="8"/>
  <c r="M1585" i="8"/>
  <c r="N1585" i="8"/>
  <c r="P1585" i="8" s="1"/>
  <c r="T1584" i="8"/>
  <c r="R1584" i="8"/>
  <c r="S1584" i="8" s="1"/>
  <c r="O1584" i="8"/>
  <c r="M1584" i="8"/>
  <c r="N1584" i="8"/>
  <c r="P1584" i="8" s="1"/>
  <c r="R1583" i="8"/>
  <c r="T1583" i="8" s="1"/>
  <c r="O1583" i="8"/>
  <c r="M1583" i="8"/>
  <c r="N1583" i="8"/>
  <c r="P1583" i="8" s="1"/>
  <c r="R1582" i="8"/>
  <c r="S1582" i="8" s="1"/>
  <c r="O1582" i="8"/>
  <c r="M1582" i="8"/>
  <c r="N1582" i="8"/>
  <c r="P1582" i="8" s="1"/>
  <c r="T1581" i="8"/>
  <c r="R1581" i="8"/>
  <c r="S1581" i="8" s="1"/>
  <c r="O1581" i="8"/>
  <c r="M1581" i="8"/>
  <c r="N1581" i="8"/>
  <c r="P1581" i="8" s="1"/>
  <c r="R1580" i="8"/>
  <c r="O1580" i="8"/>
  <c r="M1580" i="8"/>
  <c r="N1580" i="8"/>
  <c r="P1580" i="8" s="1"/>
  <c r="R1579" i="8"/>
  <c r="O1579" i="8"/>
  <c r="M1579" i="8"/>
  <c r="N1579" i="8"/>
  <c r="P1579" i="8" s="1"/>
  <c r="R1578" i="8"/>
  <c r="O1578" i="8"/>
  <c r="M1578" i="8"/>
  <c r="N1578" i="8"/>
  <c r="P1578" i="8" s="1"/>
  <c r="R1577" i="8"/>
  <c r="O1577" i="8"/>
  <c r="M1577" i="8"/>
  <c r="N1577" i="8"/>
  <c r="P1577" i="8" s="1"/>
  <c r="R1576" i="8"/>
  <c r="P1576" i="8"/>
  <c r="O1576" i="8"/>
  <c r="M1576" i="8"/>
  <c r="N1576" i="8"/>
  <c r="R1575" i="8"/>
  <c r="P1575" i="8"/>
  <c r="O1575" i="8"/>
  <c r="M1575" i="8"/>
  <c r="N1575" i="8"/>
  <c r="R1574" i="8"/>
  <c r="O1574" i="8"/>
  <c r="M1574" i="8"/>
  <c r="N1574" i="8"/>
  <c r="P1574" i="8" s="1"/>
  <c r="S1573" i="8"/>
  <c r="R1573" i="8"/>
  <c r="T1573" i="8" s="1"/>
  <c r="O1573" i="8"/>
  <c r="M1573" i="8"/>
  <c r="N1573" i="8"/>
  <c r="P1573" i="8" s="1"/>
  <c r="R1572" i="8"/>
  <c r="T1572" i="8" s="1"/>
  <c r="O1572" i="8"/>
  <c r="M1572" i="8"/>
  <c r="N1572" i="8"/>
  <c r="P1572" i="8" s="1"/>
  <c r="R1571" i="8"/>
  <c r="S1571" i="8" s="1"/>
  <c r="O1571" i="8"/>
  <c r="M1571" i="8"/>
  <c r="N1571" i="8"/>
  <c r="P1571" i="8" s="1"/>
  <c r="R1570" i="8"/>
  <c r="T1570" i="8" s="1"/>
  <c r="O1570" i="8"/>
  <c r="M1570" i="8"/>
  <c r="N1570" i="8"/>
  <c r="P1570" i="8" s="1"/>
  <c r="R1569" i="8"/>
  <c r="O1569" i="8"/>
  <c r="M1569" i="8"/>
  <c r="N1569" i="8"/>
  <c r="P1569" i="8" s="1"/>
  <c r="R1568" i="8"/>
  <c r="T1568" i="8" s="1"/>
  <c r="O1568" i="8"/>
  <c r="M1568" i="8"/>
  <c r="N1568" i="8"/>
  <c r="P1568" i="8" s="1"/>
  <c r="R1567" i="8"/>
  <c r="O1567" i="8"/>
  <c r="N1567" i="8"/>
  <c r="P1567" i="8" s="1"/>
  <c r="M1567" i="8"/>
  <c r="R1566" i="8"/>
  <c r="O1566" i="8"/>
  <c r="M1566" i="8"/>
  <c r="N1566" i="8"/>
  <c r="P1566" i="8" s="1"/>
  <c r="R1565" i="8"/>
  <c r="S1565" i="8" s="1"/>
  <c r="O1565" i="8"/>
  <c r="N1565" i="8"/>
  <c r="P1565" i="8" s="1"/>
  <c r="M1565" i="8"/>
  <c r="R1564" i="8"/>
  <c r="O1564" i="8"/>
  <c r="M1564" i="8"/>
  <c r="N1564" i="8"/>
  <c r="P1564" i="8" s="1"/>
  <c r="T1563" i="8"/>
  <c r="R1563" i="8"/>
  <c r="S1563" i="8" s="1"/>
  <c r="O1563" i="8"/>
  <c r="M1563" i="8"/>
  <c r="N1563" i="8"/>
  <c r="P1563" i="8" s="1"/>
  <c r="S1562" i="8"/>
  <c r="R1562" i="8"/>
  <c r="T1562" i="8" s="1"/>
  <c r="O1562" i="8"/>
  <c r="N1562" i="8"/>
  <c r="P1562" i="8" s="1"/>
  <c r="M1562" i="8"/>
  <c r="R1561" i="8"/>
  <c r="T1561" i="8" s="1"/>
  <c r="P1561" i="8"/>
  <c r="O1561" i="8"/>
  <c r="M1561" i="8"/>
  <c r="N1561" i="8"/>
  <c r="R1560" i="8"/>
  <c r="T1560" i="8" s="1"/>
  <c r="O1560" i="8"/>
  <c r="M1560" i="8"/>
  <c r="N1560" i="8"/>
  <c r="P1560" i="8" s="1"/>
  <c r="T1559" i="8"/>
  <c r="R1559" i="8"/>
  <c r="S1559" i="8" s="1"/>
  <c r="O1559" i="8"/>
  <c r="M1559" i="8"/>
  <c r="N1559" i="8"/>
  <c r="P1559" i="8" s="1"/>
  <c r="R1558" i="8"/>
  <c r="T1558" i="8" s="1"/>
  <c r="O1558" i="8"/>
  <c r="M1558" i="8"/>
  <c r="N1558" i="8"/>
  <c r="P1558" i="8" s="1"/>
  <c r="S1557" i="8"/>
  <c r="R1557" i="8"/>
  <c r="T1557" i="8" s="1"/>
  <c r="O1557" i="8"/>
  <c r="M1557" i="8"/>
  <c r="N1557" i="8"/>
  <c r="P1557" i="8" s="1"/>
  <c r="R1556" i="8"/>
  <c r="O1556" i="8"/>
  <c r="M1556" i="8"/>
  <c r="N1556" i="8"/>
  <c r="P1556" i="8" s="1"/>
  <c r="R1555" i="8"/>
  <c r="S1555" i="8" s="1"/>
  <c r="O1555" i="8"/>
  <c r="M1555" i="8"/>
  <c r="N1555" i="8"/>
  <c r="P1555" i="8" s="1"/>
  <c r="R1554" i="8"/>
  <c r="T1554" i="8" s="1"/>
  <c r="O1554" i="8"/>
  <c r="N1554" i="8"/>
  <c r="P1554" i="8" s="1"/>
  <c r="M1554" i="8"/>
  <c r="S1553" i="8"/>
  <c r="R1553" i="8"/>
  <c r="T1553" i="8" s="1"/>
  <c r="O1553" i="8"/>
  <c r="M1553" i="8"/>
  <c r="N1553" i="8"/>
  <c r="P1553" i="8" s="1"/>
  <c r="R1552" i="8"/>
  <c r="T1552" i="8" s="1"/>
  <c r="O1552" i="8"/>
  <c r="M1552" i="8"/>
  <c r="N1552" i="8"/>
  <c r="P1552" i="8" s="1"/>
  <c r="T1551" i="8"/>
  <c r="S1551" i="8"/>
  <c r="R1551" i="8"/>
  <c r="O1551" i="8"/>
  <c r="M1551" i="8"/>
  <c r="N1551" i="8"/>
  <c r="P1551" i="8" s="1"/>
  <c r="R1550" i="8"/>
  <c r="T1550" i="8" s="1"/>
  <c r="O1550" i="8"/>
  <c r="M1550" i="8"/>
  <c r="N1550" i="8"/>
  <c r="P1550" i="8" s="1"/>
  <c r="S1549" i="8"/>
  <c r="R1549" i="8"/>
  <c r="T1549" i="8" s="1"/>
  <c r="O1549" i="8"/>
  <c r="N1549" i="8"/>
  <c r="P1549" i="8" s="1"/>
  <c r="M1549" i="8"/>
  <c r="T1548" i="8"/>
  <c r="S1548" i="8"/>
  <c r="R1548" i="8"/>
  <c r="O1548" i="8"/>
  <c r="N1548" i="8"/>
  <c r="P1548" i="8" s="1"/>
  <c r="M1548" i="8"/>
  <c r="R1547" i="8"/>
  <c r="O1547" i="8"/>
  <c r="M1547" i="8"/>
  <c r="N1547" i="8"/>
  <c r="P1547" i="8" s="1"/>
  <c r="R1546" i="8"/>
  <c r="T1546" i="8" s="1"/>
  <c r="O1546" i="8"/>
  <c r="M1546" i="8"/>
  <c r="N1546" i="8"/>
  <c r="P1546" i="8" s="1"/>
  <c r="T1545" i="8"/>
  <c r="R1545" i="8"/>
  <c r="S1545" i="8" s="1"/>
  <c r="O1545" i="8"/>
  <c r="M1545" i="8"/>
  <c r="N1545" i="8"/>
  <c r="P1545" i="8" s="1"/>
  <c r="S1544" i="8"/>
  <c r="R1544" i="8"/>
  <c r="T1544" i="8" s="1"/>
  <c r="O1544" i="8"/>
  <c r="M1544" i="8"/>
  <c r="N1544" i="8"/>
  <c r="P1544" i="8" s="1"/>
  <c r="R1543" i="8"/>
  <c r="T1543" i="8" s="1"/>
  <c r="O1543" i="8"/>
  <c r="N1543" i="8"/>
  <c r="P1543" i="8" s="1"/>
  <c r="M1543" i="8"/>
  <c r="S1542" i="8"/>
  <c r="R1542" i="8"/>
  <c r="T1542" i="8" s="1"/>
  <c r="O1542" i="8"/>
  <c r="N1542" i="8"/>
  <c r="P1542" i="8" s="1"/>
  <c r="M1542" i="8"/>
  <c r="R1541" i="8"/>
  <c r="S1541" i="8" s="1"/>
  <c r="O1541" i="8"/>
  <c r="M1541" i="8"/>
  <c r="N1541" i="8"/>
  <c r="P1541" i="8" s="1"/>
  <c r="R1540" i="8"/>
  <c r="T1540" i="8" s="1"/>
  <c r="O1540" i="8"/>
  <c r="M1540" i="8"/>
  <c r="N1540" i="8"/>
  <c r="P1540" i="8" s="1"/>
  <c r="T1539" i="8"/>
  <c r="R1539" i="8"/>
  <c r="S1539" i="8" s="1"/>
  <c r="O1539" i="8"/>
  <c r="N1539" i="8"/>
  <c r="P1539" i="8" s="1"/>
  <c r="M1539" i="8"/>
  <c r="S1538" i="8"/>
  <c r="R1538" i="8"/>
  <c r="T1538" i="8" s="1"/>
  <c r="O1538" i="8"/>
  <c r="M1538" i="8"/>
  <c r="N1538" i="8"/>
  <c r="P1538" i="8" s="1"/>
  <c r="R1537" i="8"/>
  <c r="S1537" i="8" s="1"/>
  <c r="O1537" i="8"/>
  <c r="M1537" i="8"/>
  <c r="N1537" i="8"/>
  <c r="P1537" i="8" s="1"/>
  <c r="R1536" i="8"/>
  <c r="O1536" i="8"/>
  <c r="M1536" i="8"/>
  <c r="N1536" i="8"/>
  <c r="P1536" i="8" s="1"/>
  <c r="R1535" i="8"/>
  <c r="O1535" i="8"/>
  <c r="M1535" i="8"/>
  <c r="N1535" i="8"/>
  <c r="P1535" i="8" s="1"/>
  <c r="T1534" i="8"/>
  <c r="S1534" i="8"/>
  <c r="R1534" i="8"/>
  <c r="O1534" i="8"/>
  <c r="M1534" i="8"/>
  <c r="N1534" i="8"/>
  <c r="P1534" i="8" s="1"/>
  <c r="R1533" i="8"/>
  <c r="S1533" i="8" s="1"/>
  <c r="O1533" i="8"/>
  <c r="M1533" i="8"/>
  <c r="N1533" i="8"/>
  <c r="P1533" i="8" s="1"/>
  <c r="S1532" i="8"/>
  <c r="R1532" i="8"/>
  <c r="T1532" i="8" s="1"/>
  <c r="O1532" i="8"/>
  <c r="M1532" i="8"/>
  <c r="N1532" i="8"/>
  <c r="P1532" i="8" s="1"/>
  <c r="R1531" i="8"/>
  <c r="T1531" i="8" s="1"/>
  <c r="P1531" i="8"/>
  <c r="O1531" i="8"/>
  <c r="M1531" i="8"/>
  <c r="N1531" i="8"/>
  <c r="R1530" i="8"/>
  <c r="O1530" i="8"/>
  <c r="M1530" i="8"/>
  <c r="N1530" i="8"/>
  <c r="P1530" i="8" s="1"/>
  <c r="T1529" i="8"/>
  <c r="S1529" i="8"/>
  <c r="R1529" i="8"/>
  <c r="O1529" i="8"/>
  <c r="N1529" i="8"/>
  <c r="P1529" i="8" s="1"/>
  <c r="M1529" i="8"/>
  <c r="R1528" i="8"/>
  <c r="O1528" i="8"/>
  <c r="M1528" i="8"/>
  <c r="N1528" i="8"/>
  <c r="P1528" i="8" s="1"/>
  <c r="R1527" i="8"/>
  <c r="O1527" i="8"/>
  <c r="M1527" i="8"/>
  <c r="N1527" i="8"/>
  <c r="P1527" i="8" s="1"/>
  <c r="R1526" i="8"/>
  <c r="O1526" i="8"/>
  <c r="M1526" i="8"/>
  <c r="N1526" i="8"/>
  <c r="P1526" i="8" s="1"/>
  <c r="R1525" i="8"/>
  <c r="S1525" i="8" s="1"/>
  <c r="O1525" i="8"/>
  <c r="M1525" i="8"/>
  <c r="N1525" i="8"/>
  <c r="P1525" i="8" s="1"/>
  <c r="R1524" i="8"/>
  <c r="T1524" i="8" s="1"/>
  <c r="O1524" i="8"/>
  <c r="M1524" i="8"/>
  <c r="N1524" i="8"/>
  <c r="P1524" i="8" s="1"/>
  <c r="S1523" i="8"/>
  <c r="R1523" i="8"/>
  <c r="T1523" i="8" s="1"/>
  <c r="O1523" i="8"/>
  <c r="M1523" i="8"/>
  <c r="N1523" i="8"/>
  <c r="P1523" i="8" s="1"/>
  <c r="R1522" i="8"/>
  <c r="O1522" i="8"/>
  <c r="N1522" i="8"/>
  <c r="P1522" i="8" s="1"/>
  <c r="M1522" i="8"/>
  <c r="R1521" i="8"/>
  <c r="S1521" i="8" s="1"/>
  <c r="O1521" i="8"/>
  <c r="M1521" i="8"/>
  <c r="N1521" i="8"/>
  <c r="P1521" i="8" s="1"/>
  <c r="R1520" i="8"/>
  <c r="T1520" i="8" s="1"/>
  <c r="O1520" i="8"/>
  <c r="M1520" i="8"/>
  <c r="N1520" i="8"/>
  <c r="P1520" i="8" s="1"/>
  <c r="R1519" i="8"/>
  <c r="O1519" i="8"/>
  <c r="M1519" i="8"/>
  <c r="N1519" i="8"/>
  <c r="P1519" i="8" s="1"/>
  <c r="T1518" i="8"/>
  <c r="R1518" i="8"/>
  <c r="S1518" i="8" s="1"/>
  <c r="O1518" i="8"/>
  <c r="M1518" i="8"/>
  <c r="N1518" i="8"/>
  <c r="P1518" i="8" s="1"/>
  <c r="R1517" i="8"/>
  <c r="O1517" i="8"/>
  <c r="M1517" i="8"/>
  <c r="N1517" i="8"/>
  <c r="P1517" i="8" s="1"/>
  <c r="R1516" i="8"/>
  <c r="O1516" i="8"/>
  <c r="N1516" i="8"/>
  <c r="P1516" i="8" s="1"/>
  <c r="M1516" i="8"/>
  <c r="R1515" i="8"/>
  <c r="T1515" i="8" s="1"/>
  <c r="O1515" i="8"/>
  <c r="M1515" i="8"/>
  <c r="N1515" i="8"/>
  <c r="P1515" i="8" s="1"/>
  <c r="R1514" i="8"/>
  <c r="T1514" i="8" s="1"/>
  <c r="O1514" i="8"/>
  <c r="N1514" i="8"/>
  <c r="P1514" i="8" s="1"/>
  <c r="M1514" i="8"/>
  <c r="R1513" i="8"/>
  <c r="T1513" i="8" s="1"/>
  <c r="O1513" i="8"/>
  <c r="M1513" i="8"/>
  <c r="N1513" i="8"/>
  <c r="P1513" i="8" s="1"/>
  <c r="R1512" i="8"/>
  <c r="T1512" i="8" s="1"/>
  <c r="O1512" i="8"/>
  <c r="M1512" i="8"/>
  <c r="N1512" i="8"/>
  <c r="P1512" i="8" s="1"/>
  <c r="R1511" i="8"/>
  <c r="O1511" i="8"/>
  <c r="M1511" i="8"/>
  <c r="N1511" i="8"/>
  <c r="P1511" i="8" s="1"/>
  <c r="S1510" i="8"/>
  <c r="R1510" i="8"/>
  <c r="T1510" i="8" s="1"/>
  <c r="O1510" i="8"/>
  <c r="M1510" i="8"/>
  <c r="N1510" i="8"/>
  <c r="P1510" i="8" s="1"/>
  <c r="S1509" i="8"/>
  <c r="R1509" i="8"/>
  <c r="T1509" i="8" s="1"/>
  <c r="O1509" i="8"/>
  <c r="M1509" i="8"/>
  <c r="N1509" i="8"/>
  <c r="P1509" i="8" s="1"/>
  <c r="R1508" i="8"/>
  <c r="T1508" i="8" s="1"/>
  <c r="O1508" i="8"/>
  <c r="M1508" i="8"/>
  <c r="N1508" i="8"/>
  <c r="P1508" i="8" s="1"/>
  <c r="R1507" i="8"/>
  <c r="T1507" i="8" s="1"/>
  <c r="O1507" i="8"/>
  <c r="M1507" i="8"/>
  <c r="N1507" i="8"/>
  <c r="P1507" i="8" s="1"/>
  <c r="R1506" i="8"/>
  <c r="T1506" i="8" s="1"/>
  <c r="O1506" i="8"/>
  <c r="M1506" i="8"/>
  <c r="N1506" i="8"/>
  <c r="P1506" i="8" s="1"/>
  <c r="T1505" i="8"/>
  <c r="R1505" i="8"/>
  <c r="S1505" i="8" s="1"/>
  <c r="O1505" i="8"/>
  <c r="M1505" i="8"/>
  <c r="N1505" i="8"/>
  <c r="P1505" i="8" s="1"/>
  <c r="S1504" i="8"/>
  <c r="R1504" i="8"/>
  <c r="T1504" i="8" s="1"/>
  <c r="O1504" i="8"/>
  <c r="M1504" i="8"/>
  <c r="N1504" i="8"/>
  <c r="P1504" i="8" s="1"/>
  <c r="T1503" i="8"/>
  <c r="S1503" i="8"/>
  <c r="R1503" i="8"/>
  <c r="O1503" i="8"/>
  <c r="M1503" i="8"/>
  <c r="N1503" i="8"/>
  <c r="P1503" i="8" s="1"/>
  <c r="T1502" i="8"/>
  <c r="S1502" i="8"/>
  <c r="R1502" i="8"/>
  <c r="O1502" i="8"/>
  <c r="N1502" i="8"/>
  <c r="P1502" i="8" s="1"/>
  <c r="M1502" i="8"/>
  <c r="T1501" i="8"/>
  <c r="R1501" i="8"/>
  <c r="S1501" i="8" s="1"/>
  <c r="O1501" i="8"/>
  <c r="M1501" i="8"/>
  <c r="N1501" i="8"/>
  <c r="P1501" i="8" s="1"/>
  <c r="R1500" i="8"/>
  <c r="S1500" i="8" s="1"/>
  <c r="O1500" i="8"/>
  <c r="M1500" i="8"/>
  <c r="N1500" i="8"/>
  <c r="P1500" i="8" s="1"/>
  <c r="T1499" i="8"/>
  <c r="R1499" i="8"/>
  <c r="S1499" i="8" s="1"/>
  <c r="O1499" i="8"/>
  <c r="N1499" i="8"/>
  <c r="P1499" i="8" s="1"/>
  <c r="M1499" i="8"/>
  <c r="R1498" i="8"/>
  <c r="O1498" i="8"/>
  <c r="M1498" i="8"/>
  <c r="N1498" i="8"/>
  <c r="P1498" i="8" s="1"/>
  <c r="R1497" i="8"/>
  <c r="O1497" i="8"/>
  <c r="N1497" i="8"/>
  <c r="P1497" i="8" s="1"/>
  <c r="M1497" i="8"/>
  <c r="R1496" i="8"/>
  <c r="P1496" i="8"/>
  <c r="O1496" i="8"/>
  <c r="M1496" i="8"/>
  <c r="N1496" i="8"/>
  <c r="R1495" i="8"/>
  <c r="T1495" i="8" s="1"/>
  <c r="O1495" i="8"/>
  <c r="N1495" i="8"/>
  <c r="P1495" i="8" s="1"/>
  <c r="M1495" i="8"/>
  <c r="R1494" i="8"/>
  <c r="T1494" i="8" s="1"/>
  <c r="O1494" i="8"/>
  <c r="N1494" i="8"/>
  <c r="P1494" i="8" s="1"/>
  <c r="M1494" i="8"/>
  <c r="R1493" i="8"/>
  <c r="S1493" i="8" s="1"/>
  <c r="O1493" i="8"/>
  <c r="M1493" i="8"/>
  <c r="N1493" i="8"/>
  <c r="P1493" i="8" s="1"/>
  <c r="R1492" i="8"/>
  <c r="O1492" i="8"/>
  <c r="M1492" i="8"/>
  <c r="N1492" i="8"/>
  <c r="P1492" i="8" s="1"/>
  <c r="R1491" i="8"/>
  <c r="O1491" i="8"/>
  <c r="N1491" i="8"/>
  <c r="P1491" i="8" s="1"/>
  <c r="M1491" i="8"/>
  <c r="S1490" i="8"/>
  <c r="R1490" i="8"/>
  <c r="T1490" i="8" s="1"/>
  <c r="O1490" i="8"/>
  <c r="M1490" i="8"/>
  <c r="N1490" i="8"/>
  <c r="P1490" i="8" s="1"/>
  <c r="R1489" i="8"/>
  <c r="S1489" i="8" s="1"/>
  <c r="O1489" i="8"/>
  <c r="M1489" i="8"/>
  <c r="N1489" i="8"/>
  <c r="P1489" i="8" s="1"/>
  <c r="R1488" i="8"/>
  <c r="T1488" i="8" s="1"/>
  <c r="O1488" i="8"/>
  <c r="M1488" i="8"/>
  <c r="N1488" i="8"/>
  <c r="P1488" i="8" s="1"/>
  <c r="R1487" i="8"/>
  <c r="T1487" i="8" s="1"/>
  <c r="O1487" i="8"/>
  <c r="M1487" i="8"/>
  <c r="N1487" i="8"/>
  <c r="P1487" i="8" s="1"/>
  <c r="S1486" i="8"/>
  <c r="R1486" i="8"/>
  <c r="T1486" i="8" s="1"/>
  <c r="O1486" i="8"/>
  <c r="M1486" i="8"/>
  <c r="N1486" i="8"/>
  <c r="P1486" i="8" s="1"/>
  <c r="T1485" i="8"/>
  <c r="R1485" i="8"/>
  <c r="S1485" i="8" s="1"/>
  <c r="O1485" i="8"/>
  <c r="M1485" i="8"/>
  <c r="N1485" i="8"/>
  <c r="P1485" i="8" s="1"/>
  <c r="T1484" i="8"/>
  <c r="S1484" i="8"/>
  <c r="R1484" i="8"/>
  <c r="O1484" i="8"/>
  <c r="M1484" i="8"/>
  <c r="N1484" i="8"/>
  <c r="P1484" i="8" s="1"/>
  <c r="T1483" i="8"/>
  <c r="R1483" i="8"/>
  <c r="S1483" i="8" s="1"/>
  <c r="O1483" i="8"/>
  <c r="M1483" i="8"/>
  <c r="N1483" i="8"/>
  <c r="P1483" i="8" s="1"/>
  <c r="S1482" i="8"/>
  <c r="R1482" i="8"/>
  <c r="T1482" i="8" s="1"/>
  <c r="O1482" i="8"/>
  <c r="M1482" i="8"/>
  <c r="N1482" i="8"/>
  <c r="P1482" i="8" s="1"/>
  <c r="R1481" i="8"/>
  <c r="O1481" i="8"/>
  <c r="M1481" i="8"/>
  <c r="N1481" i="8"/>
  <c r="P1481" i="8" s="1"/>
  <c r="R1480" i="8"/>
  <c r="T1480" i="8" s="1"/>
  <c r="O1480" i="8"/>
  <c r="M1480" i="8"/>
  <c r="N1480" i="8"/>
  <c r="P1480" i="8" s="1"/>
  <c r="R1479" i="8"/>
  <c r="P1479" i="8"/>
  <c r="O1479" i="8"/>
  <c r="M1479" i="8"/>
  <c r="N1479" i="8"/>
  <c r="R1478" i="8"/>
  <c r="T1478" i="8" s="1"/>
  <c r="O1478" i="8"/>
  <c r="M1478" i="8"/>
  <c r="N1478" i="8"/>
  <c r="P1478" i="8" s="1"/>
  <c r="T1477" i="8"/>
  <c r="S1477" i="8"/>
  <c r="R1477" i="8"/>
  <c r="O1477" i="8"/>
  <c r="M1477" i="8"/>
  <c r="N1477" i="8"/>
  <c r="P1477" i="8" s="1"/>
  <c r="R1476" i="8"/>
  <c r="O1476" i="8"/>
  <c r="M1476" i="8"/>
  <c r="N1476" i="8"/>
  <c r="P1476" i="8" s="1"/>
  <c r="S1475" i="8"/>
  <c r="R1475" i="8"/>
  <c r="T1475" i="8" s="1"/>
  <c r="O1475" i="8"/>
  <c r="M1475" i="8"/>
  <c r="N1475" i="8"/>
  <c r="P1475" i="8" s="1"/>
  <c r="T1474" i="8"/>
  <c r="R1474" i="8"/>
  <c r="S1474" i="8" s="1"/>
  <c r="O1474" i="8"/>
  <c r="N1474" i="8"/>
  <c r="P1474" i="8" s="1"/>
  <c r="M1474" i="8"/>
  <c r="R1473" i="8"/>
  <c r="S1473" i="8" s="1"/>
  <c r="O1473" i="8"/>
  <c r="N1473" i="8"/>
  <c r="P1473" i="8" s="1"/>
  <c r="M1473" i="8"/>
  <c r="R1472" i="8"/>
  <c r="O1472" i="8"/>
  <c r="M1472" i="8"/>
  <c r="N1472" i="8"/>
  <c r="P1472" i="8" s="1"/>
  <c r="R1471" i="8"/>
  <c r="O1471" i="8"/>
  <c r="M1471" i="8"/>
  <c r="N1471" i="8"/>
  <c r="P1471" i="8" s="1"/>
  <c r="R1470" i="8"/>
  <c r="O1470" i="8"/>
  <c r="M1470" i="8"/>
  <c r="N1470" i="8"/>
  <c r="P1470" i="8" s="1"/>
  <c r="R1469" i="8"/>
  <c r="O1469" i="8"/>
  <c r="M1469" i="8"/>
  <c r="N1469" i="8"/>
  <c r="P1469" i="8" s="1"/>
  <c r="S1468" i="8"/>
  <c r="R1468" i="8"/>
  <c r="T1468" i="8" s="1"/>
  <c r="O1468" i="8"/>
  <c r="M1468" i="8"/>
  <c r="N1468" i="8"/>
  <c r="P1468" i="8" s="1"/>
  <c r="R1467" i="8"/>
  <c r="O1467" i="8"/>
  <c r="M1467" i="8"/>
  <c r="N1467" i="8"/>
  <c r="P1467" i="8" s="1"/>
  <c r="S1466" i="8"/>
  <c r="R1466" i="8"/>
  <c r="T1466" i="8" s="1"/>
  <c r="O1466" i="8"/>
  <c r="N1466" i="8"/>
  <c r="P1466" i="8" s="1"/>
  <c r="M1466" i="8"/>
  <c r="R1465" i="8"/>
  <c r="S1465" i="8" s="1"/>
  <c r="O1465" i="8"/>
  <c r="M1465" i="8"/>
  <c r="N1465" i="8"/>
  <c r="P1465" i="8" s="1"/>
  <c r="R1464" i="8"/>
  <c r="O1464" i="8"/>
  <c r="M1464" i="8"/>
  <c r="N1464" i="8"/>
  <c r="P1464" i="8" s="1"/>
  <c r="R1463" i="8"/>
  <c r="O1463" i="8"/>
  <c r="M1463" i="8"/>
  <c r="N1463" i="8"/>
  <c r="P1463" i="8" s="1"/>
  <c r="R1462" i="8"/>
  <c r="T1462" i="8" s="1"/>
  <c r="O1462" i="8"/>
  <c r="N1462" i="8"/>
  <c r="P1462" i="8" s="1"/>
  <c r="M1462" i="8"/>
  <c r="T1461" i="8"/>
  <c r="R1461" i="8"/>
  <c r="S1461" i="8" s="1"/>
  <c r="P1461" i="8"/>
  <c r="O1461" i="8"/>
  <c r="M1461" i="8"/>
  <c r="N1461" i="8"/>
  <c r="R1460" i="8"/>
  <c r="T1460" i="8" s="1"/>
  <c r="O1460" i="8"/>
  <c r="M1460" i="8"/>
  <c r="N1460" i="8"/>
  <c r="P1460" i="8" s="1"/>
  <c r="R1459" i="8"/>
  <c r="S1459" i="8" s="1"/>
  <c r="O1459" i="8"/>
  <c r="N1459" i="8"/>
  <c r="P1459" i="8" s="1"/>
  <c r="M1459" i="8"/>
  <c r="R1458" i="8"/>
  <c r="O1458" i="8"/>
  <c r="M1458" i="8"/>
  <c r="N1458" i="8"/>
  <c r="P1458" i="8" s="1"/>
  <c r="R1457" i="8"/>
  <c r="O1457" i="8"/>
  <c r="M1457" i="8"/>
  <c r="N1457" i="8"/>
  <c r="P1457" i="8" s="1"/>
  <c r="R1456" i="8"/>
  <c r="O1456" i="8"/>
  <c r="N1456" i="8"/>
  <c r="P1456" i="8" s="1"/>
  <c r="M1456" i="8"/>
  <c r="R1455" i="8"/>
  <c r="S1455" i="8" s="1"/>
  <c r="O1455" i="8"/>
  <c r="N1455" i="8"/>
  <c r="P1455" i="8" s="1"/>
  <c r="M1455" i="8"/>
  <c r="R1454" i="8"/>
  <c r="O1454" i="8"/>
  <c r="M1454" i="8"/>
  <c r="N1454" i="8"/>
  <c r="P1454" i="8" s="1"/>
  <c r="R1453" i="8"/>
  <c r="O1453" i="8"/>
  <c r="M1453" i="8"/>
  <c r="N1453" i="8"/>
  <c r="P1453" i="8" s="1"/>
  <c r="S1452" i="8"/>
  <c r="R1452" i="8"/>
  <c r="T1452" i="8" s="1"/>
  <c r="O1452" i="8"/>
  <c r="M1452" i="8"/>
  <c r="N1452" i="8"/>
  <c r="P1452" i="8" s="1"/>
  <c r="R1451" i="8"/>
  <c r="S1451" i="8" s="1"/>
  <c r="O1451" i="8"/>
  <c r="M1451" i="8"/>
  <c r="N1451" i="8"/>
  <c r="P1451" i="8" s="1"/>
  <c r="R1450" i="8"/>
  <c r="T1450" i="8" s="1"/>
  <c r="O1450" i="8"/>
  <c r="M1450" i="8"/>
  <c r="N1450" i="8"/>
  <c r="P1450" i="8" s="1"/>
  <c r="R1449" i="8"/>
  <c r="O1449" i="8"/>
  <c r="M1449" i="8"/>
  <c r="N1449" i="8"/>
  <c r="P1449" i="8" s="1"/>
  <c r="T1448" i="8"/>
  <c r="S1448" i="8"/>
  <c r="R1448" i="8"/>
  <c r="O1448" i="8"/>
  <c r="N1448" i="8"/>
  <c r="P1448" i="8" s="1"/>
  <c r="M1448" i="8"/>
  <c r="R1447" i="8"/>
  <c r="O1447" i="8"/>
  <c r="M1447" i="8"/>
  <c r="N1447" i="8"/>
  <c r="P1447" i="8" s="1"/>
  <c r="T1446" i="8"/>
  <c r="S1446" i="8"/>
  <c r="R1446" i="8"/>
  <c r="O1446" i="8"/>
  <c r="M1446" i="8"/>
  <c r="N1446" i="8"/>
  <c r="P1446" i="8" s="1"/>
  <c r="T1445" i="8"/>
  <c r="R1445" i="8"/>
  <c r="S1445" i="8" s="1"/>
  <c r="O1445" i="8"/>
  <c r="M1445" i="8"/>
  <c r="N1445" i="8"/>
  <c r="P1445" i="8" s="1"/>
  <c r="T1444" i="8"/>
  <c r="R1444" i="8"/>
  <c r="S1444" i="8" s="1"/>
  <c r="O1444" i="8"/>
  <c r="M1444" i="8"/>
  <c r="N1444" i="8"/>
  <c r="P1444" i="8" s="1"/>
  <c r="R1443" i="8"/>
  <c r="O1443" i="8"/>
  <c r="M1443" i="8"/>
  <c r="N1443" i="8"/>
  <c r="P1443" i="8" s="1"/>
  <c r="R1442" i="8"/>
  <c r="T1442" i="8" s="1"/>
  <c r="O1442" i="8"/>
  <c r="M1442" i="8"/>
  <c r="N1442" i="8"/>
  <c r="P1442" i="8" s="1"/>
  <c r="R1441" i="8"/>
  <c r="T1441" i="8" s="1"/>
  <c r="O1441" i="8"/>
  <c r="M1441" i="8"/>
  <c r="N1441" i="8"/>
  <c r="P1441" i="8" s="1"/>
  <c r="R1440" i="8"/>
  <c r="O1440" i="8"/>
  <c r="M1440" i="8"/>
  <c r="N1440" i="8"/>
  <c r="P1440" i="8" s="1"/>
  <c r="R1439" i="8"/>
  <c r="S1439" i="8" s="1"/>
  <c r="O1439" i="8"/>
  <c r="M1439" i="8"/>
  <c r="N1439" i="8"/>
  <c r="P1439" i="8" s="1"/>
  <c r="R1438" i="8"/>
  <c r="T1438" i="8" s="1"/>
  <c r="O1438" i="8"/>
  <c r="M1438" i="8"/>
  <c r="N1438" i="8"/>
  <c r="P1438" i="8" s="1"/>
  <c r="R1437" i="8"/>
  <c r="S1437" i="8" s="1"/>
  <c r="O1437" i="8"/>
  <c r="N1437" i="8"/>
  <c r="P1437" i="8" s="1"/>
  <c r="M1437" i="8"/>
  <c r="R1436" i="8"/>
  <c r="O1436" i="8"/>
  <c r="N1436" i="8"/>
  <c r="P1436" i="8" s="1"/>
  <c r="M1436" i="8"/>
  <c r="R1435" i="8"/>
  <c r="S1435" i="8" s="1"/>
  <c r="O1435" i="8"/>
  <c r="M1435" i="8"/>
  <c r="N1435" i="8"/>
  <c r="P1435" i="8" s="1"/>
  <c r="S1434" i="8"/>
  <c r="R1434" i="8"/>
  <c r="T1434" i="8" s="1"/>
  <c r="O1434" i="8"/>
  <c r="M1434" i="8"/>
  <c r="N1434" i="8"/>
  <c r="P1434" i="8" s="1"/>
  <c r="R1433" i="8"/>
  <c r="S1433" i="8" s="1"/>
  <c r="O1433" i="8"/>
  <c r="M1433" i="8"/>
  <c r="N1433" i="8"/>
  <c r="P1433" i="8" s="1"/>
  <c r="T1432" i="8"/>
  <c r="S1432" i="8"/>
  <c r="R1432" i="8"/>
  <c r="O1432" i="8"/>
  <c r="N1432" i="8"/>
  <c r="P1432" i="8" s="1"/>
  <c r="M1432" i="8"/>
  <c r="R1431" i="8"/>
  <c r="O1431" i="8"/>
  <c r="M1431" i="8"/>
  <c r="N1431" i="8"/>
  <c r="P1431" i="8" s="1"/>
  <c r="R1430" i="8"/>
  <c r="T1430" i="8" s="1"/>
  <c r="O1430" i="8"/>
  <c r="M1430" i="8"/>
  <c r="N1430" i="8"/>
  <c r="P1430" i="8" s="1"/>
  <c r="R1429" i="8"/>
  <c r="O1429" i="8"/>
  <c r="M1429" i="8"/>
  <c r="N1429" i="8"/>
  <c r="P1429" i="8" s="1"/>
  <c r="T1428" i="8"/>
  <c r="S1428" i="8"/>
  <c r="R1428" i="8"/>
  <c r="O1428" i="8"/>
  <c r="M1428" i="8"/>
  <c r="N1428" i="8"/>
  <c r="P1428" i="8" s="1"/>
  <c r="R1427" i="8"/>
  <c r="T1427" i="8" s="1"/>
  <c r="O1427" i="8"/>
  <c r="M1427" i="8"/>
  <c r="N1427" i="8"/>
  <c r="P1427" i="8" s="1"/>
  <c r="T1426" i="8"/>
  <c r="S1426" i="8"/>
  <c r="R1426" i="8"/>
  <c r="O1426" i="8"/>
  <c r="N1426" i="8"/>
  <c r="P1426" i="8" s="1"/>
  <c r="M1426" i="8"/>
  <c r="T1425" i="8"/>
  <c r="R1425" i="8"/>
  <c r="S1425" i="8" s="1"/>
  <c r="O1425" i="8"/>
  <c r="N1425" i="8"/>
  <c r="P1425" i="8" s="1"/>
  <c r="M1425" i="8"/>
  <c r="R1424" i="8"/>
  <c r="O1424" i="8"/>
  <c r="M1424" i="8"/>
  <c r="N1424" i="8"/>
  <c r="P1424" i="8" s="1"/>
  <c r="R1423" i="8"/>
  <c r="O1423" i="8"/>
  <c r="M1423" i="8"/>
  <c r="N1423" i="8"/>
  <c r="P1423" i="8" s="1"/>
  <c r="R1422" i="8"/>
  <c r="T1422" i="8" s="1"/>
  <c r="O1422" i="8"/>
  <c r="N1422" i="8"/>
  <c r="P1422" i="8" s="1"/>
  <c r="M1422" i="8"/>
  <c r="S1421" i="8"/>
  <c r="R1421" i="8"/>
  <c r="T1421" i="8" s="1"/>
  <c r="P1421" i="8"/>
  <c r="O1421" i="8"/>
  <c r="M1421" i="8"/>
  <c r="N1421" i="8"/>
  <c r="R1420" i="8"/>
  <c r="O1420" i="8"/>
  <c r="M1420" i="8"/>
  <c r="N1420" i="8"/>
  <c r="P1420" i="8" s="1"/>
  <c r="R1419" i="8"/>
  <c r="O1419" i="8"/>
  <c r="N1419" i="8"/>
  <c r="P1419" i="8" s="1"/>
  <c r="M1419" i="8"/>
  <c r="T1418" i="8"/>
  <c r="S1418" i="8"/>
  <c r="R1418" i="8"/>
  <c r="O1418" i="8"/>
  <c r="M1418" i="8"/>
  <c r="N1418" i="8"/>
  <c r="P1418" i="8" s="1"/>
  <c r="T1417" i="8"/>
  <c r="R1417" i="8"/>
  <c r="S1417" i="8" s="1"/>
  <c r="O1417" i="8"/>
  <c r="M1417" i="8"/>
  <c r="N1417" i="8"/>
  <c r="P1417" i="8" s="1"/>
  <c r="R1416" i="8"/>
  <c r="O1416" i="8"/>
  <c r="M1416" i="8"/>
  <c r="N1416" i="8"/>
  <c r="P1416" i="8" s="1"/>
  <c r="R1415" i="8"/>
  <c r="S1415" i="8" s="1"/>
  <c r="O1415" i="8"/>
  <c r="M1415" i="8"/>
  <c r="N1415" i="8"/>
  <c r="P1415" i="8" s="1"/>
  <c r="T1414" i="8"/>
  <c r="S1414" i="8"/>
  <c r="R1414" i="8"/>
  <c r="O1414" i="8"/>
  <c r="M1414" i="8"/>
  <c r="N1414" i="8"/>
  <c r="P1414" i="8" s="1"/>
  <c r="T1413" i="8"/>
  <c r="R1413" i="8"/>
  <c r="S1413" i="8" s="1"/>
  <c r="O1413" i="8"/>
  <c r="M1413" i="8"/>
  <c r="N1413" i="8"/>
  <c r="P1413" i="8" s="1"/>
  <c r="S1412" i="8"/>
  <c r="R1412" i="8"/>
  <c r="T1412" i="8" s="1"/>
  <c r="O1412" i="8"/>
  <c r="M1412" i="8"/>
  <c r="N1412" i="8"/>
  <c r="P1412" i="8" s="1"/>
  <c r="R1411" i="8"/>
  <c r="O1411" i="8"/>
  <c r="M1411" i="8"/>
  <c r="N1411" i="8"/>
  <c r="P1411" i="8" s="1"/>
  <c r="R1410" i="8"/>
  <c r="O1410" i="8"/>
  <c r="M1410" i="8"/>
  <c r="N1410" i="8"/>
  <c r="P1410" i="8" s="1"/>
  <c r="R1409" i="8"/>
  <c r="T1409" i="8" s="1"/>
  <c r="O1409" i="8"/>
  <c r="M1409" i="8"/>
  <c r="N1409" i="8"/>
  <c r="P1409" i="8" s="1"/>
  <c r="T1408" i="8"/>
  <c r="S1408" i="8"/>
  <c r="R1408" i="8"/>
  <c r="O1408" i="8"/>
  <c r="M1408" i="8"/>
  <c r="N1408" i="8"/>
  <c r="P1408" i="8" s="1"/>
  <c r="R1407" i="8"/>
  <c r="T1407" i="8" s="1"/>
  <c r="O1407" i="8"/>
  <c r="M1407" i="8"/>
  <c r="N1407" i="8"/>
  <c r="P1407" i="8" s="1"/>
  <c r="R1406" i="8"/>
  <c r="O1406" i="8"/>
  <c r="M1406" i="8"/>
  <c r="N1406" i="8"/>
  <c r="P1406" i="8" s="1"/>
  <c r="R1405" i="8"/>
  <c r="S1405" i="8" s="1"/>
  <c r="O1405" i="8"/>
  <c r="M1405" i="8"/>
  <c r="N1405" i="8"/>
  <c r="P1405" i="8" s="1"/>
  <c r="R1404" i="8"/>
  <c r="O1404" i="8"/>
  <c r="M1404" i="8"/>
  <c r="N1404" i="8"/>
  <c r="P1404" i="8" s="1"/>
  <c r="R1403" i="8"/>
  <c r="S1403" i="8" s="1"/>
  <c r="O1403" i="8"/>
  <c r="M1403" i="8"/>
  <c r="N1403" i="8"/>
  <c r="P1403" i="8" s="1"/>
  <c r="T1402" i="8"/>
  <c r="S1402" i="8"/>
  <c r="R1402" i="8"/>
  <c r="O1402" i="8"/>
  <c r="N1402" i="8"/>
  <c r="P1402" i="8" s="1"/>
  <c r="M1402" i="8"/>
  <c r="R1401" i="8"/>
  <c r="T1401" i="8" s="1"/>
  <c r="O1401" i="8"/>
  <c r="M1401" i="8"/>
  <c r="N1401" i="8"/>
  <c r="P1401" i="8" s="1"/>
  <c r="T1400" i="8"/>
  <c r="S1400" i="8"/>
  <c r="R1400" i="8"/>
  <c r="O1400" i="8"/>
  <c r="M1400" i="8"/>
  <c r="N1400" i="8"/>
  <c r="P1400" i="8" s="1"/>
  <c r="S1399" i="8"/>
  <c r="R1399" i="8"/>
  <c r="T1399" i="8" s="1"/>
  <c r="O1399" i="8"/>
  <c r="N1399" i="8"/>
  <c r="P1399" i="8" s="1"/>
  <c r="M1399" i="8"/>
  <c r="R1398" i="8"/>
  <c r="S1398" i="8" s="1"/>
  <c r="O1398" i="8"/>
  <c r="M1398" i="8"/>
  <c r="N1398" i="8"/>
  <c r="P1398" i="8" s="1"/>
  <c r="R1397" i="8"/>
  <c r="O1397" i="8"/>
  <c r="M1397" i="8"/>
  <c r="N1397" i="8"/>
  <c r="P1397" i="8" s="1"/>
  <c r="R1396" i="8"/>
  <c r="O1396" i="8"/>
  <c r="M1396" i="8"/>
  <c r="N1396" i="8"/>
  <c r="P1396" i="8" s="1"/>
  <c r="R1395" i="8"/>
  <c r="T1395" i="8" s="1"/>
  <c r="O1395" i="8"/>
  <c r="M1395" i="8"/>
  <c r="N1395" i="8"/>
  <c r="P1395" i="8" s="1"/>
  <c r="T1394" i="8"/>
  <c r="S1394" i="8"/>
  <c r="R1394" i="8"/>
  <c r="O1394" i="8"/>
  <c r="M1394" i="8"/>
  <c r="N1394" i="8"/>
  <c r="P1394" i="8" s="1"/>
  <c r="R1393" i="8"/>
  <c r="T1393" i="8" s="1"/>
  <c r="O1393" i="8"/>
  <c r="M1393" i="8"/>
  <c r="N1393" i="8"/>
  <c r="P1393" i="8" s="1"/>
  <c r="R1392" i="8"/>
  <c r="T1392" i="8" s="1"/>
  <c r="O1392" i="8"/>
  <c r="N1392" i="8"/>
  <c r="P1392" i="8" s="1"/>
  <c r="M1392" i="8"/>
  <c r="R1391" i="8"/>
  <c r="S1391" i="8" s="1"/>
  <c r="O1391" i="8"/>
  <c r="M1391" i="8"/>
  <c r="N1391" i="8"/>
  <c r="P1391" i="8" s="1"/>
  <c r="R1390" i="8"/>
  <c r="T1390" i="8" s="1"/>
  <c r="O1390" i="8"/>
  <c r="M1390" i="8"/>
  <c r="N1390" i="8"/>
  <c r="P1390" i="8" s="1"/>
  <c r="T1389" i="8"/>
  <c r="S1389" i="8"/>
  <c r="R1389" i="8"/>
  <c r="O1389" i="8"/>
  <c r="M1389" i="8"/>
  <c r="N1389" i="8"/>
  <c r="P1389" i="8" s="1"/>
  <c r="T1388" i="8"/>
  <c r="R1388" i="8"/>
  <c r="S1388" i="8" s="1"/>
  <c r="O1388" i="8"/>
  <c r="N1388" i="8"/>
  <c r="P1388" i="8" s="1"/>
  <c r="M1388" i="8"/>
  <c r="R1387" i="8"/>
  <c r="T1387" i="8" s="1"/>
  <c r="O1387" i="8"/>
  <c r="M1387" i="8"/>
  <c r="N1387" i="8"/>
  <c r="P1387" i="8" s="1"/>
  <c r="R1386" i="8"/>
  <c r="T1386" i="8" s="1"/>
  <c r="O1386" i="8"/>
  <c r="M1386" i="8"/>
  <c r="N1386" i="8"/>
  <c r="P1386" i="8" s="1"/>
  <c r="R1385" i="8"/>
  <c r="S1385" i="8" s="1"/>
  <c r="O1385" i="8"/>
  <c r="M1385" i="8"/>
  <c r="N1385" i="8"/>
  <c r="P1385" i="8" s="1"/>
  <c r="R1384" i="8"/>
  <c r="S1384" i="8" s="1"/>
  <c r="O1384" i="8"/>
  <c r="M1384" i="8"/>
  <c r="N1384" i="8"/>
  <c r="P1384" i="8" s="1"/>
  <c r="T1383" i="8"/>
  <c r="R1383" i="8"/>
  <c r="S1383" i="8" s="1"/>
  <c r="O1383" i="8"/>
  <c r="M1383" i="8"/>
  <c r="N1383" i="8"/>
  <c r="P1383" i="8" s="1"/>
  <c r="T1382" i="8"/>
  <c r="R1382" i="8"/>
  <c r="S1382" i="8" s="1"/>
  <c r="O1382" i="8"/>
  <c r="M1382" i="8"/>
  <c r="N1382" i="8"/>
  <c r="P1382" i="8" s="1"/>
  <c r="R1381" i="8"/>
  <c r="S1381" i="8" s="1"/>
  <c r="O1381" i="8"/>
  <c r="M1381" i="8"/>
  <c r="N1381" i="8"/>
  <c r="P1381" i="8" s="1"/>
  <c r="R1380" i="8"/>
  <c r="O1380" i="8"/>
  <c r="M1380" i="8"/>
  <c r="N1380" i="8"/>
  <c r="P1380" i="8" s="1"/>
  <c r="R1379" i="8"/>
  <c r="O1379" i="8"/>
  <c r="N1379" i="8"/>
  <c r="P1379" i="8" s="1"/>
  <c r="M1379" i="8"/>
  <c r="R1378" i="8"/>
  <c r="O1378" i="8"/>
  <c r="N1378" i="8"/>
  <c r="P1378" i="8" s="1"/>
  <c r="M1378" i="8"/>
  <c r="R1377" i="8"/>
  <c r="O1377" i="8"/>
  <c r="M1377" i="8"/>
  <c r="N1377" i="8"/>
  <c r="P1377" i="8" s="1"/>
  <c r="R1376" i="8"/>
  <c r="O1376" i="8"/>
  <c r="M1376" i="8"/>
  <c r="N1376" i="8"/>
  <c r="P1376" i="8" s="1"/>
  <c r="T1375" i="8"/>
  <c r="S1375" i="8"/>
  <c r="R1375" i="8"/>
  <c r="O1375" i="8"/>
  <c r="M1375" i="8"/>
  <c r="N1375" i="8"/>
  <c r="P1375" i="8" s="1"/>
  <c r="T1374" i="8"/>
  <c r="S1374" i="8"/>
  <c r="R1374" i="8"/>
  <c r="O1374" i="8"/>
  <c r="M1374" i="8"/>
  <c r="N1374" i="8"/>
  <c r="P1374" i="8" s="1"/>
  <c r="R1373" i="8"/>
  <c r="O1373" i="8"/>
  <c r="M1373" i="8"/>
  <c r="N1373" i="8"/>
  <c r="P1373" i="8" s="1"/>
  <c r="R1372" i="8"/>
  <c r="O1372" i="8"/>
  <c r="M1372" i="8"/>
  <c r="N1372" i="8"/>
  <c r="P1372" i="8" s="1"/>
  <c r="R1371" i="8"/>
  <c r="S1371" i="8" s="1"/>
  <c r="O1371" i="8"/>
  <c r="M1371" i="8"/>
  <c r="N1371" i="8"/>
  <c r="P1371" i="8" s="1"/>
  <c r="R1370" i="8"/>
  <c r="P1370" i="8"/>
  <c r="O1370" i="8"/>
  <c r="M1370" i="8"/>
  <c r="N1370" i="8"/>
  <c r="R1369" i="8"/>
  <c r="P1369" i="8"/>
  <c r="O1369" i="8"/>
  <c r="M1369" i="8"/>
  <c r="N1369" i="8"/>
  <c r="R1368" i="8"/>
  <c r="S1368" i="8" s="1"/>
  <c r="O1368" i="8"/>
  <c r="N1368" i="8"/>
  <c r="P1368" i="8" s="1"/>
  <c r="M1368" i="8"/>
  <c r="R1367" i="8"/>
  <c r="O1367" i="8"/>
  <c r="M1367" i="8"/>
  <c r="N1367" i="8"/>
  <c r="P1367" i="8" s="1"/>
  <c r="T1366" i="8"/>
  <c r="R1366" i="8"/>
  <c r="S1366" i="8" s="1"/>
  <c r="O1366" i="8"/>
  <c r="M1366" i="8"/>
  <c r="N1366" i="8"/>
  <c r="P1366" i="8" s="1"/>
  <c r="T1365" i="8"/>
  <c r="R1365" i="8"/>
  <c r="S1365" i="8" s="1"/>
  <c r="O1365" i="8"/>
  <c r="M1365" i="8"/>
  <c r="N1365" i="8"/>
  <c r="P1365" i="8" s="1"/>
  <c r="R1364" i="8"/>
  <c r="T1364" i="8" s="1"/>
  <c r="O1364" i="8"/>
  <c r="M1364" i="8"/>
  <c r="N1364" i="8"/>
  <c r="P1364" i="8" s="1"/>
  <c r="R1363" i="8"/>
  <c r="T1363" i="8" s="1"/>
  <c r="O1363" i="8"/>
  <c r="M1363" i="8"/>
  <c r="N1363" i="8"/>
  <c r="P1363" i="8" s="1"/>
  <c r="R1362" i="8"/>
  <c r="O1362" i="8"/>
  <c r="M1362" i="8"/>
  <c r="N1362" i="8"/>
  <c r="P1362" i="8" s="1"/>
  <c r="R1361" i="8"/>
  <c r="O1361" i="8"/>
  <c r="M1361" i="8"/>
  <c r="N1361" i="8"/>
  <c r="P1361" i="8" s="1"/>
  <c r="R1360" i="8"/>
  <c r="S1360" i="8" s="1"/>
  <c r="O1360" i="8"/>
  <c r="M1360" i="8"/>
  <c r="N1360" i="8"/>
  <c r="P1360" i="8" s="1"/>
  <c r="R1359" i="8"/>
  <c r="T1359" i="8" s="1"/>
  <c r="O1359" i="8"/>
  <c r="M1359" i="8"/>
  <c r="N1359" i="8"/>
  <c r="P1359" i="8" s="1"/>
  <c r="R1358" i="8"/>
  <c r="T1358" i="8" s="1"/>
  <c r="O1358" i="8"/>
  <c r="M1358" i="8"/>
  <c r="N1358" i="8"/>
  <c r="P1358" i="8" s="1"/>
  <c r="R1357" i="8"/>
  <c r="O1357" i="8"/>
  <c r="M1357" i="8"/>
  <c r="N1357" i="8"/>
  <c r="P1357" i="8" s="1"/>
  <c r="R1356" i="8"/>
  <c r="O1356" i="8"/>
  <c r="M1356" i="8"/>
  <c r="N1356" i="8"/>
  <c r="P1356" i="8" s="1"/>
  <c r="R1355" i="8"/>
  <c r="O1355" i="8"/>
  <c r="M1355" i="8"/>
  <c r="N1355" i="8"/>
  <c r="P1355" i="8" s="1"/>
  <c r="S1354" i="8"/>
  <c r="R1354" i="8"/>
  <c r="T1354" i="8" s="1"/>
  <c r="O1354" i="8"/>
  <c r="M1354" i="8"/>
  <c r="N1354" i="8"/>
  <c r="P1354" i="8" s="1"/>
  <c r="R1353" i="8"/>
  <c r="O1353" i="8"/>
  <c r="M1353" i="8"/>
  <c r="N1353" i="8"/>
  <c r="P1353" i="8" s="1"/>
  <c r="S1352" i="8"/>
  <c r="R1352" i="8"/>
  <c r="T1352" i="8" s="1"/>
  <c r="O1352" i="8"/>
  <c r="M1352" i="8"/>
  <c r="N1352" i="8"/>
  <c r="P1352" i="8" s="1"/>
  <c r="T1351" i="8"/>
  <c r="S1351" i="8"/>
  <c r="R1351" i="8"/>
  <c r="O1351" i="8"/>
  <c r="M1351" i="8"/>
  <c r="N1351" i="8"/>
  <c r="P1351" i="8" s="1"/>
  <c r="R1350" i="8"/>
  <c r="O1350" i="8"/>
  <c r="M1350" i="8"/>
  <c r="N1350" i="8"/>
  <c r="P1350" i="8" s="1"/>
  <c r="R1349" i="8"/>
  <c r="T1349" i="8" s="1"/>
  <c r="O1349" i="8"/>
  <c r="M1349" i="8"/>
  <c r="N1349" i="8"/>
  <c r="P1349" i="8" s="1"/>
  <c r="R1348" i="8"/>
  <c r="O1348" i="8"/>
  <c r="M1348" i="8"/>
  <c r="N1348" i="8"/>
  <c r="P1348" i="8" s="1"/>
  <c r="R1347" i="8"/>
  <c r="O1347" i="8"/>
  <c r="M1347" i="8"/>
  <c r="N1347" i="8"/>
  <c r="P1347" i="8" s="1"/>
  <c r="R1346" i="8"/>
  <c r="O1346" i="8"/>
  <c r="M1346" i="8"/>
  <c r="N1346" i="8"/>
  <c r="P1346" i="8" s="1"/>
  <c r="R1345" i="8"/>
  <c r="S1345" i="8" s="1"/>
  <c r="O1345" i="8"/>
  <c r="M1345" i="8"/>
  <c r="N1345" i="8"/>
  <c r="P1345" i="8" s="1"/>
  <c r="R1344" i="8"/>
  <c r="O1344" i="8"/>
  <c r="N1344" i="8"/>
  <c r="P1344" i="8" s="1"/>
  <c r="M1344" i="8"/>
  <c r="R1343" i="8"/>
  <c r="T1343" i="8" s="1"/>
  <c r="O1343" i="8"/>
  <c r="N1343" i="8"/>
  <c r="P1343" i="8" s="1"/>
  <c r="M1343" i="8"/>
  <c r="R1342" i="8"/>
  <c r="P1342" i="8"/>
  <c r="O1342" i="8"/>
  <c r="M1342" i="8"/>
  <c r="N1342" i="8"/>
  <c r="R1341" i="8"/>
  <c r="O1341" i="8"/>
  <c r="M1341" i="8"/>
  <c r="N1341" i="8"/>
  <c r="P1341" i="8" s="1"/>
  <c r="R1340" i="8"/>
  <c r="O1340" i="8"/>
  <c r="M1340" i="8"/>
  <c r="N1340" i="8"/>
  <c r="P1340" i="8" s="1"/>
  <c r="R1339" i="8"/>
  <c r="O1339" i="8"/>
  <c r="M1339" i="8"/>
  <c r="N1339" i="8"/>
  <c r="P1339" i="8" s="1"/>
  <c r="R1338" i="8"/>
  <c r="T1338" i="8" s="1"/>
  <c r="O1338" i="8"/>
  <c r="M1338" i="8"/>
  <c r="N1338" i="8"/>
  <c r="P1338" i="8" s="1"/>
  <c r="T1337" i="8"/>
  <c r="R1337" i="8"/>
  <c r="S1337" i="8" s="1"/>
  <c r="O1337" i="8"/>
  <c r="N1337" i="8"/>
  <c r="P1337" i="8" s="1"/>
  <c r="M1337" i="8"/>
  <c r="R1336" i="8"/>
  <c r="O1336" i="8"/>
  <c r="M1336" i="8"/>
  <c r="N1336" i="8"/>
  <c r="P1336" i="8" s="1"/>
  <c r="R1335" i="8"/>
  <c r="O1335" i="8"/>
  <c r="M1335" i="8"/>
  <c r="N1335" i="8"/>
  <c r="P1335" i="8" s="1"/>
  <c r="T1334" i="8"/>
  <c r="S1334" i="8"/>
  <c r="R1334" i="8"/>
  <c r="O1334" i="8"/>
  <c r="N1334" i="8"/>
  <c r="P1334" i="8" s="1"/>
  <c r="M1334" i="8"/>
  <c r="R1333" i="8"/>
  <c r="T1333" i="8" s="1"/>
  <c r="O1333" i="8"/>
  <c r="N1333" i="8"/>
  <c r="P1333" i="8" s="1"/>
  <c r="M1333" i="8"/>
  <c r="R1332" i="8"/>
  <c r="S1332" i="8" s="1"/>
  <c r="O1332" i="8"/>
  <c r="M1332" i="8"/>
  <c r="N1332" i="8"/>
  <c r="P1332" i="8" s="1"/>
  <c r="R1331" i="8"/>
  <c r="O1331" i="8"/>
  <c r="M1331" i="8"/>
  <c r="N1331" i="8"/>
  <c r="P1331" i="8" s="1"/>
  <c r="R1330" i="8"/>
  <c r="O1330" i="8"/>
  <c r="M1330" i="8"/>
  <c r="N1330" i="8"/>
  <c r="P1330" i="8" s="1"/>
  <c r="R1329" i="8"/>
  <c r="P1329" i="8"/>
  <c r="O1329" i="8"/>
  <c r="M1329" i="8"/>
  <c r="N1329" i="8"/>
  <c r="R1328" i="8"/>
  <c r="O1328" i="8"/>
  <c r="M1328" i="8"/>
  <c r="N1328" i="8"/>
  <c r="P1328" i="8" s="1"/>
  <c r="R1327" i="8"/>
  <c r="T1327" i="8" s="1"/>
  <c r="O1327" i="8"/>
  <c r="M1327" i="8"/>
  <c r="N1327" i="8"/>
  <c r="P1327" i="8" s="1"/>
  <c r="R1326" i="8"/>
  <c r="T1326" i="8" s="1"/>
  <c r="O1326" i="8"/>
  <c r="M1326" i="8"/>
  <c r="N1326" i="8"/>
  <c r="P1326" i="8" s="1"/>
  <c r="T1325" i="8"/>
  <c r="R1325" i="8"/>
  <c r="S1325" i="8" s="1"/>
  <c r="O1325" i="8"/>
  <c r="M1325" i="8"/>
  <c r="N1325" i="8"/>
  <c r="P1325" i="8" s="1"/>
  <c r="T1324" i="8"/>
  <c r="R1324" i="8"/>
  <c r="S1324" i="8" s="1"/>
  <c r="O1324" i="8"/>
  <c r="M1324" i="8"/>
  <c r="N1324" i="8"/>
  <c r="P1324" i="8" s="1"/>
  <c r="R1323" i="8"/>
  <c r="T1323" i="8" s="1"/>
  <c r="O1323" i="8"/>
  <c r="M1323" i="8"/>
  <c r="N1323" i="8"/>
  <c r="P1323" i="8" s="1"/>
  <c r="T1322" i="8"/>
  <c r="S1322" i="8"/>
  <c r="R1322" i="8"/>
  <c r="O1322" i="8"/>
  <c r="M1322" i="8"/>
  <c r="N1322" i="8"/>
  <c r="P1322" i="8" s="1"/>
  <c r="R1321" i="8"/>
  <c r="T1321" i="8" s="1"/>
  <c r="O1321" i="8"/>
  <c r="M1321" i="8"/>
  <c r="N1321" i="8"/>
  <c r="P1321" i="8" s="1"/>
  <c r="R1320" i="8"/>
  <c r="O1320" i="8"/>
  <c r="M1320" i="8"/>
  <c r="N1320" i="8"/>
  <c r="P1320" i="8" s="1"/>
  <c r="S1319" i="8"/>
  <c r="R1319" i="8"/>
  <c r="T1319" i="8" s="1"/>
  <c r="O1319" i="8"/>
  <c r="M1319" i="8"/>
  <c r="N1319" i="8"/>
  <c r="P1319" i="8" s="1"/>
  <c r="S1318" i="8"/>
  <c r="R1318" i="8"/>
  <c r="T1318" i="8" s="1"/>
  <c r="O1318" i="8"/>
  <c r="M1318" i="8"/>
  <c r="N1318" i="8"/>
  <c r="P1318" i="8" s="1"/>
  <c r="T1317" i="8"/>
  <c r="S1317" i="8"/>
  <c r="R1317" i="8"/>
  <c r="O1317" i="8"/>
  <c r="M1317" i="8"/>
  <c r="N1317" i="8"/>
  <c r="P1317" i="8" s="1"/>
  <c r="R1316" i="8"/>
  <c r="O1316" i="8"/>
  <c r="N1316" i="8"/>
  <c r="P1316" i="8" s="1"/>
  <c r="M1316" i="8"/>
  <c r="R1315" i="8"/>
  <c r="S1315" i="8" s="1"/>
  <c r="O1315" i="8"/>
  <c r="M1315" i="8"/>
  <c r="N1315" i="8"/>
  <c r="P1315" i="8" s="1"/>
  <c r="R1314" i="8"/>
  <c r="T1314" i="8" s="1"/>
  <c r="O1314" i="8"/>
  <c r="M1314" i="8"/>
  <c r="N1314" i="8"/>
  <c r="P1314" i="8" s="1"/>
  <c r="T1313" i="8"/>
  <c r="S1313" i="8"/>
  <c r="R1313" i="8"/>
  <c r="O1313" i="8"/>
  <c r="N1313" i="8"/>
  <c r="P1313" i="8" s="1"/>
  <c r="M1313" i="8"/>
  <c r="R1312" i="8"/>
  <c r="S1312" i="8" s="1"/>
  <c r="O1312" i="8"/>
  <c r="N1312" i="8"/>
  <c r="P1312" i="8" s="1"/>
  <c r="M1312" i="8"/>
  <c r="R1311" i="8"/>
  <c r="O1311" i="8"/>
  <c r="M1311" i="8"/>
  <c r="N1311" i="8"/>
  <c r="P1311" i="8" s="1"/>
  <c r="T1310" i="8"/>
  <c r="S1310" i="8"/>
  <c r="R1310" i="8"/>
  <c r="O1310" i="8"/>
  <c r="M1310" i="8"/>
  <c r="N1310" i="8"/>
  <c r="P1310" i="8" s="1"/>
  <c r="R1309" i="8"/>
  <c r="T1309" i="8" s="1"/>
  <c r="O1309" i="8"/>
  <c r="M1309" i="8"/>
  <c r="N1309" i="8"/>
  <c r="P1309" i="8" s="1"/>
  <c r="T1308" i="8"/>
  <c r="R1308" i="8"/>
  <c r="S1308" i="8" s="1"/>
  <c r="O1308" i="8"/>
  <c r="N1308" i="8"/>
  <c r="P1308" i="8" s="1"/>
  <c r="M1308" i="8"/>
  <c r="S1307" i="8"/>
  <c r="R1307" i="8"/>
  <c r="T1307" i="8" s="1"/>
  <c r="P1307" i="8"/>
  <c r="O1307" i="8"/>
  <c r="M1307" i="8"/>
  <c r="N1307" i="8"/>
  <c r="R1306" i="8"/>
  <c r="S1306" i="8" s="1"/>
  <c r="O1306" i="8"/>
  <c r="M1306" i="8"/>
  <c r="N1306" i="8"/>
  <c r="P1306" i="8" s="1"/>
  <c r="R1305" i="8"/>
  <c r="S1305" i="8" s="1"/>
  <c r="P1305" i="8"/>
  <c r="O1305" i="8"/>
  <c r="N1305" i="8"/>
  <c r="M1305" i="8"/>
  <c r="R1304" i="8"/>
  <c r="O1304" i="8"/>
  <c r="M1304" i="8"/>
  <c r="N1304" i="8"/>
  <c r="P1304" i="8" s="1"/>
  <c r="R1303" i="8"/>
  <c r="T1303" i="8" s="1"/>
  <c r="O1303" i="8"/>
  <c r="M1303" i="8"/>
  <c r="N1303" i="8"/>
  <c r="P1303" i="8" s="1"/>
  <c r="T1302" i="8"/>
  <c r="S1302" i="8"/>
  <c r="R1302" i="8"/>
  <c r="O1302" i="8"/>
  <c r="M1302" i="8"/>
  <c r="N1302" i="8"/>
  <c r="P1302" i="8" s="1"/>
  <c r="T1301" i="8"/>
  <c r="R1301" i="8"/>
  <c r="S1301" i="8" s="1"/>
  <c r="O1301" i="8"/>
  <c r="M1301" i="8"/>
  <c r="N1301" i="8"/>
  <c r="P1301" i="8" s="1"/>
  <c r="R1300" i="8"/>
  <c r="T1300" i="8" s="1"/>
  <c r="O1300" i="8"/>
  <c r="M1300" i="8"/>
  <c r="N1300" i="8"/>
  <c r="P1300" i="8" s="1"/>
  <c r="R1299" i="8"/>
  <c r="O1299" i="8"/>
  <c r="M1299" i="8"/>
  <c r="N1299" i="8"/>
  <c r="P1299" i="8" s="1"/>
  <c r="T1298" i="8"/>
  <c r="R1298" i="8"/>
  <c r="S1298" i="8" s="1"/>
  <c r="O1298" i="8"/>
  <c r="M1298" i="8"/>
  <c r="N1298" i="8"/>
  <c r="P1298" i="8" s="1"/>
  <c r="R1297" i="8"/>
  <c r="O1297" i="8"/>
  <c r="N1297" i="8"/>
  <c r="P1297" i="8" s="1"/>
  <c r="M1297" i="8"/>
  <c r="S1296" i="8"/>
  <c r="R1296" i="8"/>
  <c r="T1296" i="8" s="1"/>
  <c r="O1296" i="8"/>
  <c r="M1296" i="8"/>
  <c r="N1296" i="8"/>
  <c r="P1296" i="8" s="1"/>
  <c r="T1295" i="8"/>
  <c r="R1295" i="8"/>
  <c r="S1295" i="8" s="1"/>
  <c r="O1295" i="8"/>
  <c r="M1295" i="8"/>
  <c r="N1295" i="8"/>
  <c r="P1295" i="8" s="1"/>
  <c r="R1294" i="8"/>
  <c r="T1294" i="8" s="1"/>
  <c r="O1294" i="8"/>
  <c r="M1294" i="8"/>
  <c r="N1294" i="8"/>
  <c r="P1294" i="8" s="1"/>
  <c r="R1293" i="8"/>
  <c r="T1293" i="8" s="1"/>
  <c r="O1293" i="8"/>
  <c r="N1293" i="8"/>
  <c r="P1293" i="8" s="1"/>
  <c r="M1293" i="8"/>
  <c r="R1292" i="8"/>
  <c r="O1292" i="8"/>
  <c r="N1292" i="8"/>
  <c r="P1292" i="8" s="1"/>
  <c r="M1292" i="8"/>
  <c r="R1291" i="8"/>
  <c r="T1291" i="8" s="1"/>
  <c r="O1291" i="8"/>
  <c r="M1291" i="8"/>
  <c r="N1291" i="8"/>
  <c r="P1291" i="8" s="1"/>
  <c r="R1290" i="8"/>
  <c r="O1290" i="8"/>
  <c r="M1290" i="8"/>
  <c r="N1290" i="8"/>
  <c r="P1290" i="8" s="1"/>
  <c r="R1289" i="8"/>
  <c r="O1289" i="8"/>
  <c r="M1289" i="8"/>
  <c r="N1289" i="8"/>
  <c r="P1289" i="8" s="1"/>
  <c r="S1288" i="8"/>
  <c r="R1288" i="8"/>
  <c r="T1288" i="8" s="1"/>
  <c r="O1288" i="8"/>
  <c r="M1288" i="8"/>
  <c r="N1288" i="8"/>
  <c r="P1288" i="8" s="1"/>
  <c r="R1287" i="8"/>
  <c r="O1287" i="8"/>
  <c r="M1287" i="8"/>
  <c r="N1287" i="8"/>
  <c r="P1287" i="8" s="1"/>
  <c r="T1286" i="8"/>
  <c r="S1286" i="8"/>
  <c r="R1286" i="8"/>
  <c r="O1286" i="8"/>
  <c r="M1286" i="8"/>
  <c r="N1286" i="8"/>
  <c r="P1286" i="8" s="1"/>
  <c r="R1285" i="8"/>
  <c r="S1285" i="8" s="1"/>
  <c r="O1285" i="8"/>
  <c r="M1285" i="8"/>
  <c r="N1285" i="8"/>
  <c r="P1285" i="8" s="1"/>
  <c r="R1284" i="8"/>
  <c r="S1284" i="8" s="1"/>
  <c r="O1284" i="8"/>
  <c r="M1284" i="8"/>
  <c r="N1284" i="8"/>
  <c r="P1284" i="8" s="1"/>
  <c r="R1283" i="8"/>
  <c r="O1283" i="8"/>
  <c r="N1283" i="8"/>
  <c r="P1283" i="8" s="1"/>
  <c r="M1283" i="8"/>
  <c r="R1282" i="8"/>
  <c r="S1282" i="8" s="1"/>
  <c r="O1282" i="8"/>
  <c r="M1282" i="8"/>
  <c r="N1282" i="8"/>
  <c r="P1282" i="8" s="1"/>
  <c r="T1281" i="8"/>
  <c r="S1281" i="8"/>
  <c r="R1281" i="8"/>
  <c r="O1281" i="8"/>
  <c r="M1281" i="8"/>
  <c r="N1281" i="8"/>
  <c r="P1281" i="8" s="1"/>
  <c r="R1280" i="8"/>
  <c r="S1280" i="8" s="1"/>
  <c r="O1280" i="8"/>
  <c r="N1280" i="8"/>
  <c r="P1280" i="8" s="1"/>
  <c r="M1280" i="8"/>
  <c r="R1279" i="8"/>
  <c r="O1279" i="8"/>
  <c r="N1279" i="8"/>
  <c r="P1279" i="8" s="1"/>
  <c r="M1279" i="8"/>
  <c r="R1278" i="8"/>
  <c r="T1278" i="8" s="1"/>
  <c r="O1278" i="8"/>
  <c r="M1278" i="8"/>
  <c r="N1278" i="8"/>
  <c r="P1278" i="8" s="1"/>
  <c r="T1277" i="8"/>
  <c r="S1277" i="8"/>
  <c r="R1277" i="8"/>
  <c r="O1277" i="8"/>
  <c r="M1277" i="8"/>
  <c r="N1277" i="8"/>
  <c r="P1277" i="8" s="1"/>
  <c r="R1276" i="8"/>
  <c r="T1276" i="8" s="1"/>
  <c r="O1276" i="8"/>
  <c r="M1276" i="8"/>
  <c r="N1276" i="8"/>
  <c r="P1276" i="8" s="1"/>
  <c r="S1275" i="8"/>
  <c r="R1275" i="8"/>
  <c r="T1275" i="8" s="1"/>
  <c r="O1275" i="8"/>
  <c r="N1275" i="8"/>
  <c r="P1275" i="8" s="1"/>
  <c r="M1275" i="8"/>
  <c r="T1274" i="8"/>
  <c r="S1274" i="8"/>
  <c r="R1274" i="8"/>
  <c r="O1274" i="8"/>
  <c r="N1274" i="8"/>
  <c r="P1274" i="8" s="1"/>
  <c r="M1274" i="8"/>
  <c r="R1273" i="8"/>
  <c r="S1273" i="8" s="1"/>
  <c r="O1273" i="8"/>
  <c r="M1273" i="8"/>
  <c r="N1273" i="8"/>
  <c r="P1273" i="8" s="1"/>
  <c r="R1272" i="8"/>
  <c r="S1272" i="8" s="1"/>
  <c r="O1272" i="8"/>
  <c r="M1272" i="8"/>
  <c r="N1272" i="8"/>
  <c r="P1272" i="8" s="1"/>
  <c r="R1271" i="8"/>
  <c r="T1271" i="8" s="1"/>
  <c r="O1271" i="8"/>
  <c r="M1271" i="8"/>
  <c r="N1271" i="8"/>
  <c r="P1271" i="8" s="1"/>
  <c r="R1270" i="8"/>
  <c r="S1270" i="8" s="1"/>
  <c r="O1270" i="8"/>
  <c r="M1270" i="8"/>
  <c r="N1270" i="8"/>
  <c r="P1270" i="8" s="1"/>
  <c r="R1269" i="8"/>
  <c r="S1269" i="8" s="1"/>
  <c r="O1269" i="8"/>
  <c r="M1269" i="8"/>
  <c r="N1269" i="8"/>
  <c r="P1269" i="8" s="1"/>
  <c r="T1268" i="8"/>
  <c r="R1268" i="8"/>
  <c r="S1268" i="8" s="1"/>
  <c r="O1268" i="8"/>
  <c r="N1268" i="8"/>
  <c r="P1268" i="8" s="1"/>
  <c r="M1268" i="8"/>
  <c r="R1267" i="8"/>
  <c r="S1267" i="8" s="1"/>
  <c r="O1267" i="8"/>
  <c r="M1267" i="8"/>
  <c r="N1267" i="8"/>
  <c r="P1267" i="8" s="1"/>
  <c r="S1266" i="8"/>
  <c r="R1266" i="8"/>
  <c r="T1266" i="8" s="1"/>
  <c r="O1266" i="8"/>
  <c r="M1266" i="8"/>
  <c r="N1266" i="8"/>
  <c r="P1266" i="8" s="1"/>
  <c r="T1265" i="8"/>
  <c r="R1265" i="8"/>
  <c r="S1265" i="8" s="1"/>
  <c r="O1265" i="8"/>
  <c r="M1265" i="8"/>
  <c r="N1265" i="8"/>
  <c r="P1265" i="8" s="1"/>
  <c r="R1264" i="8"/>
  <c r="S1264" i="8" s="1"/>
  <c r="O1264" i="8"/>
  <c r="M1264" i="8"/>
  <c r="N1264" i="8"/>
  <c r="P1264" i="8" s="1"/>
  <c r="R1263" i="8"/>
  <c r="O1263" i="8"/>
  <c r="M1263" i="8"/>
  <c r="N1263" i="8"/>
  <c r="P1263" i="8" s="1"/>
  <c r="S1262" i="8"/>
  <c r="R1262" i="8"/>
  <c r="T1262" i="8" s="1"/>
  <c r="O1262" i="8"/>
  <c r="M1262" i="8"/>
  <c r="N1262" i="8"/>
  <c r="P1262" i="8" s="1"/>
  <c r="T1261" i="8"/>
  <c r="R1261" i="8"/>
  <c r="S1261" i="8" s="1"/>
  <c r="O1261" i="8"/>
  <c r="M1261" i="8"/>
  <c r="N1261" i="8"/>
  <c r="P1261" i="8" s="1"/>
  <c r="R1260" i="8"/>
  <c r="S1260" i="8" s="1"/>
  <c r="O1260" i="8"/>
  <c r="M1260" i="8"/>
  <c r="N1260" i="8"/>
  <c r="P1260" i="8" s="1"/>
  <c r="T1259" i="8"/>
  <c r="S1259" i="8"/>
  <c r="R1259" i="8"/>
  <c r="O1259" i="8"/>
  <c r="M1259" i="8"/>
  <c r="N1259" i="8"/>
  <c r="P1259" i="8" s="1"/>
  <c r="T1258" i="8"/>
  <c r="R1258" i="8"/>
  <c r="S1258" i="8" s="1"/>
  <c r="O1258" i="8"/>
  <c r="M1258" i="8"/>
  <c r="N1258" i="8"/>
  <c r="P1258" i="8" s="1"/>
  <c r="R1257" i="8"/>
  <c r="T1257" i="8" s="1"/>
  <c r="O1257" i="8"/>
  <c r="M1257" i="8"/>
  <c r="N1257" i="8"/>
  <c r="P1257" i="8" s="1"/>
  <c r="R1256" i="8"/>
  <c r="O1256" i="8"/>
  <c r="M1256" i="8"/>
  <c r="N1256" i="8"/>
  <c r="P1256" i="8" s="1"/>
  <c r="R1255" i="8"/>
  <c r="O1255" i="8"/>
  <c r="N1255" i="8"/>
  <c r="P1255" i="8" s="1"/>
  <c r="M1255" i="8"/>
  <c r="T1254" i="8"/>
  <c r="S1254" i="8"/>
  <c r="R1254" i="8"/>
  <c r="O1254" i="8"/>
  <c r="M1254" i="8"/>
  <c r="N1254" i="8"/>
  <c r="P1254" i="8" s="1"/>
  <c r="T1253" i="8"/>
  <c r="S1253" i="8"/>
  <c r="R1253" i="8"/>
  <c r="O1253" i="8"/>
  <c r="M1253" i="8"/>
  <c r="N1253" i="8"/>
  <c r="P1253" i="8" s="1"/>
  <c r="R1252" i="8"/>
  <c r="S1252" i="8" s="1"/>
  <c r="O1252" i="8"/>
  <c r="M1252" i="8"/>
  <c r="N1252" i="8"/>
  <c r="P1252" i="8" s="1"/>
  <c r="R1251" i="8"/>
  <c r="O1251" i="8"/>
  <c r="M1251" i="8"/>
  <c r="N1251" i="8"/>
  <c r="P1251" i="8" s="1"/>
  <c r="R1250" i="8"/>
  <c r="O1250" i="8"/>
  <c r="M1250" i="8"/>
  <c r="N1250" i="8"/>
  <c r="P1250" i="8" s="1"/>
  <c r="T1249" i="8"/>
  <c r="R1249" i="8"/>
  <c r="S1249" i="8" s="1"/>
  <c r="O1249" i="8"/>
  <c r="M1249" i="8"/>
  <c r="N1249" i="8"/>
  <c r="P1249" i="8" s="1"/>
  <c r="S1248" i="8"/>
  <c r="R1248" i="8"/>
  <c r="T1248" i="8" s="1"/>
  <c r="O1248" i="8"/>
  <c r="M1248" i="8"/>
  <c r="N1248" i="8"/>
  <c r="P1248" i="8" s="1"/>
  <c r="R1247" i="8"/>
  <c r="T1247" i="8" s="1"/>
  <c r="O1247" i="8"/>
  <c r="M1247" i="8"/>
  <c r="N1247" i="8"/>
  <c r="P1247" i="8" s="1"/>
  <c r="T1246" i="8"/>
  <c r="R1246" i="8"/>
  <c r="S1246" i="8" s="1"/>
  <c r="O1246" i="8"/>
  <c r="N1246" i="8"/>
  <c r="P1246" i="8" s="1"/>
  <c r="M1246" i="8"/>
  <c r="R1245" i="8"/>
  <c r="O1245" i="8"/>
  <c r="N1245" i="8"/>
  <c r="P1245" i="8" s="1"/>
  <c r="M1245" i="8"/>
  <c r="R1244" i="8"/>
  <c r="T1244" i="8" s="1"/>
  <c r="O1244" i="8"/>
  <c r="M1244" i="8"/>
  <c r="N1244" i="8"/>
  <c r="P1244" i="8" s="1"/>
  <c r="T1243" i="8"/>
  <c r="R1243" i="8"/>
  <c r="S1243" i="8" s="1"/>
  <c r="O1243" i="8"/>
  <c r="M1243" i="8"/>
  <c r="N1243" i="8"/>
  <c r="P1243" i="8" s="1"/>
  <c r="R1242" i="8"/>
  <c r="S1242" i="8" s="1"/>
  <c r="O1242" i="8"/>
  <c r="M1242" i="8"/>
  <c r="N1242" i="8"/>
  <c r="P1242" i="8" s="1"/>
  <c r="R1241" i="8"/>
  <c r="O1241" i="8"/>
  <c r="N1241" i="8"/>
  <c r="P1241" i="8" s="1"/>
  <c r="M1241" i="8"/>
  <c r="R1240" i="8"/>
  <c r="O1240" i="8"/>
  <c r="M1240" i="8"/>
  <c r="N1240" i="8"/>
  <c r="P1240" i="8" s="1"/>
  <c r="S1239" i="8"/>
  <c r="R1239" i="8"/>
  <c r="T1239" i="8" s="1"/>
  <c r="O1239" i="8"/>
  <c r="N1239" i="8"/>
  <c r="P1239" i="8" s="1"/>
  <c r="M1239" i="8"/>
  <c r="R1238" i="8"/>
  <c r="O1238" i="8"/>
  <c r="N1238" i="8"/>
  <c r="P1238" i="8" s="1"/>
  <c r="M1238" i="8"/>
  <c r="R1237" i="8"/>
  <c r="T1237" i="8" s="1"/>
  <c r="O1237" i="8"/>
  <c r="M1237" i="8"/>
  <c r="N1237" i="8"/>
  <c r="P1237" i="8" s="1"/>
  <c r="R1236" i="8"/>
  <c r="T1236" i="8" s="1"/>
  <c r="O1236" i="8"/>
  <c r="M1236" i="8"/>
  <c r="N1236" i="8"/>
  <c r="P1236" i="8" s="1"/>
  <c r="T1235" i="8"/>
  <c r="S1235" i="8"/>
  <c r="R1235" i="8"/>
  <c r="O1235" i="8"/>
  <c r="M1235" i="8"/>
  <c r="N1235" i="8"/>
  <c r="P1235" i="8" s="1"/>
  <c r="T1234" i="8"/>
  <c r="S1234" i="8"/>
  <c r="R1234" i="8"/>
  <c r="O1234" i="8"/>
  <c r="M1234" i="8"/>
  <c r="N1234" i="8"/>
  <c r="P1234" i="8" s="1"/>
  <c r="R1233" i="8"/>
  <c r="O1233" i="8"/>
  <c r="M1233" i="8"/>
  <c r="N1233" i="8"/>
  <c r="P1233" i="8" s="1"/>
  <c r="R1232" i="8"/>
  <c r="T1232" i="8" s="1"/>
  <c r="O1232" i="8"/>
  <c r="M1232" i="8"/>
  <c r="N1232" i="8"/>
  <c r="P1232" i="8" s="1"/>
  <c r="R1231" i="8"/>
  <c r="T1231" i="8" s="1"/>
  <c r="O1231" i="8"/>
  <c r="M1231" i="8"/>
  <c r="N1231" i="8"/>
  <c r="P1231" i="8" s="1"/>
  <c r="R1230" i="8"/>
  <c r="O1230" i="8"/>
  <c r="M1230" i="8"/>
  <c r="N1230" i="8"/>
  <c r="P1230" i="8" s="1"/>
  <c r="R1229" i="8"/>
  <c r="T1229" i="8" s="1"/>
  <c r="O1229" i="8"/>
  <c r="M1229" i="8"/>
  <c r="N1229" i="8"/>
  <c r="P1229" i="8" s="1"/>
  <c r="T1228" i="8"/>
  <c r="S1228" i="8"/>
  <c r="R1228" i="8"/>
  <c r="O1228" i="8"/>
  <c r="N1228" i="8"/>
  <c r="P1228" i="8" s="1"/>
  <c r="M1228" i="8"/>
  <c r="R1227" i="8"/>
  <c r="O1227" i="8"/>
  <c r="N1227" i="8"/>
  <c r="P1227" i="8" s="1"/>
  <c r="M1227" i="8"/>
  <c r="R1226" i="8"/>
  <c r="P1226" i="8"/>
  <c r="O1226" i="8"/>
  <c r="M1226" i="8"/>
  <c r="N1226" i="8"/>
  <c r="R1225" i="8"/>
  <c r="O1225" i="8"/>
  <c r="N1225" i="8"/>
  <c r="P1225" i="8" s="1"/>
  <c r="M1225" i="8"/>
  <c r="R1224" i="8"/>
  <c r="T1224" i="8" s="1"/>
  <c r="O1224" i="8"/>
  <c r="M1224" i="8"/>
  <c r="N1224" i="8"/>
  <c r="P1224" i="8" s="1"/>
  <c r="R1223" i="8"/>
  <c r="O1223" i="8"/>
  <c r="M1223" i="8"/>
  <c r="N1223" i="8"/>
  <c r="P1223" i="8" s="1"/>
  <c r="R1222" i="8"/>
  <c r="S1222" i="8" s="1"/>
  <c r="O1222" i="8"/>
  <c r="M1222" i="8"/>
  <c r="N1222" i="8"/>
  <c r="P1222" i="8" s="1"/>
  <c r="R1221" i="8"/>
  <c r="T1221" i="8" s="1"/>
  <c r="O1221" i="8"/>
  <c r="M1221" i="8"/>
  <c r="N1221" i="8"/>
  <c r="P1221" i="8" s="1"/>
  <c r="T1220" i="8"/>
  <c r="R1220" i="8"/>
  <c r="S1220" i="8" s="1"/>
  <c r="O1220" i="8"/>
  <c r="M1220" i="8"/>
  <c r="N1220" i="8"/>
  <c r="P1220" i="8" s="1"/>
  <c r="R1219" i="8"/>
  <c r="T1219" i="8" s="1"/>
  <c r="O1219" i="8"/>
  <c r="M1219" i="8"/>
  <c r="N1219" i="8"/>
  <c r="P1219" i="8" s="1"/>
  <c r="R1218" i="8"/>
  <c r="O1218" i="8"/>
  <c r="M1218" i="8"/>
  <c r="N1218" i="8"/>
  <c r="P1218" i="8" s="1"/>
  <c r="S1217" i="8"/>
  <c r="R1217" i="8"/>
  <c r="T1217" i="8" s="1"/>
  <c r="O1217" i="8"/>
  <c r="M1217" i="8"/>
  <c r="N1217" i="8"/>
  <c r="P1217" i="8" s="1"/>
  <c r="R1216" i="8"/>
  <c r="O1216" i="8"/>
  <c r="M1216" i="8"/>
  <c r="N1216" i="8"/>
  <c r="P1216" i="8" s="1"/>
  <c r="R1215" i="8"/>
  <c r="O1215" i="8"/>
  <c r="M1215" i="8"/>
  <c r="N1215" i="8"/>
  <c r="P1215" i="8" s="1"/>
  <c r="S1214" i="8"/>
  <c r="R1214" i="8"/>
  <c r="T1214" i="8" s="1"/>
  <c r="O1214" i="8"/>
  <c r="M1214" i="8"/>
  <c r="N1214" i="8"/>
  <c r="P1214" i="8" s="1"/>
  <c r="R1213" i="8"/>
  <c r="T1213" i="8" s="1"/>
  <c r="O1213" i="8"/>
  <c r="M1213" i="8"/>
  <c r="N1213" i="8"/>
  <c r="P1213" i="8" s="1"/>
  <c r="T1212" i="8"/>
  <c r="S1212" i="8"/>
  <c r="R1212" i="8"/>
  <c r="O1212" i="8"/>
  <c r="M1212" i="8"/>
  <c r="N1212" i="8"/>
  <c r="P1212" i="8" s="1"/>
  <c r="T1211" i="8"/>
  <c r="R1211" i="8"/>
  <c r="S1211" i="8" s="1"/>
  <c r="O1211" i="8"/>
  <c r="M1211" i="8"/>
  <c r="N1211" i="8"/>
  <c r="P1211" i="8" s="1"/>
  <c r="R1210" i="8"/>
  <c r="O1210" i="8"/>
  <c r="M1210" i="8"/>
  <c r="N1210" i="8"/>
  <c r="P1210" i="8" s="1"/>
  <c r="R1209" i="8"/>
  <c r="O1209" i="8"/>
  <c r="M1209" i="8"/>
  <c r="N1209" i="8"/>
  <c r="P1209" i="8" s="1"/>
  <c r="R1208" i="8"/>
  <c r="T1208" i="8" s="1"/>
  <c r="O1208" i="8"/>
  <c r="M1208" i="8"/>
  <c r="N1208" i="8"/>
  <c r="P1208" i="8" s="1"/>
  <c r="R1207" i="8"/>
  <c r="S1207" i="8" s="1"/>
  <c r="O1207" i="8"/>
  <c r="M1207" i="8"/>
  <c r="N1207" i="8"/>
  <c r="P1207" i="8" s="1"/>
  <c r="S1206" i="8"/>
  <c r="R1206" i="8"/>
  <c r="T1206" i="8" s="1"/>
  <c r="O1206" i="8"/>
  <c r="M1206" i="8"/>
  <c r="N1206" i="8"/>
  <c r="P1206" i="8" s="1"/>
  <c r="R1205" i="8"/>
  <c r="O1205" i="8"/>
  <c r="M1205" i="8"/>
  <c r="N1205" i="8"/>
  <c r="P1205" i="8" s="1"/>
  <c r="T1204" i="8"/>
  <c r="S1204" i="8"/>
  <c r="R1204" i="8"/>
  <c r="O1204" i="8"/>
  <c r="M1204" i="8"/>
  <c r="N1204" i="8"/>
  <c r="P1204" i="8" s="1"/>
  <c r="R1203" i="8"/>
  <c r="S1203" i="8" s="1"/>
  <c r="O1203" i="8"/>
  <c r="M1203" i="8"/>
  <c r="N1203" i="8"/>
  <c r="P1203" i="8" s="1"/>
  <c r="T1202" i="8"/>
  <c r="S1202" i="8"/>
  <c r="R1202" i="8"/>
  <c r="O1202" i="8"/>
  <c r="M1202" i="8"/>
  <c r="N1202" i="8"/>
  <c r="P1202" i="8" s="1"/>
  <c r="R1201" i="8"/>
  <c r="O1201" i="8"/>
  <c r="N1201" i="8"/>
  <c r="P1201" i="8" s="1"/>
  <c r="M1201" i="8"/>
  <c r="R1200" i="8"/>
  <c r="S1200" i="8" s="1"/>
  <c r="O1200" i="8"/>
  <c r="M1200" i="8"/>
  <c r="N1200" i="8"/>
  <c r="P1200" i="8" s="1"/>
  <c r="R1199" i="8"/>
  <c r="S1199" i="8" s="1"/>
  <c r="O1199" i="8"/>
  <c r="M1199" i="8"/>
  <c r="N1199" i="8"/>
  <c r="P1199" i="8" s="1"/>
  <c r="R1198" i="8"/>
  <c r="T1198" i="8" s="1"/>
  <c r="O1198" i="8"/>
  <c r="M1198" i="8"/>
  <c r="N1198" i="8"/>
  <c r="P1198" i="8" s="1"/>
  <c r="R1197" i="8"/>
  <c r="O1197" i="8"/>
  <c r="N1197" i="8"/>
  <c r="P1197" i="8" s="1"/>
  <c r="M1197" i="8"/>
  <c r="R1196" i="8"/>
  <c r="O1196" i="8"/>
  <c r="M1196" i="8"/>
  <c r="N1196" i="8"/>
  <c r="P1196" i="8" s="1"/>
  <c r="R1195" i="8"/>
  <c r="T1195" i="8" s="1"/>
  <c r="O1195" i="8"/>
  <c r="M1195" i="8"/>
  <c r="N1195" i="8"/>
  <c r="P1195" i="8" s="1"/>
  <c r="R1194" i="8"/>
  <c r="O1194" i="8"/>
  <c r="M1194" i="8"/>
  <c r="N1194" i="8"/>
  <c r="P1194" i="8" s="1"/>
  <c r="R1193" i="8"/>
  <c r="S1193" i="8" s="1"/>
  <c r="O1193" i="8"/>
  <c r="M1193" i="8"/>
  <c r="N1193" i="8"/>
  <c r="P1193" i="8" s="1"/>
  <c r="T1192" i="8"/>
  <c r="R1192" i="8"/>
  <c r="S1192" i="8" s="1"/>
  <c r="O1192" i="8"/>
  <c r="M1192" i="8"/>
  <c r="N1192" i="8"/>
  <c r="P1192" i="8" s="1"/>
  <c r="T1191" i="8"/>
  <c r="R1191" i="8"/>
  <c r="S1191" i="8" s="1"/>
  <c r="P1191" i="8"/>
  <c r="O1191" i="8"/>
  <c r="N1191" i="8"/>
  <c r="M1191" i="8"/>
  <c r="R1190" i="8"/>
  <c r="O1190" i="8"/>
  <c r="M1190" i="8"/>
  <c r="N1190" i="8"/>
  <c r="P1190" i="8" s="1"/>
  <c r="R1189" i="8"/>
  <c r="S1189" i="8" s="1"/>
  <c r="O1189" i="8"/>
  <c r="N1189" i="8"/>
  <c r="P1189" i="8" s="1"/>
  <c r="M1189" i="8"/>
  <c r="R1188" i="8"/>
  <c r="O1188" i="8"/>
  <c r="M1188" i="8"/>
  <c r="N1188" i="8"/>
  <c r="P1188" i="8" s="1"/>
  <c r="R1187" i="8"/>
  <c r="O1187" i="8"/>
  <c r="M1187" i="8"/>
  <c r="N1187" i="8"/>
  <c r="P1187" i="8" s="1"/>
  <c r="R1186" i="8"/>
  <c r="O1186" i="8"/>
  <c r="N1186" i="8"/>
  <c r="P1186" i="8" s="1"/>
  <c r="M1186" i="8"/>
  <c r="R1185" i="8"/>
  <c r="O1185" i="8"/>
  <c r="M1185" i="8"/>
  <c r="N1185" i="8"/>
  <c r="P1185" i="8" s="1"/>
  <c r="R1184" i="8"/>
  <c r="O1184" i="8"/>
  <c r="M1184" i="8"/>
  <c r="N1184" i="8"/>
  <c r="P1184" i="8" s="1"/>
  <c r="R1183" i="8"/>
  <c r="S1183" i="8" s="1"/>
  <c r="O1183" i="8"/>
  <c r="M1183" i="8"/>
  <c r="N1183" i="8"/>
  <c r="P1183" i="8" s="1"/>
  <c r="T1182" i="8"/>
  <c r="R1182" i="8"/>
  <c r="S1182" i="8" s="1"/>
  <c r="O1182" i="8"/>
  <c r="M1182" i="8"/>
  <c r="N1182" i="8"/>
  <c r="P1182" i="8" s="1"/>
  <c r="R1181" i="8"/>
  <c r="O1181" i="8"/>
  <c r="M1181" i="8"/>
  <c r="N1181" i="8"/>
  <c r="P1181" i="8" s="1"/>
  <c r="R1180" i="8"/>
  <c r="S1180" i="8" s="1"/>
  <c r="O1180" i="8"/>
  <c r="M1180" i="8"/>
  <c r="N1180" i="8"/>
  <c r="P1180" i="8" s="1"/>
  <c r="R1179" i="8"/>
  <c r="O1179" i="8"/>
  <c r="M1179" i="8"/>
  <c r="N1179" i="8"/>
  <c r="P1179" i="8" s="1"/>
  <c r="R1178" i="8"/>
  <c r="O1178" i="8"/>
  <c r="M1178" i="8"/>
  <c r="N1178" i="8"/>
  <c r="P1178" i="8" s="1"/>
  <c r="R1177" i="8"/>
  <c r="O1177" i="8"/>
  <c r="M1177" i="8"/>
  <c r="N1177" i="8"/>
  <c r="P1177" i="8" s="1"/>
  <c r="R1176" i="8"/>
  <c r="O1176" i="8"/>
  <c r="N1176" i="8"/>
  <c r="P1176" i="8" s="1"/>
  <c r="M1176" i="8"/>
  <c r="R1175" i="8"/>
  <c r="T1175" i="8" s="1"/>
  <c r="O1175" i="8"/>
  <c r="M1175" i="8"/>
  <c r="N1175" i="8"/>
  <c r="P1175" i="8" s="1"/>
  <c r="R1174" i="8"/>
  <c r="O1174" i="8"/>
  <c r="M1174" i="8"/>
  <c r="N1174" i="8"/>
  <c r="P1174" i="8" s="1"/>
  <c r="R1173" i="8"/>
  <c r="T1173" i="8" s="1"/>
  <c r="O1173" i="8"/>
  <c r="M1173" i="8"/>
  <c r="N1173" i="8"/>
  <c r="P1173" i="8" s="1"/>
  <c r="R1172" i="8"/>
  <c r="T1172" i="8" s="1"/>
  <c r="O1172" i="8"/>
  <c r="M1172" i="8"/>
  <c r="N1172" i="8"/>
  <c r="P1172" i="8" s="1"/>
  <c r="R1171" i="8"/>
  <c r="S1171" i="8" s="1"/>
  <c r="O1171" i="8"/>
  <c r="M1171" i="8"/>
  <c r="N1171" i="8"/>
  <c r="P1171" i="8" s="1"/>
  <c r="T1170" i="8"/>
  <c r="R1170" i="8"/>
  <c r="S1170" i="8" s="1"/>
  <c r="O1170" i="8"/>
  <c r="M1170" i="8"/>
  <c r="N1170" i="8"/>
  <c r="P1170" i="8" s="1"/>
  <c r="T1169" i="8"/>
  <c r="R1169" i="8"/>
  <c r="S1169" i="8" s="1"/>
  <c r="O1169" i="8"/>
  <c r="M1169" i="8"/>
  <c r="N1169" i="8"/>
  <c r="P1169" i="8" s="1"/>
  <c r="S1168" i="8"/>
  <c r="R1168" i="8"/>
  <c r="T1168" i="8" s="1"/>
  <c r="O1168" i="8"/>
  <c r="M1168" i="8"/>
  <c r="N1168" i="8"/>
  <c r="P1168" i="8" s="1"/>
  <c r="R1167" i="8"/>
  <c r="T1167" i="8" s="1"/>
  <c r="O1167" i="8"/>
  <c r="N1167" i="8"/>
  <c r="P1167" i="8" s="1"/>
  <c r="M1167" i="8"/>
  <c r="R1166" i="8"/>
  <c r="S1166" i="8" s="1"/>
  <c r="O1166" i="8"/>
  <c r="M1166" i="8"/>
  <c r="N1166" i="8"/>
  <c r="P1166" i="8" s="1"/>
  <c r="R1165" i="8"/>
  <c r="S1165" i="8" s="1"/>
  <c r="O1165" i="8"/>
  <c r="M1165" i="8"/>
  <c r="N1165" i="8"/>
  <c r="P1165" i="8" s="1"/>
  <c r="R1164" i="8"/>
  <c r="T1164" i="8" s="1"/>
  <c r="O1164" i="8"/>
  <c r="M1164" i="8"/>
  <c r="N1164" i="8"/>
  <c r="P1164" i="8" s="1"/>
  <c r="T1163" i="8"/>
  <c r="R1163" i="8"/>
  <c r="S1163" i="8" s="1"/>
  <c r="O1163" i="8"/>
  <c r="M1163" i="8"/>
  <c r="N1163" i="8"/>
  <c r="P1163" i="8" s="1"/>
  <c r="R1162" i="8"/>
  <c r="S1162" i="8" s="1"/>
  <c r="O1162" i="8"/>
  <c r="M1162" i="8"/>
  <c r="N1162" i="8"/>
  <c r="P1162" i="8" s="1"/>
  <c r="R1161" i="8"/>
  <c r="T1161" i="8" s="1"/>
  <c r="O1161" i="8"/>
  <c r="M1161" i="8"/>
  <c r="N1161" i="8"/>
  <c r="P1161" i="8" s="1"/>
  <c r="R1160" i="8"/>
  <c r="T1160" i="8" s="1"/>
  <c r="O1160" i="8"/>
  <c r="N1160" i="8"/>
  <c r="P1160" i="8" s="1"/>
  <c r="M1160" i="8"/>
  <c r="R1159" i="8"/>
  <c r="T1159" i="8" s="1"/>
  <c r="P1159" i="8"/>
  <c r="O1159" i="8"/>
  <c r="M1159" i="8"/>
  <c r="N1159" i="8"/>
  <c r="S1158" i="8"/>
  <c r="R1158" i="8"/>
  <c r="T1158" i="8" s="1"/>
  <c r="O1158" i="8"/>
  <c r="M1158" i="8"/>
  <c r="N1158" i="8"/>
  <c r="P1158" i="8" s="1"/>
  <c r="R1157" i="8"/>
  <c r="P1157" i="8"/>
  <c r="O1157" i="8"/>
  <c r="M1157" i="8"/>
  <c r="N1157" i="8"/>
  <c r="R1156" i="8"/>
  <c r="T1156" i="8" s="1"/>
  <c r="O1156" i="8"/>
  <c r="N1156" i="8"/>
  <c r="P1156" i="8" s="1"/>
  <c r="M1156" i="8"/>
  <c r="R1155" i="8"/>
  <c r="O1155" i="8"/>
  <c r="M1155" i="8"/>
  <c r="N1155" i="8"/>
  <c r="P1155" i="8" s="1"/>
  <c r="S1154" i="8"/>
  <c r="R1154" i="8"/>
  <c r="T1154" i="8" s="1"/>
  <c r="O1154" i="8"/>
  <c r="N1154" i="8"/>
  <c r="P1154" i="8" s="1"/>
  <c r="M1154" i="8"/>
  <c r="R1153" i="8"/>
  <c r="O1153" i="8"/>
  <c r="M1153" i="8"/>
  <c r="N1153" i="8"/>
  <c r="P1153" i="8" s="1"/>
  <c r="T1152" i="8"/>
  <c r="S1152" i="8"/>
  <c r="R1152" i="8"/>
  <c r="O1152" i="8"/>
  <c r="M1152" i="8"/>
  <c r="N1152" i="8"/>
  <c r="P1152" i="8" s="1"/>
  <c r="R1151" i="8"/>
  <c r="O1151" i="8"/>
  <c r="M1151" i="8"/>
  <c r="N1151" i="8"/>
  <c r="P1151" i="8" s="1"/>
  <c r="R1150" i="8"/>
  <c r="O1150" i="8"/>
  <c r="M1150" i="8"/>
  <c r="N1150" i="8"/>
  <c r="P1150" i="8" s="1"/>
  <c r="S1149" i="8"/>
  <c r="R1149" i="8"/>
  <c r="T1149" i="8" s="1"/>
  <c r="O1149" i="8"/>
  <c r="M1149" i="8"/>
  <c r="N1149" i="8"/>
  <c r="P1149" i="8" s="1"/>
  <c r="R1148" i="8"/>
  <c r="O1148" i="8"/>
  <c r="M1148" i="8"/>
  <c r="N1148" i="8"/>
  <c r="P1148" i="8" s="1"/>
  <c r="R1147" i="8"/>
  <c r="O1147" i="8"/>
  <c r="M1147" i="8"/>
  <c r="N1147" i="8"/>
  <c r="P1147" i="8" s="1"/>
  <c r="T1146" i="8"/>
  <c r="R1146" i="8"/>
  <c r="S1146" i="8" s="1"/>
  <c r="O1146" i="8"/>
  <c r="N1146" i="8"/>
  <c r="P1146" i="8" s="1"/>
  <c r="M1146" i="8"/>
  <c r="R1145" i="8"/>
  <c r="O1145" i="8"/>
  <c r="M1145" i="8"/>
  <c r="N1145" i="8"/>
  <c r="P1145" i="8" s="1"/>
  <c r="R1144" i="8"/>
  <c r="T1144" i="8" s="1"/>
  <c r="O1144" i="8"/>
  <c r="M1144" i="8"/>
  <c r="N1144" i="8"/>
  <c r="P1144" i="8" s="1"/>
  <c r="R1143" i="8"/>
  <c r="S1143" i="8" s="1"/>
  <c r="O1143" i="8"/>
  <c r="M1143" i="8"/>
  <c r="N1143" i="8"/>
  <c r="P1143" i="8" s="1"/>
  <c r="T1142" i="8"/>
  <c r="S1142" i="8"/>
  <c r="R1142" i="8"/>
  <c r="O1142" i="8"/>
  <c r="M1142" i="8"/>
  <c r="N1142" i="8"/>
  <c r="P1142" i="8" s="1"/>
  <c r="R1141" i="8"/>
  <c r="O1141" i="8"/>
  <c r="M1141" i="8"/>
  <c r="N1141" i="8"/>
  <c r="P1141" i="8" s="1"/>
  <c r="S1140" i="8"/>
  <c r="R1140" i="8"/>
  <c r="T1140" i="8" s="1"/>
  <c r="O1140" i="8"/>
  <c r="M1140" i="8"/>
  <c r="N1140" i="8"/>
  <c r="P1140" i="8" s="1"/>
  <c r="T1139" i="8"/>
  <c r="S1139" i="8"/>
  <c r="R1139" i="8"/>
  <c r="O1139" i="8"/>
  <c r="M1139" i="8"/>
  <c r="N1139" i="8"/>
  <c r="P1139" i="8" s="1"/>
  <c r="R1138" i="8"/>
  <c r="T1138" i="8" s="1"/>
  <c r="O1138" i="8"/>
  <c r="M1138" i="8"/>
  <c r="N1138" i="8"/>
  <c r="P1138" i="8" s="1"/>
  <c r="T1137" i="8"/>
  <c r="R1137" i="8"/>
  <c r="S1137" i="8" s="1"/>
  <c r="O1137" i="8"/>
  <c r="M1137" i="8"/>
  <c r="N1137" i="8"/>
  <c r="P1137" i="8" s="1"/>
  <c r="R1136" i="8"/>
  <c r="T1136" i="8" s="1"/>
  <c r="O1136" i="8"/>
  <c r="N1136" i="8"/>
  <c r="P1136" i="8" s="1"/>
  <c r="M1136" i="8"/>
  <c r="R1135" i="8"/>
  <c r="O1135" i="8"/>
  <c r="M1135" i="8"/>
  <c r="N1135" i="8"/>
  <c r="P1135" i="8" s="1"/>
  <c r="S1134" i="8"/>
  <c r="R1134" i="8"/>
  <c r="T1134" i="8" s="1"/>
  <c r="O1134" i="8"/>
  <c r="M1134" i="8"/>
  <c r="N1134" i="8"/>
  <c r="P1134" i="8" s="1"/>
  <c r="R1133" i="8"/>
  <c r="T1133" i="8" s="1"/>
  <c r="O1133" i="8"/>
  <c r="M1133" i="8"/>
  <c r="N1133" i="8"/>
  <c r="P1133" i="8" s="1"/>
  <c r="T1132" i="8"/>
  <c r="S1132" i="8"/>
  <c r="R1132" i="8"/>
  <c r="O1132" i="8"/>
  <c r="N1132" i="8"/>
  <c r="P1132" i="8" s="1"/>
  <c r="M1132" i="8"/>
  <c r="R1131" i="8"/>
  <c r="S1131" i="8" s="1"/>
  <c r="O1131" i="8"/>
  <c r="M1131" i="8"/>
  <c r="N1131" i="8"/>
  <c r="P1131" i="8" s="1"/>
  <c r="R1130" i="8"/>
  <c r="S1130" i="8" s="1"/>
  <c r="O1130" i="8"/>
  <c r="N1130" i="8"/>
  <c r="P1130" i="8" s="1"/>
  <c r="M1130" i="8"/>
  <c r="T1129" i="8"/>
  <c r="R1129" i="8"/>
  <c r="S1129" i="8" s="1"/>
  <c r="O1129" i="8"/>
  <c r="M1129" i="8"/>
  <c r="N1129" i="8"/>
  <c r="P1129" i="8" s="1"/>
  <c r="S1128" i="8"/>
  <c r="R1128" i="8"/>
  <c r="T1128" i="8" s="1"/>
  <c r="O1128" i="8"/>
  <c r="M1128" i="8"/>
  <c r="N1128" i="8"/>
  <c r="P1128" i="8" s="1"/>
  <c r="R1127" i="8"/>
  <c r="O1127" i="8"/>
  <c r="M1127" i="8"/>
  <c r="N1127" i="8"/>
  <c r="P1127" i="8" s="1"/>
  <c r="R1126" i="8"/>
  <c r="T1126" i="8" s="1"/>
  <c r="O1126" i="8"/>
  <c r="N1126" i="8"/>
  <c r="P1126" i="8" s="1"/>
  <c r="M1126" i="8"/>
  <c r="R1125" i="8"/>
  <c r="O1125" i="8"/>
  <c r="M1125" i="8"/>
  <c r="N1125" i="8"/>
  <c r="P1125" i="8" s="1"/>
  <c r="T1124" i="8"/>
  <c r="S1124" i="8"/>
  <c r="R1124" i="8"/>
  <c r="O1124" i="8"/>
  <c r="N1124" i="8"/>
  <c r="P1124" i="8" s="1"/>
  <c r="M1124" i="8"/>
  <c r="R1123" i="8"/>
  <c r="O1123" i="8"/>
  <c r="N1123" i="8"/>
  <c r="P1123" i="8" s="1"/>
  <c r="M1123" i="8"/>
  <c r="R1122" i="8"/>
  <c r="S1122" i="8" s="1"/>
  <c r="O1122" i="8"/>
  <c r="M1122" i="8"/>
  <c r="N1122" i="8"/>
  <c r="P1122" i="8" s="1"/>
  <c r="R1121" i="8"/>
  <c r="T1121" i="8" s="1"/>
  <c r="O1121" i="8"/>
  <c r="M1121" i="8"/>
  <c r="N1121" i="8"/>
  <c r="P1121" i="8" s="1"/>
  <c r="R1120" i="8"/>
  <c r="T1120" i="8" s="1"/>
  <c r="O1120" i="8"/>
  <c r="M1120" i="8"/>
  <c r="N1120" i="8"/>
  <c r="P1120" i="8" s="1"/>
  <c r="R1119" i="8"/>
  <c r="O1119" i="8"/>
  <c r="M1119" i="8"/>
  <c r="N1119" i="8"/>
  <c r="P1119" i="8" s="1"/>
  <c r="R1118" i="8"/>
  <c r="T1118" i="8" s="1"/>
  <c r="O1118" i="8"/>
  <c r="M1118" i="8"/>
  <c r="N1118" i="8"/>
  <c r="P1118" i="8" s="1"/>
  <c r="T1117" i="8"/>
  <c r="R1117" i="8"/>
  <c r="S1117" i="8" s="1"/>
  <c r="O1117" i="8"/>
  <c r="M1117" i="8"/>
  <c r="N1117" i="8"/>
  <c r="P1117" i="8" s="1"/>
  <c r="R1116" i="8"/>
  <c r="O1116" i="8"/>
  <c r="M1116" i="8"/>
  <c r="N1116" i="8"/>
  <c r="P1116" i="8" s="1"/>
  <c r="T1115" i="8"/>
  <c r="R1115" i="8"/>
  <c r="S1115" i="8" s="1"/>
  <c r="O1115" i="8"/>
  <c r="M1115" i="8"/>
  <c r="N1115" i="8"/>
  <c r="P1115" i="8" s="1"/>
  <c r="S1114" i="8"/>
  <c r="R1114" i="8"/>
  <c r="T1114" i="8" s="1"/>
  <c r="O1114" i="8"/>
  <c r="M1114" i="8"/>
  <c r="N1114" i="8"/>
  <c r="P1114" i="8" s="1"/>
  <c r="T1113" i="8"/>
  <c r="R1113" i="8"/>
  <c r="S1113" i="8" s="1"/>
  <c r="O1113" i="8"/>
  <c r="M1113" i="8"/>
  <c r="N1113" i="8"/>
  <c r="P1113" i="8" s="1"/>
  <c r="T1112" i="8"/>
  <c r="S1112" i="8"/>
  <c r="R1112" i="8"/>
  <c r="O1112" i="8"/>
  <c r="M1112" i="8"/>
  <c r="N1112" i="8"/>
  <c r="P1112" i="8" s="1"/>
  <c r="S1111" i="8"/>
  <c r="R1111" i="8"/>
  <c r="T1111" i="8" s="1"/>
  <c r="O1111" i="8"/>
  <c r="M1111" i="8"/>
  <c r="N1111" i="8"/>
  <c r="P1111" i="8" s="1"/>
  <c r="R1110" i="8"/>
  <c r="T1110" i="8" s="1"/>
  <c r="O1110" i="8"/>
  <c r="N1110" i="8"/>
  <c r="P1110" i="8" s="1"/>
  <c r="M1110" i="8"/>
  <c r="R1109" i="8"/>
  <c r="O1109" i="8"/>
  <c r="M1109" i="8"/>
  <c r="N1109" i="8"/>
  <c r="P1109" i="8" s="1"/>
  <c r="R1108" i="8"/>
  <c r="O1108" i="8"/>
  <c r="M1108" i="8"/>
  <c r="N1108" i="8"/>
  <c r="P1108" i="8" s="1"/>
  <c r="T1107" i="8"/>
  <c r="R1107" i="8"/>
  <c r="S1107" i="8" s="1"/>
  <c r="O1107" i="8"/>
  <c r="M1107" i="8"/>
  <c r="N1107" i="8"/>
  <c r="P1107" i="8" s="1"/>
  <c r="S1106" i="8"/>
  <c r="R1106" i="8"/>
  <c r="T1106" i="8" s="1"/>
  <c r="O1106" i="8"/>
  <c r="M1106" i="8"/>
  <c r="N1106" i="8"/>
  <c r="P1106" i="8" s="1"/>
  <c r="T1105" i="8"/>
  <c r="R1105" i="8"/>
  <c r="S1105" i="8" s="1"/>
  <c r="O1105" i="8"/>
  <c r="N1105" i="8"/>
  <c r="P1105" i="8" s="1"/>
  <c r="M1105" i="8"/>
  <c r="T1104" i="8"/>
  <c r="R1104" i="8"/>
  <c r="S1104" i="8" s="1"/>
  <c r="O1104" i="8"/>
  <c r="N1104" i="8"/>
  <c r="P1104" i="8" s="1"/>
  <c r="M1104" i="8"/>
  <c r="R1103" i="8"/>
  <c r="O1103" i="8"/>
  <c r="N1103" i="8"/>
  <c r="P1103" i="8" s="1"/>
  <c r="M1103" i="8"/>
  <c r="R1102" i="8"/>
  <c r="O1102" i="8"/>
  <c r="M1102" i="8"/>
  <c r="N1102" i="8"/>
  <c r="P1102" i="8" s="1"/>
  <c r="R1101" i="8"/>
  <c r="T1101" i="8" s="1"/>
  <c r="O1101" i="8"/>
  <c r="M1101" i="8"/>
  <c r="N1101" i="8"/>
  <c r="P1101" i="8" s="1"/>
  <c r="R1100" i="8"/>
  <c r="O1100" i="8"/>
  <c r="M1100" i="8"/>
  <c r="N1100" i="8"/>
  <c r="P1100" i="8" s="1"/>
  <c r="R1099" i="8"/>
  <c r="O1099" i="8"/>
  <c r="M1099" i="8"/>
  <c r="N1099" i="8"/>
  <c r="P1099" i="8" s="1"/>
  <c r="R1098" i="8"/>
  <c r="T1098" i="8" s="1"/>
  <c r="O1098" i="8"/>
  <c r="M1098" i="8"/>
  <c r="N1098" i="8"/>
  <c r="P1098" i="8" s="1"/>
  <c r="R1097" i="8"/>
  <c r="O1097" i="8"/>
  <c r="M1097" i="8"/>
  <c r="N1097" i="8"/>
  <c r="P1097" i="8" s="1"/>
  <c r="R1096" i="8"/>
  <c r="T1096" i="8" s="1"/>
  <c r="O1096" i="8"/>
  <c r="M1096" i="8"/>
  <c r="N1096" i="8"/>
  <c r="P1096" i="8" s="1"/>
  <c r="R1095" i="8"/>
  <c r="O1095" i="8"/>
  <c r="M1095" i="8"/>
  <c r="N1095" i="8"/>
  <c r="P1095" i="8" s="1"/>
  <c r="R1094" i="8"/>
  <c r="T1094" i="8" s="1"/>
  <c r="O1094" i="8"/>
  <c r="M1094" i="8"/>
  <c r="N1094" i="8"/>
  <c r="P1094" i="8" s="1"/>
  <c r="R1093" i="8"/>
  <c r="O1093" i="8"/>
  <c r="N1093" i="8"/>
  <c r="P1093" i="8" s="1"/>
  <c r="M1093" i="8"/>
  <c r="R1092" i="8"/>
  <c r="O1092" i="8"/>
  <c r="M1092" i="8"/>
  <c r="N1092" i="8"/>
  <c r="P1092" i="8" s="1"/>
  <c r="R1091" i="8"/>
  <c r="O1091" i="8"/>
  <c r="M1091" i="8"/>
  <c r="N1091" i="8"/>
  <c r="P1091" i="8" s="1"/>
  <c r="R1090" i="8"/>
  <c r="O1090" i="8"/>
  <c r="M1090" i="8"/>
  <c r="N1090" i="8"/>
  <c r="P1090" i="8" s="1"/>
  <c r="R1089" i="8"/>
  <c r="O1089" i="8"/>
  <c r="M1089" i="8"/>
  <c r="N1089" i="8"/>
  <c r="P1089" i="8" s="1"/>
  <c r="R1088" i="8"/>
  <c r="O1088" i="8"/>
  <c r="M1088" i="8"/>
  <c r="N1088" i="8"/>
  <c r="P1088" i="8" s="1"/>
  <c r="R1087" i="8"/>
  <c r="T1087" i="8" s="1"/>
  <c r="O1087" i="8"/>
  <c r="M1087" i="8"/>
  <c r="N1087" i="8"/>
  <c r="P1087" i="8" s="1"/>
  <c r="R1086" i="8"/>
  <c r="T1086" i="8" s="1"/>
  <c r="O1086" i="8"/>
  <c r="N1086" i="8"/>
  <c r="P1086" i="8" s="1"/>
  <c r="M1086" i="8"/>
  <c r="R1085" i="8"/>
  <c r="O1085" i="8"/>
  <c r="N1085" i="8"/>
  <c r="P1085" i="8" s="1"/>
  <c r="M1085" i="8"/>
  <c r="R1084" i="8"/>
  <c r="O1084" i="8"/>
  <c r="N1084" i="8"/>
  <c r="P1084" i="8" s="1"/>
  <c r="M1084" i="8"/>
  <c r="R1083" i="8"/>
  <c r="S1083" i="8" s="1"/>
  <c r="O1083" i="8"/>
  <c r="M1083" i="8"/>
  <c r="N1083" i="8"/>
  <c r="P1083" i="8" s="1"/>
  <c r="S1082" i="8"/>
  <c r="R1082" i="8"/>
  <c r="T1082" i="8" s="1"/>
  <c r="O1082" i="8"/>
  <c r="N1082" i="8"/>
  <c r="P1082" i="8" s="1"/>
  <c r="M1082" i="8"/>
  <c r="R1081" i="8"/>
  <c r="O1081" i="8"/>
  <c r="N1081" i="8"/>
  <c r="P1081" i="8" s="1"/>
  <c r="M1081" i="8"/>
  <c r="R1080" i="8"/>
  <c r="O1080" i="8"/>
  <c r="N1080" i="8"/>
  <c r="P1080" i="8" s="1"/>
  <c r="M1080" i="8"/>
  <c r="R1079" i="8"/>
  <c r="T1079" i="8" s="1"/>
  <c r="O1079" i="8"/>
  <c r="M1079" i="8"/>
  <c r="N1079" i="8"/>
  <c r="P1079" i="8" s="1"/>
  <c r="R1078" i="8"/>
  <c r="S1078" i="8" s="1"/>
  <c r="O1078" i="8"/>
  <c r="M1078" i="8"/>
  <c r="N1078" i="8"/>
  <c r="P1078" i="8" s="1"/>
  <c r="R1077" i="8"/>
  <c r="O1077" i="8"/>
  <c r="M1077" i="8"/>
  <c r="N1077" i="8"/>
  <c r="P1077" i="8" s="1"/>
  <c r="T1076" i="8"/>
  <c r="S1076" i="8"/>
  <c r="R1076" i="8"/>
  <c r="O1076" i="8"/>
  <c r="N1076" i="8"/>
  <c r="P1076" i="8" s="1"/>
  <c r="M1076" i="8"/>
  <c r="R1075" i="8"/>
  <c r="T1075" i="8" s="1"/>
  <c r="O1075" i="8"/>
  <c r="M1075" i="8"/>
  <c r="N1075" i="8"/>
  <c r="P1075" i="8" s="1"/>
  <c r="R1074" i="8"/>
  <c r="T1074" i="8" s="1"/>
  <c r="O1074" i="8"/>
  <c r="M1074" i="8"/>
  <c r="N1074" i="8"/>
  <c r="P1074" i="8" s="1"/>
  <c r="R1073" i="8"/>
  <c r="T1073" i="8" s="1"/>
  <c r="O1073" i="8"/>
  <c r="M1073" i="8"/>
  <c r="N1073" i="8"/>
  <c r="P1073" i="8" s="1"/>
  <c r="R1072" i="8"/>
  <c r="T1072" i="8" s="1"/>
  <c r="P1072" i="8"/>
  <c r="O1072" i="8"/>
  <c r="M1072" i="8"/>
  <c r="N1072" i="8"/>
  <c r="R1071" i="8"/>
  <c r="O1071" i="8"/>
  <c r="M1071" i="8"/>
  <c r="N1071" i="8"/>
  <c r="P1071" i="8" s="1"/>
  <c r="R1070" i="8"/>
  <c r="T1070" i="8" s="1"/>
  <c r="O1070" i="8"/>
  <c r="M1070" i="8"/>
  <c r="N1070" i="8"/>
  <c r="P1070" i="8" s="1"/>
  <c r="R1069" i="8"/>
  <c r="O1069" i="8"/>
  <c r="M1069" i="8"/>
  <c r="N1069" i="8"/>
  <c r="P1069" i="8" s="1"/>
  <c r="R1068" i="8"/>
  <c r="O1068" i="8"/>
  <c r="M1068" i="8"/>
  <c r="N1068" i="8"/>
  <c r="P1068" i="8" s="1"/>
  <c r="R1067" i="8"/>
  <c r="T1067" i="8" s="1"/>
  <c r="O1067" i="8"/>
  <c r="M1067" i="8"/>
  <c r="N1067" i="8"/>
  <c r="P1067" i="8" s="1"/>
  <c r="R1066" i="8"/>
  <c r="O1066" i="8"/>
  <c r="N1066" i="8"/>
  <c r="P1066" i="8" s="1"/>
  <c r="M1066" i="8"/>
  <c r="R1065" i="8"/>
  <c r="O1065" i="8"/>
  <c r="N1065" i="8"/>
  <c r="P1065" i="8" s="1"/>
  <c r="M1065" i="8"/>
  <c r="R1064" i="8"/>
  <c r="O1064" i="8"/>
  <c r="M1064" i="8"/>
  <c r="N1064" i="8"/>
  <c r="P1064" i="8" s="1"/>
  <c r="R1063" i="8"/>
  <c r="O1063" i="8"/>
  <c r="M1063" i="8"/>
  <c r="N1063" i="8"/>
  <c r="P1063" i="8" s="1"/>
  <c r="R1062" i="8"/>
  <c r="O1062" i="8"/>
  <c r="M1062" i="8"/>
  <c r="N1062" i="8"/>
  <c r="P1062" i="8" s="1"/>
  <c r="R1061" i="8"/>
  <c r="T1061" i="8" s="1"/>
  <c r="O1061" i="8"/>
  <c r="M1061" i="8"/>
  <c r="N1061" i="8"/>
  <c r="P1061" i="8" s="1"/>
  <c r="R1060" i="8"/>
  <c r="S1060" i="8" s="1"/>
  <c r="O1060" i="8"/>
  <c r="M1060" i="8"/>
  <c r="N1060" i="8"/>
  <c r="P1060" i="8" s="1"/>
  <c r="R1059" i="8"/>
  <c r="O1059" i="8"/>
  <c r="N1059" i="8"/>
  <c r="P1059" i="8" s="1"/>
  <c r="M1059" i="8"/>
  <c r="R1058" i="8"/>
  <c r="T1058" i="8" s="1"/>
  <c r="O1058" i="8"/>
  <c r="N1058" i="8"/>
  <c r="P1058" i="8" s="1"/>
  <c r="M1058" i="8"/>
  <c r="R1057" i="8"/>
  <c r="O1057" i="8"/>
  <c r="M1057" i="8"/>
  <c r="N1057" i="8"/>
  <c r="P1057" i="8" s="1"/>
  <c r="T1056" i="8"/>
  <c r="R1056" i="8"/>
  <c r="S1056" i="8" s="1"/>
  <c r="P1056" i="8"/>
  <c r="O1056" i="8"/>
  <c r="M1056" i="8"/>
  <c r="N1056" i="8"/>
  <c r="T1055" i="8"/>
  <c r="R1055" i="8"/>
  <c r="S1055" i="8" s="1"/>
  <c r="O1055" i="8"/>
  <c r="M1055" i="8"/>
  <c r="N1055" i="8"/>
  <c r="P1055" i="8" s="1"/>
  <c r="R1054" i="8"/>
  <c r="O1054" i="8"/>
  <c r="M1054" i="8"/>
  <c r="N1054" i="8"/>
  <c r="P1054" i="8" s="1"/>
  <c r="R1053" i="8"/>
  <c r="O1053" i="8"/>
  <c r="M1053" i="8"/>
  <c r="N1053" i="8"/>
  <c r="P1053" i="8" s="1"/>
  <c r="R1052" i="8"/>
  <c r="T1052" i="8" s="1"/>
  <c r="O1052" i="8"/>
  <c r="M1052" i="8"/>
  <c r="N1052" i="8"/>
  <c r="P1052" i="8" s="1"/>
  <c r="R1051" i="8"/>
  <c r="S1051" i="8" s="1"/>
  <c r="O1051" i="8"/>
  <c r="M1051" i="8"/>
  <c r="N1051" i="8"/>
  <c r="P1051" i="8" s="1"/>
  <c r="S1050" i="8"/>
  <c r="R1050" i="8"/>
  <c r="T1050" i="8" s="1"/>
  <c r="O1050" i="8"/>
  <c r="M1050" i="8"/>
  <c r="N1050" i="8"/>
  <c r="P1050" i="8" s="1"/>
  <c r="R1049" i="8"/>
  <c r="T1049" i="8" s="1"/>
  <c r="O1049" i="8"/>
  <c r="M1049" i="8"/>
  <c r="N1049" i="8"/>
  <c r="P1049" i="8" s="1"/>
  <c r="S1048" i="8"/>
  <c r="R1048" i="8"/>
  <c r="T1048" i="8" s="1"/>
  <c r="O1048" i="8"/>
  <c r="M1048" i="8"/>
  <c r="N1048" i="8"/>
  <c r="P1048" i="8" s="1"/>
  <c r="R1047" i="8"/>
  <c r="T1047" i="8" s="1"/>
  <c r="O1047" i="8"/>
  <c r="M1047" i="8"/>
  <c r="N1047" i="8"/>
  <c r="P1047" i="8" s="1"/>
  <c r="R1046" i="8"/>
  <c r="T1046" i="8" s="1"/>
  <c r="O1046" i="8"/>
  <c r="M1046" i="8"/>
  <c r="N1046" i="8"/>
  <c r="P1046" i="8" s="1"/>
  <c r="R1045" i="8"/>
  <c r="T1045" i="8" s="1"/>
  <c r="P1045" i="8"/>
  <c r="O1045" i="8"/>
  <c r="M1045" i="8"/>
  <c r="N1045" i="8"/>
  <c r="R1044" i="8"/>
  <c r="O1044" i="8"/>
  <c r="N1044" i="8"/>
  <c r="P1044" i="8" s="1"/>
  <c r="M1044" i="8"/>
  <c r="R1043" i="8"/>
  <c r="O1043" i="8"/>
  <c r="M1043" i="8"/>
  <c r="N1043" i="8"/>
  <c r="P1043" i="8" s="1"/>
  <c r="R1042" i="8"/>
  <c r="O1042" i="8"/>
  <c r="M1042" i="8"/>
  <c r="N1042" i="8"/>
  <c r="P1042" i="8" s="1"/>
  <c r="R1041" i="8"/>
  <c r="S1041" i="8" s="1"/>
  <c r="O1041" i="8"/>
  <c r="M1041" i="8"/>
  <c r="N1041" i="8"/>
  <c r="P1041" i="8" s="1"/>
  <c r="R1040" i="8"/>
  <c r="O1040" i="8"/>
  <c r="N1040" i="8"/>
  <c r="P1040" i="8" s="1"/>
  <c r="M1040" i="8"/>
  <c r="R1039" i="8"/>
  <c r="O1039" i="8"/>
  <c r="M1039" i="8"/>
  <c r="N1039" i="8"/>
  <c r="P1039" i="8" s="1"/>
  <c r="R1038" i="8"/>
  <c r="T1038" i="8" s="1"/>
  <c r="O1038" i="8"/>
  <c r="M1038" i="8"/>
  <c r="N1038" i="8"/>
  <c r="P1038" i="8" s="1"/>
  <c r="R1037" i="8"/>
  <c r="T1037" i="8" s="1"/>
  <c r="O1037" i="8"/>
  <c r="M1037" i="8"/>
  <c r="N1037" i="8"/>
  <c r="P1037" i="8" s="1"/>
  <c r="S1036" i="8"/>
  <c r="R1036" i="8"/>
  <c r="T1036" i="8" s="1"/>
  <c r="O1036" i="8"/>
  <c r="M1036" i="8"/>
  <c r="N1036" i="8"/>
  <c r="P1036" i="8" s="1"/>
  <c r="R1035" i="8"/>
  <c r="O1035" i="8"/>
  <c r="N1035" i="8"/>
  <c r="P1035" i="8" s="1"/>
  <c r="M1035" i="8"/>
  <c r="R1034" i="8"/>
  <c r="T1034" i="8" s="1"/>
  <c r="O1034" i="8"/>
  <c r="N1034" i="8"/>
  <c r="P1034" i="8" s="1"/>
  <c r="M1034" i="8"/>
  <c r="R1033" i="8"/>
  <c r="O1033" i="8"/>
  <c r="M1033" i="8"/>
  <c r="N1033" i="8"/>
  <c r="P1033" i="8" s="1"/>
  <c r="T1032" i="8"/>
  <c r="S1032" i="8"/>
  <c r="R1032" i="8"/>
  <c r="O1032" i="8"/>
  <c r="M1032" i="8"/>
  <c r="N1032" i="8"/>
  <c r="P1032" i="8" s="1"/>
  <c r="T1031" i="8"/>
  <c r="S1031" i="8"/>
  <c r="R1031" i="8"/>
  <c r="O1031" i="8"/>
  <c r="M1031" i="8"/>
  <c r="N1031" i="8"/>
  <c r="P1031" i="8" s="1"/>
  <c r="T1030" i="8"/>
  <c r="R1030" i="8"/>
  <c r="S1030" i="8" s="1"/>
  <c r="O1030" i="8"/>
  <c r="M1030" i="8"/>
  <c r="N1030" i="8"/>
  <c r="P1030" i="8" s="1"/>
  <c r="R1029" i="8"/>
  <c r="S1029" i="8" s="1"/>
  <c r="O1029" i="8"/>
  <c r="M1029" i="8"/>
  <c r="N1029" i="8"/>
  <c r="P1029" i="8" s="1"/>
  <c r="R1028" i="8"/>
  <c r="O1028" i="8"/>
  <c r="M1028" i="8"/>
  <c r="N1028" i="8"/>
  <c r="P1028" i="8" s="1"/>
  <c r="T1027" i="8"/>
  <c r="R1027" i="8"/>
  <c r="S1027" i="8" s="1"/>
  <c r="O1027" i="8"/>
  <c r="M1027" i="8"/>
  <c r="N1027" i="8"/>
  <c r="P1027" i="8" s="1"/>
  <c r="R1026" i="8"/>
  <c r="O1026" i="8"/>
  <c r="M1026" i="8"/>
  <c r="N1026" i="8"/>
  <c r="P1026" i="8" s="1"/>
  <c r="R1025" i="8"/>
  <c r="T1025" i="8" s="1"/>
  <c r="O1025" i="8"/>
  <c r="M1025" i="8"/>
  <c r="N1025" i="8"/>
  <c r="P1025" i="8" s="1"/>
  <c r="R1024" i="8"/>
  <c r="O1024" i="8"/>
  <c r="M1024" i="8"/>
  <c r="N1024" i="8"/>
  <c r="P1024" i="8" s="1"/>
  <c r="R1023" i="8"/>
  <c r="O1023" i="8"/>
  <c r="M1023" i="8"/>
  <c r="N1023" i="8"/>
  <c r="P1023" i="8" s="1"/>
  <c r="S1022" i="8"/>
  <c r="R1022" i="8"/>
  <c r="T1022" i="8" s="1"/>
  <c r="O1022" i="8"/>
  <c r="M1022" i="8"/>
  <c r="N1022" i="8"/>
  <c r="P1022" i="8" s="1"/>
  <c r="R1021" i="8"/>
  <c r="T1021" i="8" s="1"/>
  <c r="O1021" i="8"/>
  <c r="M1021" i="8"/>
  <c r="N1021" i="8"/>
  <c r="P1021" i="8" s="1"/>
  <c r="T1020" i="8"/>
  <c r="R1020" i="8"/>
  <c r="S1020" i="8" s="1"/>
  <c r="O1020" i="8"/>
  <c r="M1020" i="8"/>
  <c r="N1020" i="8"/>
  <c r="P1020" i="8" s="1"/>
  <c r="R1019" i="8"/>
  <c r="S1019" i="8" s="1"/>
  <c r="O1019" i="8"/>
  <c r="N1019" i="8"/>
  <c r="P1019" i="8" s="1"/>
  <c r="M1019" i="8"/>
  <c r="R1018" i="8"/>
  <c r="O1018" i="8"/>
  <c r="M1018" i="8"/>
  <c r="N1018" i="8"/>
  <c r="P1018" i="8" s="1"/>
  <c r="R1017" i="8"/>
  <c r="O1017" i="8"/>
  <c r="M1017" i="8"/>
  <c r="N1017" i="8"/>
  <c r="P1017" i="8" s="1"/>
  <c r="S1016" i="8"/>
  <c r="R1016" i="8"/>
  <c r="T1016" i="8" s="1"/>
  <c r="O1016" i="8"/>
  <c r="M1016" i="8"/>
  <c r="N1016" i="8"/>
  <c r="P1016" i="8" s="1"/>
  <c r="R1015" i="8"/>
  <c r="T1015" i="8" s="1"/>
  <c r="O1015" i="8"/>
  <c r="M1015" i="8"/>
  <c r="N1015" i="8"/>
  <c r="P1015" i="8" s="1"/>
  <c r="R1014" i="8"/>
  <c r="O1014" i="8"/>
  <c r="M1014" i="8"/>
  <c r="N1014" i="8"/>
  <c r="P1014" i="8" s="1"/>
  <c r="R1013" i="8"/>
  <c r="O1013" i="8"/>
  <c r="M1013" i="8"/>
  <c r="N1013" i="8"/>
  <c r="P1013" i="8" s="1"/>
  <c r="S1012" i="8"/>
  <c r="R1012" i="8"/>
  <c r="T1012" i="8" s="1"/>
  <c r="O1012" i="8"/>
  <c r="M1012" i="8"/>
  <c r="N1012" i="8"/>
  <c r="P1012" i="8" s="1"/>
  <c r="T1011" i="8"/>
  <c r="S1011" i="8"/>
  <c r="R1011" i="8"/>
  <c r="O1011" i="8"/>
  <c r="M1011" i="8"/>
  <c r="N1011" i="8"/>
  <c r="P1011" i="8" s="1"/>
  <c r="R1010" i="8"/>
  <c r="T1010" i="8" s="1"/>
  <c r="O1010" i="8"/>
  <c r="M1010" i="8"/>
  <c r="N1010" i="8"/>
  <c r="P1010" i="8" s="1"/>
  <c r="R1009" i="8"/>
  <c r="S1009" i="8" s="1"/>
  <c r="O1009" i="8"/>
  <c r="M1009" i="8"/>
  <c r="N1009" i="8"/>
  <c r="P1009" i="8" s="1"/>
  <c r="T1008" i="8"/>
  <c r="R1008" i="8"/>
  <c r="S1008" i="8" s="1"/>
  <c r="O1008" i="8"/>
  <c r="M1008" i="8"/>
  <c r="N1008" i="8"/>
  <c r="P1008" i="8" s="1"/>
  <c r="R1007" i="8"/>
  <c r="T1007" i="8" s="1"/>
  <c r="O1007" i="8"/>
  <c r="N1007" i="8"/>
  <c r="P1007" i="8" s="1"/>
  <c r="M1007" i="8"/>
  <c r="S1006" i="8"/>
  <c r="R1006" i="8"/>
  <c r="T1006" i="8" s="1"/>
  <c r="O1006" i="8"/>
  <c r="M1006" i="8"/>
  <c r="N1006" i="8"/>
  <c r="P1006" i="8" s="1"/>
  <c r="T1005" i="8"/>
  <c r="S1005" i="8"/>
  <c r="R1005" i="8"/>
  <c r="O1005" i="8"/>
  <c r="M1005" i="8"/>
  <c r="N1005" i="8"/>
  <c r="P1005" i="8" s="1"/>
  <c r="R1004" i="8"/>
  <c r="S1004" i="8" s="1"/>
  <c r="O1004" i="8"/>
  <c r="M1004" i="8"/>
  <c r="N1004" i="8"/>
  <c r="P1004" i="8" s="1"/>
  <c r="R1003" i="8"/>
  <c r="O1003" i="8"/>
  <c r="N1003" i="8"/>
  <c r="P1003" i="8" s="1"/>
  <c r="M1003" i="8"/>
  <c r="R1002" i="8"/>
  <c r="O1002" i="8"/>
  <c r="N1002" i="8"/>
  <c r="P1002" i="8" s="1"/>
  <c r="M1002" i="8"/>
  <c r="R1001" i="8"/>
  <c r="O1001" i="8"/>
  <c r="N1001" i="8"/>
  <c r="P1001" i="8" s="1"/>
  <c r="M1001" i="8"/>
  <c r="R1000" i="8"/>
  <c r="P1000" i="8"/>
  <c r="O1000" i="8"/>
  <c r="M1000" i="8"/>
  <c r="N1000" i="8"/>
  <c r="R999" i="8"/>
  <c r="T999" i="8" s="1"/>
  <c r="O999" i="8"/>
  <c r="M999" i="8"/>
  <c r="N999" i="8"/>
  <c r="P999" i="8" s="1"/>
  <c r="R998" i="8"/>
  <c r="T998" i="8" s="1"/>
  <c r="O998" i="8"/>
  <c r="M998" i="8"/>
  <c r="N998" i="8"/>
  <c r="P998" i="8" s="1"/>
  <c r="R997" i="8"/>
  <c r="T997" i="8" s="1"/>
  <c r="O997" i="8"/>
  <c r="M997" i="8"/>
  <c r="N997" i="8"/>
  <c r="P997" i="8" s="1"/>
  <c r="R996" i="8"/>
  <c r="T996" i="8" s="1"/>
  <c r="O996" i="8"/>
  <c r="M996" i="8"/>
  <c r="N996" i="8"/>
  <c r="P996" i="8" s="1"/>
  <c r="R995" i="8"/>
  <c r="S995" i="8" s="1"/>
  <c r="O995" i="8"/>
  <c r="M995" i="8"/>
  <c r="N995" i="8"/>
  <c r="P995" i="8" s="1"/>
  <c r="R994" i="8"/>
  <c r="T994" i="8" s="1"/>
  <c r="O994" i="8"/>
  <c r="N994" i="8"/>
  <c r="P994" i="8" s="1"/>
  <c r="M994" i="8"/>
  <c r="T993" i="8"/>
  <c r="R993" i="8"/>
  <c r="S993" i="8" s="1"/>
  <c r="O993" i="8"/>
  <c r="M993" i="8"/>
  <c r="N993" i="8"/>
  <c r="P993" i="8" s="1"/>
  <c r="S992" i="8"/>
  <c r="R992" i="8"/>
  <c r="T992" i="8" s="1"/>
  <c r="O992" i="8"/>
  <c r="M992" i="8"/>
  <c r="N992" i="8"/>
  <c r="P992" i="8" s="1"/>
  <c r="R991" i="8"/>
  <c r="O991" i="8"/>
  <c r="N991" i="8"/>
  <c r="P991" i="8" s="1"/>
  <c r="M991" i="8"/>
  <c r="R990" i="8"/>
  <c r="O990" i="8"/>
  <c r="M990" i="8"/>
  <c r="N990" i="8"/>
  <c r="P990" i="8" s="1"/>
  <c r="S989" i="8"/>
  <c r="R989" i="8"/>
  <c r="T989" i="8" s="1"/>
  <c r="O989" i="8"/>
  <c r="N989" i="8"/>
  <c r="P989" i="8" s="1"/>
  <c r="M989" i="8"/>
  <c r="R988" i="8"/>
  <c r="O988" i="8"/>
  <c r="M988" i="8"/>
  <c r="N988" i="8"/>
  <c r="P988" i="8" s="1"/>
  <c r="R987" i="8"/>
  <c r="O987" i="8"/>
  <c r="M987" i="8"/>
  <c r="N987" i="8"/>
  <c r="P987" i="8" s="1"/>
  <c r="S986" i="8"/>
  <c r="R986" i="8"/>
  <c r="T986" i="8" s="1"/>
  <c r="O986" i="8"/>
  <c r="N986" i="8"/>
  <c r="P986" i="8" s="1"/>
  <c r="M986" i="8"/>
  <c r="R985" i="8"/>
  <c r="S985" i="8" s="1"/>
  <c r="O985" i="8"/>
  <c r="M985" i="8"/>
  <c r="N985" i="8"/>
  <c r="P985" i="8" s="1"/>
  <c r="R984" i="8"/>
  <c r="T984" i="8" s="1"/>
  <c r="O984" i="8"/>
  <c r="M984" i="8"/>
  <c r="N984" i="8"/>
  <c r="P984" i="8" s="1"/>
  <c r="T983" i="8"/>
  <c r="R983" i="8"/>
  <c r="S983" i="8" s="1"/>
  <c r="O983" i="8"/>
  <c r="M983" i="8"/>
  <c r="N983" i="8"/>
  <c r="P983" i="8" s="1"/>
  <c r="T982" i="8"/>
  <c r="R982" i="8"/>
  <c r="S982" i="8" s="1"/>
  <c r="O982" i="8"/>
  <c r="M982" i="8"/>
  <c r="N982" i="8"/>
  <c r="P982" i="8" s="1"/>
  <c r="R981" i="8"/>
  <c r="T981" i="8" s="1"/>
  <c r="O981" i="8"/>
  <c r="M981" i="8"/>
  <c r="N981" i="8"/>
  <c r="P981" i="8" s="1"/>
  <c r="R980" i="8"/>
  <c r="S980" i="8" s="1"/>
  <c r="O980" i="8"/>
  <c r="M980" i="8"/>
  <c r="N980" i="8"/>
  <c r="P980" i="8" s="1"/>
  <c r="R979" i="8"/>
  <c r="T979" i="8" s="1"/>
  <c r="O979" i="8"/>
  <c r="M979" i="8"/>
  <c r="N979" i="8"/>
  <c r="P979" i="8" s="1"/>
  <c r="R978" i="8"/>
  <c r="O978" i="8"/>
  <c r="M978" i="8"/>
  <c r="N978" i="8"/>
  <c r="P978" i="8" s="1"/>
  <c r="R977" i="8"/>
  <c r="T977" i="8" s="1"/>
  <c r="O977" i="8"/>
  <c r="M977" i="8"/>
  <c r="N977" i="8"/>
  <c r="P977" i="8" s="1"/>
  <c r="R976" i="8"/>
  <c r="T976" i="8" s="1"/>
  <c r="O976" i="8"/>
  <c r="N976" i="8"/>
  <c r="P976" i="8" s="1"/>
  <c r="M976" i="8"/>
  <c r="R975" i="8"/>
  <c r="O975" i="8"/>
  <c r="N975" i="8"/>
  <c r="P975" i="8" s="1"/>
  <c r="M975" i="8"/>
  <c r="R974" i="8"/>
  <c r="T974" i="8" s="1"/>
  <c r="O974" i="8"/>
  <c r="N974" i="8"/>
  <c r="P974" i="8" s="1"/>
  <c r="M974" i="8"/>
  <c r="S973" i="8"/>
  <c r="R973" i="8"/>
  <c r="T973" i="8" s="1"/>
  <c r="O973" i="8"/>
  <c r="M973" i="8"/>
  <c r="N973" i="8"/>
  <c r="P973" i="8" s="1"/>
  <c r="R972" i="8"/>
  <c r="S972" i="8" s="1"/>
  <c r="O972" i="8"/>
  <c r="N972" i="8"/>
  <c r="P972" i="8" s="1"/>
  <c r="M972" i="8"/>
  <c r="R971" i="8"/>
  <c r="O971" i="8"/>
  <c r="M971" i="8"/>
  <c r="N971" i="8"/>
  <c r="P971" i="8" s="1"/>
  <c r="S970" i="8"/>
  <c r="R970" i="8"/>
  <c r="T970" i="8" s="1"/>
  <c r="O970" i="8"/>
  <c r="M970" i="8"/>
  <c r="N970" i="8"/>
  <c r="P970" i="8" s="1"/>
  <c r="R969" i="8"/>
  <c r="O969" i="8"/>
  <c r="N969" i="8"/>
  <c r="P969" i="8" s="1"/>
  <c r="M969" i="8"/>
  <c r="R968" i="8"/>
  <c r="O968" i="8"/>
  <c r="M968" i="8"/>
  <c r="N968" i="8"/>
  <c r="P968" i="8" s="1"/>
  <c r="R967" i="8"/>
  <c r="O967" i="8"/>
  <c r="M967" i="8"/>
  <c r="N967" i="8"/>
  <c r="P967" i="8" s="1"/>
  <c r="R966" i="8"/>
  <c r="O966" i="8"/>
  <c r="M966" i="8"/>
  <c r="N966" i="8"/>
  <c r="P966" i="8" s="1"/>
  <c r="R965" i="8"/>
  <c r="O965" i="8"/>
  <c r="M965" i="8"/>
  <c r="N965" i="8"/>
  <c r="P965" i="8" s="1"/>
  <c r="R964" i="8"/>
  <c r="O964" i="8"/>
  <c r="M964" i="8"/>
  <c r="N964" i="8"/>
  <c r="P964" i="8" s="1"/>
  <c r="R963" i="8"/>
  <c r="O963" i="8"/>
  <c r="M963" i="8"/>
  <c r="N963" i="8"/>
  <c r="P963" i="8" s="1"/>
  <c r="R962" i="8"/>
  <c r="T962" i="8" s="1"/>
  <c r="O962" i="8"/>
  <c r="M962" i="8"/>
  <c r="N962" i="8"/>
  <c r="P962" i="8" s="1"/>
  <c r="R961" i="8"/>
  <c r="T961" i="8" s="1"/>
  <c r="O961" i="8"/>
  <c r="M961" i="8"/>
  <c r="N961" i="8"/>
  <c r="P961" i="8" s="1"/>
  <c r="R960" i="8"/>
  <c r="S960" i="8" s="1"/>
  <c r="O960" i="8"/>
  <c r="M960" i="8"/>
  <c r="N960" i="8"/>
  <c r="P960" i="8" s="1"/>
  <c r="T959" i="8"/>
  <c r="S959" i="8"/>
  <c r="R959" i="8"/>
  <c r="O959" i="8"/>
  <c r="M959" i="8"/>
  <c r="N959" i="8"/>
  <c r="P959" i="8" s="1"/>
  <c r="R958" i="8"/>
  <c r="S958" i="8" s="1"/>
  <c r="O958" i="8"/>
  <c r="M958" i="8"/>
  <c r="N958" i="8"/>
  <c r="P958" i="8" s="1"/>
  <c r="S957" i="8"/>
  <c r="R957" i="8"/>
  <c r="T957" i="8" s="1"/>
  <c r="O957" i="8"/>
  <c r="M957" i="8"/>
  <c r="N957" i="8"/>
  <c r="P957" i="8" s="1"/>
  <c r="R956" i="8"/>
  <c r="S956" i="8" s="1"/>
  <c r="O956" i="8"/>
  <c r="M956" i="8"/>
  <c r="N956" i="8"/>
  <c r="P956" i="8" s="1"/>
  <c r="R955" i="8"/>
  <c r="T955" i="8" s="1"/>
  <c r="O955" i="8"/>
  <c r="N955" i="8"/>
  <c r="P955" i="8" s="1"/>
  <c r="M955" i="8"/>
  <c r="R954" i="8"/>
  <c r="O954" i="8"/>
  <c r="M954" i="8"/>
  <c r="N954" i="8"/>
  <c r="P954" i="8" s="1"/>
  <c r="R953" i="8"/>
  <c r="O953" i="8"/>
  <c r="M953" i="8"/>
  <c r="N953" i="8"/>
  <c r="P953" i="8" s="1"/>
  <c r="T952" i="8"/>
  <c r="R952" i="8"/>
  <c r="S952" i="8" s="1"/>
  <c r="O952" i="8"/>
  <c r="M952" i="8"/>
  <c r="N952" i="8"/>
  <c r="P952" i="8" s="1"/>
  <c r="R951" i="8"/>
  <c r="T951" i="8" s="1"/>
  <c r="O951" i="8"/>
  <c r="M951" i="8"/>
  <c r="N951" i="8"/>
  <c r="P951" i="8" s="1"/>
  <c r="R950" i="8"/>
  <c r="T950" i="8" s="1"/>
  <c r="O950" i="8"/>
  <c r="M950" i="8"/>
  <c r="N950" i="8"/>
  <c r="P950" i="8" s="1"/>
  <c r="R949" i="8"/>
  <c r="O949" i="8"/>
  <c r="M949" i="8"/>
  <c r="N949" i="8"/>
  <c r="P949" i="8" s="1"/>
  <c r="R948" i="8"/>
  <c r="O948" i="8"/>
  <c r="M948" i="8"/>
  <c r="N948" i="8"/>
  <c r="P948" i="8" s="1"/>
  <c r="R947" i="8"/>
  <c r="O947" i="8"/>
  <c r="N947" i="8"/>
  <c r="P947" i="8" s="1"/>
  <c r="M947" i="8"/>
  <c r="R946" i="8"/>
  <c r="O946" i="8"/>
  <c r="M946" i="8"/>
  <c r="N946" i="8"/>
  <c r="P946" i="8" s="1"/>
  <c r="R945" i="8"/>
  <c r="T945" i="8" s="1"/>
  <c r="O945" i="8"/>
  <c r="M945" i="8"/>
  <c r="N945" i="8"/>
  <c r="P945" i="8" s="1"/>
  <c r="R944" i="8"/>
  <c r="O944" i="8"/>
  <c r="N944" i="8"/>
  <c r="P944" i="8" s="1"/>
  <c r="M944" i="8"/>
  <c r="R943" i="8"/>
  <c r="O943" i="8"/>
  <c r="M943" i="8"/>
  <c r="N943" i="8"/>
  <c r="P943" i="8" s="1"/>
  <c r="R942" i="8"/>
  <c r="T942" i="8" s="1"/>
  <c r="O942" i="8"/>
  <c r="M942" i="8"/>
  <c r="N942" i="8"/>
  <c r="P942" i="8" s="1"/>
  <c r="S941" i="8"/>
  <c r="R941" i="8"/>
  <c r="T941" i="8" s="1"/>
  <c r="O941" i="8"/>
  <c r="M941" i="8"/>
  <c r="N941" i="8"/>
  <c r="P941" i="8" s="1"/>
  <c r="R940" i="8"/>
  <c r="S940" i="8" s="1"/>
  <c r="O940" i="8"/>
  <c r="M940" i="8"/>
  <c r="N940" i="8"/>
  <c r="P940" i="8" s="1"/>
  <c r="R939" i="8"/>
  <c r="T939" i="8" s="1"/>
  <c r="O939" i="8"/>
  <c r="M939" i="8"/>
  <c r="N939" i="8"/>
  <c r="P939" i="8" s="1"/>
  <c r="R938" i="8"/>
  <c r="O938" i="8"/>
  <c r="M938" i="8"/>
  <c r="N938" i="8"/>
  <c r="P938" i="8" s="1"/>
  <c r="R937" i="8"/>
  <c r="T937" i="8" s="1"/>
  <c r="O937" i="8"/>
  <c r="M937" i="8"/>
  <c r="N937" i="8"/>
  <c r="P937" i="8" s="1"/>
  <c r="R936" i="8"/>
  <c r="T936" i="8" s="1"/>
  <c r="O936" i="8"/>
  <c r="M936" i="8"/>
  <c r="N936" i="8"/>
  <c r="P936" i="8" s="1"/>
  <c r="R935" i="8"/>
  <c r="S935" i="8" s="1"/>
  <c r="O935" i="8"/>
  <c r="M935" i="8"/>
  <c r="N935" i="8"/>
  <c r="P935" i="8" s="1"/>
  <c r="R934" i="8"/>
  <c r="O934" i="8"/>
  <c r="M934" i="8"/>
  <c r="N934" i="8"/>
  <c r="P934" i="8" s="1"/>
  <c r="S933" i="8"/>
  <c r="R933" i="8"/>
  <c r="T933" i="8" s="1"/>
  <c r="O933" i="8"/>
  <c r="M933" i="8"/>
  <c r="N933" i="8"/>
  <c r="P933" i="8" s="1"/>
  <c r="T932" i="8"/>
  <c r="R932" i="8"/>
  <c r="S932" i="8" s="1"/>
  <c r="O932" i="8"/>
  <c r="M932" i="8"/>
  <c r="N932" i="8"/>
  <c r="P932" i="8" s="1"/>
  <c r="R931" i="8"/>
  <c r="O931" i="8"/>
  <c r="M931" i="8"/>
  <c r="N931" i="8"/>
  <c r="P931" i="8" s="1"/>
  <c r="R930" i="8"/>
  <c r="T930" i="8" s="1"/>
  <c r="O930" i="8"/>
  <c r="N930" i="8"/>
  <c r="P930" i="8" s="1"/>
  <c r="M930" i="8"/>
  <c r="R929" i="8"/>
  <c r="T929" i="8" s="1"/>
  <c r="O929" i="8"/>
  <c r="M929" i="8"/>
  <c r="N929" i="8"/>
  <c r="P929" i="8" s="1"/>
  <c r="S928" i="8"/>
  <c r="R928" i="8"/>
  <c r="T928" i="8" s="1"/>
  <c r="O928" i="8"/>
  <c r="M928" i="8"/>
  <c r="N928" i="8"/>
  <c r="P928" i="8" s="1"/>
  <c r="T927" i="8"/>
  <c r="S927" i="8"/>
  <c r="R927" i="8"/>
  <c r="O927" i="8"/>
  <c r="M927" i="8"/>
  <c r="N927" i="8"/>
  <c r="P927" i="8" s="1"/>
  <c r="R926" i="8"/>
  <c r="S926" i="8" s="1"/>
  <c r="O926" i="8"/>
  <c r="M926" i="8"/>
  <c r="N926" i="8"/>
  <c r="P926" i="8" s="1"/>
  <c r="R925" i="8"/>
  <c r="T925" i="8" s="1"/>
  <c r="O925" i="8"/>
  <c r="M925" i="8"/>
  <c r="N925" i="8"/>
  <c r="P925" i="8" s="1"/>
  <c r="R924" i="8"/>
  <c r="T924" i="8" s="1"/>
  <c r="O924" i="8"/>
  <c r="M924" i="8"/>
  <c r="N924" i="8"/>
  <c r="P924" i="8" s="1"/>
  <c r="S923" i="8"/>
  <c r="R923" i="8"/>
  <c r="T923" i="8" s="1"/>
  <c r="O923" i="8"/>
  <c r="M923" i="8"/>
  <c r="N923" i="8"/>
  <c r="P923" i="8" s="1"/>
  <c r="R922" i="8"/>
  <c r="T922" i="8" s="1"/>
  <c r="O922" i="8"/>
  <c r="M922" i="8"/>
  <c r="N922" i="8"/>
  <c r="P922" i="8" s="1"/>
  <c r="R921" i="8"/>
  <c r="T921" i="8" s="1"/>
  <c r="O921" i="8"/>
  <c r="M921" i="8"/>
  <c r="N921" i="8"/>
  <c r="P921" i="8" s="1"/>
  <c r="T920" i="8"/>
  <c r="R920" i="8"/>
  <c r="S920" i="8" s="1"/>
  <c r="O920" i="8"/>
  <c r="M920" i="8"/>
  <c r="N920" i="8"/>
  <c r="P920" i="8" s="1"/>
  <c r="T919" i="8"/>
  <c r="R919" i="8"/>
  <c r="S919" i="8" s="1"/>
  <c r="O919" i="8"/>
  <c r="M919" i="8"/>
  <c r="N919" i="8"/>
  <c r="P919" i="8" s="1"/>
  <c r="R918" i="8"/>
  <c r="T918" i="8" s="1"/>
  <c r="O918" i="8"/>
  <c r="M918" i="8"/>
  <c r="N918" i="8"/>
  <c r="P918" i="8" s="1"/>
  <c r="R917" i="8"/>
  <c r="O917" i="8"/>
  <c r="M917" i="8"/>
  <c r="N917" i="8"/>
  <c r="P917" i="8" s="1"/>
  <c r="T916" i="8"/>
  <c r="R916" i="8"/>
  <c r="S916" i="8" s="1"/>
  <c r="O916" i="8"/>
  <c r="M916" i="8"/>
  <c r="N916" i="8"/>
  <c r="P916" i="8" s="1"/>
  <c r="R915" i="8"/>
  <c r="T915" i="8" s="1"/>
  <c r="O915" i="8"/>
  <c r="N915" i="8"/>
  <c r="P915" i="8" s="1"/>
  <c r="M915" i="8"/>
  <c r="R914" i="8"/>
  <c r="O914" i="8"/>
  <c r="M914" i="8"/>
  <c r="N914" i="8"/>
  <c r="P914" i="8" s="1"/>
  <c r="R913" i="8"/>
  <c r="O913" i="8"/>
  <c r="M913" i="8"/>
  <c r="N913" i="8"/>
  <c r="P913" i="8" s="1"/>
  <c r="R912" i="8"/>
  <c r="S912" i="8" s="1"/>
  <c r="O912" i="8"/>
  <c r="N912" i="8"/>
  <c r="P912" i="8" s="1"/>
  <c r="M912" i="8"/>
  <c r="R911" i="8"/>
  <c r="O911" i="8"/>
  <c r="M911" i="8"/>
  <c r="N911" i="8"/>
  <c r="P911" i="8" s="1"/>
  <c r="R910" i="8"/>
  <c r="O910" i="8"/>
  <c r="N910" i="8"/>
  <c r="P910" i="8" s="1"/>
  <c r="M910" i="8"/>
  <c r="R909" i="8"/>
  <c r="T909" i="8" s="1"/>
  <c r="O909" i="8"/>
  <c r="M909" i="8"/>
  <c r="N909" i="8"/>
  <c r="P909" i="8" s="1"/>
  <c r="R908" i="8"/>
  <c r="T908" i="8" s="1"/>
  <c r="O908" i="8"/>
  <c r="M908" i="8"/>
  <c r="N908" i="8"/>
  <c r="P908" i="8" s="1"/>
  <c r="T907" i="8"/>
  <c r="S907" i="8"/>
  <c r="R907" i="8"/>
  <c r="O907" i="8"/>
  <c r="M907" i="8"/>
  <c r="N907" i="8"/>
  <c r="P907" i="8" s="1"/>
  <c r="R906" i="8"/>
  <c r="S906" i="8" s="1"/>
  <c r="O906" i="8"/>
  <c r="M906" i="8"/>
  <c r="N906" i="8"/>
  <c r="P906" i="8" s="1"/>
  <c r="S905" i="8"/>
  <c r="R905" i="8"/>
  <c r="T905" i="8" s="1"/>
  <c r="O905" i="8"/>
  <c r="M905" i="8"/>
  <c r="N905" i="8"/>
  <c r="P905" i="8" s="1"/>
  <c r="R904" i="8"/>
  <c r="O904" i="8"/>
  <c r="M904" i="8"/>
  <c r="N904" i="8"/>
  <c r="P904" i="8" s="1"/>
  <c r="S903" i="8"/>
  <c r="R903" i="8"/>
  <c r="T903" i="8" s="1"/>
  <c r="O903" i="8"/>
  <c r="M903" i="8"/>
  <c r="N903" i="8"/>
  <c r="P903" i="8" s="1"/>
  <c r="R902" i="8"/>
  <c r="T902" i="8" s="1"/>
  <c r="O902" i="8"/>
  <c r="M902" i="8"/>
  <c r="N902" i="8"/>
  <c r="P902" i="8" s="1"/>
  <c r="T901" i="8"/>
  <c r="S901" i="8"/>
  <c r="R901" i="8"/>
  <c r="O901" i="8"/>
  <c r="M901" i="8"/>
  <c r="N901" i="8"/>
  <c r="P901" i="8" s="1"/>
  <c r="R900" i="8"/>
  <c r="O900" i="8"/>
  <c r="M900" i="8"/>
  <c r="N900" i="8"/>
  <c r="P900" i="8" s="1"/>
  <c r="R899" i="8"/>
  <c r="T899" i="8" s="1"/>
  <c r="O899" i="8"/>
  <c r="M899" i="8"/>
  <c r="N899" i="8"/>
  <c r="P899" i="8" s="1"/>
  <c r="R898" i="8"/>
  <c r="O898" i="8"/>
  <c r="N898" i="8"/>
  <c r="P898" i="8" s="1"/>
  <c r="M898" i="8"/>
  <c r="R897" i="8"/>
  <c r="O897" i="8"/>
  <c r="M897" i="8"/>
  <c r="N897" i="8"/>
  <c r="P897" i="8" s="1"/>
  <c r="R896" i="8"/>
  <c r="T896" i="8" s="1"/>
  <c r="O896" i="8"/>
  <c r="M896" i="8"/>
  <c r="N896" i="8"/>
  <c r="P896" i="8" s="1"/>
  <c r="T895" i="8"/>
  <c r="R895" i="8"/>
  <c r="S895" i="8" s="1"/>
  <c r="O895" i="8"/>
  <c r="N895" i="8"/>
  <c r="P895" i="8" s="1"/>
  <c r="M895" i="8"/>
  <c r="R894" i="8"/>
  <c r="O894" i="8"/>
  <c r="M894" i="8"/>
  <c r="N894" i="8"/>
  <c r="P894" i="8" s="1"/>
  <c r="R893" i="8"/>
  <c r="O893" i="8"/>
  <c r="M893" i="8"/>
  <c r="N893" i="8"/>
  <c r="P893" i="8" s="1"/>
  <c r="R892" i="8"/>
  <c r="S892" i="8" s="1"/>
  <c r="O892" i="8"/>
  <c r="M892" i="8"/>
  <c r="N892" i="8"/>
  <c r="P892" i="8" s="1"/>
  <c r="R891" i="8"/>
  <c r="O891" i="8"/>
  <c r="M891" i="8"/>
  <c r="N891" i="8"/>
  <c r="P891" i="8" s="1"/>
  <c r="T890" i="8"/>
  <c r="S890" i="8"/>
  <c r="R890" i="8"/>
  <c r="O890" i="8"/>
  <c r="M890" i="8"/>
  <c r="N890" i="8"/>
  <c r="P890" i="8" s="1"/>
  <c r="R889" i="8"/>
  <c r="T889" i="8" s="1"/>
  <c r="O889" i="8"/>
  <c r="M889" i="8"/>
  <c r="N889" i="8"/>
  <c r="P889" i="8" s="1"/>
  <c r="T888" i="8"/>
  <c r="R888" i="8"/>
  <c r="S888" i="8" s="1"/>
  <c r="O888" i="8"/>
  <c r="M888" i="8"/>
  <c r="N888" i="8"/>
  <c r="P888" i="8" s="1"/>
  <c r="T887" i="8"/>
  <c r="S887" i="8"/>
  <c r="R887" i="8"/>
  <c r="O887" i="8"/>
  <c r="M887" i="8"/>
  <c r="N887" i="8"/>
  <c r="P887" i="8" s="1"/>
  <c r="R886" i="8"/>
  <c r="S886" i="8" s="1"/>
  <c r="O886" i="8"/>
  <c r="N886" i="8"/>
  <c r="P886" i="8" s="1"/>
  <c r="M886" i="8"/>
  <c r="R885" i="8"/>
  <c r="T885" i="8" s="1"/>
  <c r="O885" i="8"/>
  <c r="M885" i="8"/>
  <c r="N885" i="8"/>
  <c r="P885" i="8" s="1"/>
  <c r="R884" i="8"/>
  <c r="P884" i="8"/>
  <c r="O884" i="8"/>
  <c r="M884" i="8"/>
  <c r="N884" i="8"/>
  <c r="R883" i="8"/>
  <c r="T883" i="8" s="1"/>
  <c r="O883" i="8"/>
  <c r="N883" i="8"/>
  <c r="P883" i="8" s="1"/>
  <c r="M883" i="8"/>
  <c r="R882" i="8"/>
  <c r="T882" i="8" s="1"/>
  <c r="O882" i="8"/>
  <c r="M882" i="8"/>
  <c r="N882" i="8"/>
  <c r="P882" i="8" s="1"/>
  <c r="R881" i="8"/>
  <c r="O881" i="8"/>
  <c r="M881" i="8"/>
  <c r="N881" i="8"/>
  <c r="P881" i="8" s="1"/>
  <c r="R880" i="8"/>
  <c r="O880" i="8"/>
  <c r="N880" i="8"/>
  <c r="P880" i="8" s="1"/>
  <c r="M880" i="8"/>
  <c r="R879" i="8"/>
  <c r="O879" i="8"/>
  <c r="M879" i="8"/>
  <c r="N879" i="8"/>
  <c r="P879" i="8" s="1"/>
  <c r="R878" i="8"/>
  <c r="T878" i="8" s="1"/>
  <c r="O878" i="8"/>
  <c r="N878" i="8"/>
  <c r="P878" i="8" s="1"/>
  <c r="M878" i="8"/>
  <c r="R877" i="8"/>
  <c r="O877" i="8"/>
  <c r="M877" i="8"/>
  <c r="N877" i="8"/>
  <c r="P877" i="8" s="1"/>
  <c r="R876" i="8"/>
  <c r="T876" i="8" s="1"/>
  <c r="O876" i="8"/>
  <c r="M876" i="8"/>
  <c r="N876" i="8"/>
  <c r="P876" i="8" s="1"/>
  <c r="T875" i="8"/>
  <c r="R875" i="8"/>
  <c r="S875" i="8" s="1"/>
  <c r="O875" i="8"/>
  <c r="N875" i="8"/>
  <c r="P875" i="8" s="1"/>
  <c r="M875" i="8"/>
  <c r="R874" i="8"/>
  <c r="O874" i="8"/>
  <c r="M874" i="8"/>
  <c r="N874" i="8"/>
  <c r="P874" i="8" s="1"/>
  <c r="R873" i="8"/>
  <c r="S873" i="8" s="1"/>
  <c r="O873" i="8"/>
  <c r="M873" i="8"/>
  <c r="N873" i="8"/>
  <c r="P873" i="8" s="1"/>
  <c r="T872" i="8"/>
  <c r="R872" i="8"/>
  <c r="S872" i="8" s="1"/>
  <c r="O872" i="8"/>
  <c r="N872" i="8"/>
  <c r="P872" i="8" s="1"/>
  <c r="M872" i="8"/>
  <c r="R871" i="8"/>
  <c r="T871" i="8" s="1"/>
  <c r="O871" i="8"/>
  <c r="M871" i="8"/>
  <c r="N871" i="8"/>
  <c r="P871" i="8" s="1"/>
  <c r="R870" i="8"/>
  <c r="T870" i="8" s="1"/>
  <c r="O870" i="8"/>
  <c r="M870" i="8"/>
  <c r="N870" i="8"/>
  <c r="P870" i="8" s="1"/>
  <c r="R869" i="8"/>
  <c r="T869" i="8" s="1"/>
  <c r="O869" i="8"/>
  <c r="M869" i="8"/>
  <c r="N869" i="8"/>
  <c r="P869" i="8" s="1"/>
  <c r="R868" i="8"/>
  <c r="S868" i="8" s="1"/>
  <c r="O868" i="8"/>
  <c r="M868" i="8"/>
  <c r="N868" i="8"/>
  <c r="P868" i="8" s="1"/>
  <c r="R867" i="8"/>
  <c r="T867" i="8" s="1"/>
  <c r="O867" i="8"/>
  <c r="M867" i="8"/>
  <c r="N867" i="8"/>
  <c r="P867" i="8" s="1"/>
  <c r="R866" i="8"/>
  <c r="O866" i="8"/>
  <c r="M866" i="8"/>
  <c r="N866" i="8"/>
  <c r="P866" i="8" s="1"/>
  <c r="R865" i="8"/>
  <c r="T865" i="8" s="1"/>
  <c r="O865" i="8"/>
  <c r="M865" i="8"/>
  <c r="N865" i="8"/>
  <c r="P865" i="8" s="1"/>
  <c r="R864" i="8"/>
  <c r="T864" i="8" s="1"/>
  <c r="O864" i="8"/>
  <c r="N864" i="8"/>
  <c r="P864" i="8" s="1"/>
  <c r="M864" i="8"/>
  <c r="R863" i="8"/>
  <c r="O863" i="8"/>
  <c r="M863" i="8"/>
  <c r="N863" i="8"/>
  <c r="P863" i="8" s="1"/>
  <c r="R862" i="8"/>
  <c r="O862" i="8"/>
  <c r="M862" i="8"/>
  <c r="N862" i="8"/>
  <c r="P862" i="8" s="1"/>
  <c r="R861" i="8"/>
  <c r="T861" i="8" s="1"/>
  <c r="O861" i="8"/>
  <c r="N861" i="8"/>
  <c r="P861" i="8" s="1"/>
  <c r="M861" i="8"/>
  <c r="R860" i="8"/>
  <c r="S860" i="8" s="1"/>
  <c r="O860" i="8"/>
  <c r="M860" i="8"/>
  <c r="N860" i="8"/>
  <c r="P860" i="8" s="1"/>
  <c r="R859" i="8"/>
  <c r="O859" i="8"/>
  <c r="M859" i="8"/>
  <c r="N859" i="8"/>
  <c r="P859" i="8" s="1"/>
  <c r="R858" i="8"/>
  <c r="T858" i="8" s="1"/>
  <c r="O858" i="8"/>
  <c r="M858" i="8"/>
  <c r="N858" i="8"/>
  <c r="P858" i="8" s="1"/>
  <c r="R857" i="8"/>
  <c r="T857" i="8" s="1"/>
  <c r="O857" i="8"/>
  <c r="M857" i="8"/>
  <c r="N857" i="8"/>
  <c r="P857" i="8" s="1"/>
  <c r="S856" i="8"/>
  <c r="R856" i="8"/>
  <c r="T856" i="8" s="1"/>
  <c r="O856" i="8"/>
  <c r="M856" i="8"/>
  <c r="N856" i="8"/>
  <c r="P856" i="8" s="1"/>
  <c r="R855" i="8"/>
  <c r="S855" i="8" s="1"/>
  <c r="O855" i="8"/>
  <c r="N855" i="8"/>
  <c r="P855" i="8" s="1"/>
  <c r="M855" i="8"/>
  <c r="R854" i="8"/>
  <c r="O854" i="8"/>
  <c r="M854" i="8"/>
  <c r="N854" i="8"/>
  <c r="P854" i="8" s="1"/>
  <c r="R853" i="8"/>
  <c r="O853" i="8"/>
  <c r="M853" i="8"/>
  <c r="N853" i="8"/>
  <c r="P853" i="8" s="1"/>
  <c r="R852" i="8"/>
  <c r="O852" i="8"/>
  <c r="M852" i="8"/>
  <c r="N852" i="8"/>
  <c r="P852" i="8" s="1"/>
  <c r="R851" i="8"/>
  <c r="T851" i="8" s="1"/>
  <c r="O851" i="8"/>
  <c r="M851" i="8"/>
  <c r="N851" i="8"/>
  <c r="P851" i="8" s="1"/>
  <c r="R850" i="8"/>
  <c r="T850" i="8" s="1"/>
  <c r="O850" i="8"/>
  <c r="M850" i="8"/>
  <c r="N850" i="8"/>
  <c r="P850" i="8" s="1"/>
  <c r="T849" i="8"/>
  <c r="R849" i="8"/>
  <c r="S849" i="8" s="1"/>
  <c r="O849" i="8"/>
  <c r="M849" i="8"/>
  <c r="N849" i="8"/>
  <c r="P849" i="8" s="1"/>
  <c r="T848" i="8"/>
  <c r="S848" i="8"/>
  <c r="R848" i="8"/>
  <c r="O848" i="8"/>
  <c r="M848" i="8"/>
  <c r="N848" i="8"/>
  <c r="P848" i="8" s="1"/>
  <c r="T847" i="8"/>
  <c r="R847" i="8"/>
  <c r="S847" i="8" s="1"/>
  <c r="O847" i="8"/>
  <c r="M847" i="8"/>
  <c r="N847" i="8"/>
  <c r="P847" i="8" s="1"/>
  <c r="R846" i="8"/>
  <c r="T846" i="8" s="1"/>
  <c r="O846" i="8"/>
  <c r="N846" i="8"/>
  <c r="P846" i="8" s="1"/>
  <c r="M846" i="8"/>
  <c r="R845" i="8"/>
  <c r="O845" i="8"/>
  <c r="M845" i="8"/>
  <c r="N845" i="8"/>
  <c r="P845" i="8" s="1"/>
  <c r="R844" i="8"/>
  <c r="S844" i="8" s="1"/>
  <c r="O844" i="8"/>
  <c r="M844" i="8"/>
  <c r="N844" i="8"/>
  <c r="P844" i="8" s="1"/>
  <c r="R843" i="8"/>
  <c r="T843" i="8" s="1"/>
  <c r="O843" i="8"/>
  <c r="M843" i="8"/>
  <c r="N843" i="8"/>
  <c r="P843" i="8" s="1"/>
  <c r="T842" i="8"/>
  <c r="S842" i="8"/>
  <c r="R842" i="8"/>
  <c r="O842" i="8"/>
  <c r="M842" i="8"/>
  <c r="N842" i="8"/>
  <c r="P842" i="8" s="1"/>
  <c r="T841" i="8"/>
  <c r="R841" i="8"/>
  <c r="S841" i="8" s="1"/>
  <c r="O841" i="8"/>
  <c r="M841" i="8"/>
  <c r="N841" i="8"/>
  <c r="P841" i="8" s="1"/>
  <c r="R840" i="8"/>
  <c r="S840" i="8" s="1"/>
  <c r="O840" i="8"/>
  <c r="M840" i="8"/>
  <c r="N840" i="8"/>
  <c r="P840" i="8" s="1"/>
  <c r="R839" i="8"/>
  <c r="T839" i="8" s="1"/>
  <c r="O839" i="8"/>
  <c r="M839" i="8"/>
  <c r="N839" i="8"/>
  <c r="P839" i="8" s="1"/>
  <c r="T838" i="8"/>
  <c r="S838" i="8"/>
  <c r="R838" i="8"/>
  <c r="O838" i="8"/>
  <c r="M838" i="8"/>
  <c r="N838" i="8"/>
  <c r="P838" i="8" s="1"/>
  <c r="R837" i="8"/>
  <c r="S837" i="8" s="1"/>
  <c r="O837" i="8"/>
  <c r="M837" i="8"/>
  <c r="N837" i="8"/>
  <c r="P837" i="8" s="1"/>
  <c r="T836" i="8"/>
  <c r="R836" i="8"/>
  <c r="S836" i="8" s="1"/>
  <c r="O836" i="8"/>
  <c r="M836" i="8"/>
  <c r="N836" i="8"/>
  <c r="P836" i="8" s="1"/>
  <c r="T835" i="8"/>
  <c r="R835" i="8"/>
  <c r="S835" i="8" s="1"/>
  <c r="O835" i="8"/>
  <c r="M835" i="8"/>
  <c r="N835" i="8"/>
  <c r="P835" i="8" s="1"/>
  <c r="R834" i="8"/>
  <c r="O834" i="8"/>
  <c r="M834" i="8"/>
  <c r="N834" i="8"/>
  <c r="P834" i="8" s="1"/>
  <c r="R833" i="8"/>
  <c r="T833" i="8" s="1"/>
  <c r="O833" i="8"/>
  <c r="N833" i="8"/>
  <c r="P833" i="8" s="1"/>
  <c r="M833" i="8"/>
  <c r="R832" i="8"/>
  <c r="S832" i="8" s="1"/>
  <c r="O832" i="8"/>
  <c r="M832" i="8"/>
  <c r="N832" i="8"/>
  <c r="P832" i="8" s="1"/>
  <c r="R831" i="8"/>
  <c r="O831" i="8"/>
  <c r="M831" i="8"/>
  <c r="N831" i="8"/>
  <c r="P831" i="8" s="1"/>
  <c r="R830" i="8"/>
  <c r="T830" i="8" s="1"/>
  <c r="O830" i="8"/>
  <c r="M830" i="8"/>
  <c r="N830" i="8"/>
  <c r="P830" i="8" s="1"/>
  <c r="T829" i="8"/>
  <c r="R829" i="8"/>
  <c r="S829" i="8" s="1"/>
  <c r="O829" i="8"/>
  <c r="N829" i="8"/>
  <c r="P829" i="8" s="1"/>
  <c r="M829" i="8"/>
  <c r="R828" i="8"/>
  <c r="T828" i="8" s="1"/>
  <c r="O828" i="8"/>
  <c r="M828" i="8"/>
  <c r="N828" i="8"/>
  <c r="P828" i="8" s="1"/>
  <c r="R827" i="8"/>
  <c r="T827" i="8" s="1"/>
  <c r="O827" i="8"/>
  <c r="M827" i="8"/>
  <c r="N827" i="8"/>
  <c r="P827" i="8" s="1"/>
  <c r="R826" i="8"/>
  <c r="T826" i="8" s="1"/>
  <c r="O826" i="8"/>
  <c r="M826" i="8"/>
  <c r="N826" i="8"/>
  <c r="P826" i="8" s="1"/>
  <c r="S825" i="8"/>
  <c r="R825" i="8"/>
  <c r="T825" i="8" s="1"/>
  <c r="O825" i="8"/>
  <c r="M825" i="8"/>
  <c r="N825" i="8"/>
  <c r="P825" i="8" s="1"/>
  <c r="R824" i="8"/>
  <c r="O824" i="8"/>
  <c r="M824" i="8"/>
  <c r="N824" i="8"/>
  <c r="P824" i="8" s="1"/>
  <c r="R823" i="8"/>
  <c r="T823" i="8" s="1"/>
  <c r="O823" i="8"/>
  <c r="M823" i="8"/>
  <c r="N823" i="8"/>
  <c r="P823" i="8" s="1"/>
  <c r="R822" i="8"/>
  <c r="O822" i="8"/>
  <c r="M822" i="8"/>
  <c r="N822" i="8"/>
  <c r="P822" i="8" s="1"/>
  <c r="R821" i="8"/>
  <c r="O821" i="8"/>
  <c r="M821" i="8"/>
  <c r="N821" i="8"/>
  <c r="P821" i="8" s="1"/>
  <c r="R820" i="8"/>
  <c r="O820" i="8"/>
  <c r="M820" i="8"/>
  <c r="N820" i="8"/>
  <c r="P820" i="8" s="1"/>
  <c r="R819" i="8"/>
  <c r="S819" i="8" s="1"/>
  <c r="O819" i="8"/>
  <c r="M819" i="8"/>
  <c r="N819" i="8"/>
  <c r="P819" i="8" s="1"/>
  <c r="R818" i="8"/>
  <c r="T818" i="8" s="1"/>
  <c r="O818" i="8"/>
  <c r="M818" i="8"/>
  <c r="N818" i="8"/>
  <c r="P818" i="8" s="1"/>
  <c r="R817" i="8"/>
  <c r="O817" i="8"/>
  <c r="M817" i="8"/>
  <c r="N817" i="8"/>
  <c r="P817" i="8" s="1"/>
  <c r="R816" i="8"/>
  <c r="T816" i="8" s="1"/>
  <c r="O816" i="8"/>
  <c r="M816" i="8"/>
  <c r="N816" i="8"/>
  <c r="P816" i="8" s="1"/>
  <c r="T815" i="8"/>
  <c r="S815" i="8"/>
  <c r="R815" i="8"/>
  <c r="O815" i="8"/>
  <c r="M815" i="8"/>
  <c r="N815" i="8"/>
  <c r="P815" i="8" s="1"/>
  <c r="R814" i="8"/>
  <c r="O814" i="8"/>
  <c r="M814" i="8"/>
  <c r="N814" i="8"/>
  <c r="P814" i="8" s="1"/>
  <c r="R813" i="8"/>
  <c r="T813" i="8" s="1"/>
  <c r="O813" i="8"/>
  <c r="N813" i="8"/>
  <c r="P813" i="8" s="1"/>
  <c r="M813" i="8"/>
  <c r="T812" i="8"/>
  <c r="R812" i="8"/>
  <c r="S812" i="8" s="1"/>
  <c r="O812" i="8"/>
  <c r="N812" i="8"/>
  <c r="P812" i="8" s="1"/>
  <c r="M812" i="8"/>
  <c r="R811" i="8"/>
  <c r="O811" i="8"/>
  <c r="N811" i="8"/>
  <c r="P811" i="8" s="1"/>
  <c r="M811" i="8"/>
  <c r="T810" i="8"/>
  <c r="R810" i="8"/>
  <c r="S810" i="8" s="1"/>
  <c r="O810" i="8"/>
  <c r="M810" i="8"/>
  <c r="N810" i="8"/>
  <c r="P810" i="8" s="1"/>
  <c r="R809" i="8"/>
  <c r="T809" i="8" s="1"/>
  <c r="O809" i="8"/>
  <c r="M809" i="8"/>
  <c r="N809" i="8"/>
  <c r="P809" i="8" s="1"/>
  <c r="R808" i="8"/>
  <c r="S808" i="8" s="1"/>
  <c r="O808" i="8"/>
  <c r="M808" i="8"/>
  <c r="N808" i="8"/>
  <c r="P808" i="8" s="1"/>
  <c r="T807" i="8"/>
  <c r="R807" i="8"/>
  <c r="S807" i="8" s="1"/>
  <c r="O807" i="8"/>
  <c r="M807" i="8"/>
  <c r="N807" i="8"/>
  <c r="P807" i="8" s="1"/>
  <c r="T806" i="8"/>
  <c r="R806" i="8"/>
  <c r="S806" i="8" s="1"/>
  <c r="O806" i="8"/>
  <c r="N806" i="8"/>
  <c r="P806" i="8" s="1"/>
  <c r="M806" i="8"/>
  <c r="R805" i="8"/>
  <c r="T805" i="8" s="1"/>
  <c r="P805" i="8"/>
  <c r="O805" i="8"/>
  <c r="M805" i="8"/>
  <c r="N805" i="8"/>
  <c r="T804" i="8"/>
  <c r="R804" i="8"/>
  <c r="S804" i="8" s="1"/>
  <c r="O804" i="8"/>
  <c r="M804" i="8"/>
  <c r="N804" i="8"/>
  <c r="P804" i="8" s="1"/>
  <c r="S803" i="8"/>
  <c r="R803" i="8"/>
  <c r="T803" i="8" s="1"/>
  <c r="O803" i="8"/>
  <c r="M803" i="8"/>
  <c r="N803" i="8"/>
  <c r="P803" i="8" s="1"/>
  <c r="S802" i="8"/>
  <c r="R802" i="8"/>
  <c r="T802" i="8" s="1"/>
  <c r="O802" i="8"/>
  <c r="M802" i="8"/>
  <c r="N802" i="8"/>
  <c r="P802" i="8" s="1"/>
  <c r="T801" i="8"/>
  <c r="R801" i="8"/>
  <c r="S801" i="8" s="1"/>
  <c r="O801" i="8"/>
  <c r="N801" i="8"/>
  <c r="P801" i="8" s="1"/>
  <c r="M801" i="8"/>
  <c r="R800" i="8"/>
  <c r="S800" i="8" s="1"/>
  <c r="O800" i="8"/>
  <c r="N800" i="8"/>
  <c r="P800" i="8" s="1"/>
  <c r="M800" i="8"/>
  <c r="R799" i="8"/>
  <c r="O799" i="8"/>
  <c r="M799" i="8"/>
  <c r="N799" i="8"/>
  <c r="P799" i="8" s="1"/>
  <c r="S798" i="8"/>
  <c r="R798" i="8"/>
  <c r="T798" i="8" s="1"/>
  <c r="O798" i="8"/>
  <c r="M798" i="8"/>
  <c r="N798" i="8"/>
  <c r="P798" i="8" s="1"/>
  <c r="R797" i="8"/>
  <c r="T797" i="8" s="1"/>
  <c r="O797" i="8"/>
  <c r="M797" i="8"/>
  <c r="N797" i="8"/>
  <c r="P797" i="8" s="1"/>
  <c r="R796" i="8"/>
  <c r="T796" i="8" s="1"/>
  <c r="O796" i="8"/>
  <c r="M796" i="8"/>
  <c r="N796" i="8"/>
  <c r="P796" i="8" s="1"/>
  <c r="R795" i="8"/>
  <c r="P795" i="8"/>
  <c r="O795" i="8"/>
  <c r="M795" i="8"/>
  <c r="N795" i="8"/>
  <c r="R794" i="8"/>
  <c r="O794" i="8"/>
  <c r="M794" i="8"/>
  <c r="N794" i="8"/>
  <c r="P794" i="8" s="1"/>
  <c r="R793" i="8"/>
  <c r="T793" i="8" s="1"/>
  <c r="O793" i="8"/>
  <c r="M793" i="8"/>
  <c r="N793" i="8"/>
  <c r="P793" i="8" s="1"/>
  <c r="T792" i="8"/>
  <c r="R792" i="8"/>
  <c r="S792" i="8" s="1"/>
  <c r="O792" i="8"/>
  <c r="M792" i="8"/>
  <c r="N792" i="8"/>
  <c r="P792" i="8" s="1"/>
  <c r="S791" i="8"/>
  <c r="R791" i="8"/>
  <c r="T791" i="8" s="1"/>
  <c r="O791" i="8"/>
  <c r="M791" i="8"/>
  <c r="N791" i="8"/>
  <c r="P791" i="8" s="1"/>
  <c r="R790" i="8"/>
  <c r="T790" i="8" s="1"/>
  <c r="O790" i="8"/>
  <c r="M790" i="8"/>
  <c r="N790" i="8"/>
  <c r="P790" i="8" s="1"/>
  <c r="R789" i="8"/>
  <c r="T789" i="8" s="1"/>
  <c r="O789" i="8"/>
  <c r="M789" i="8"/>
  <c r="N789" i="8"/>
  <c r="P789" i="8" s="1"/>
  <c r="R788" i="8"/>
  <c r="T788" i="8" s="1"/>
  <c r="O788" i="8"/>
  <c r="M788" i="8"/>
  <c r="N788" i="8"/>
  <c r="P788" i="8" s="1"/>
  <c r="R787" i="8"/>
  <c r="T787" i="8" s="1"/>
  <c r="O787" i="8"/>
  <c r="M787" i="8"/>
  <c r="N787" i="8"/>
  <c r="P787" i="8" s="1"/>
  <c r="R786" i="8"/>
  <c r="O786" i="8"/>
  <c r="N786" i="8"/>
  <c r="P786" i="8" s="1"/>
  <c r="M786" i="8"/>
  <c r="R785" i="8"/>
  <c r="O785" i="8"/>
  <c r="M785" i="8"/>
  <c r="N785" i="8"/>
  <c r="P785" i="8" s="1"/>
  <c r="R784" i="8"/>
  <c r="T784" i="8" s="1"/>
  <c r="O784" i="8"/>
  <c r="M784" i="8"/>
  <c r="N784" i="8"/>
  <c r="P784" i="8" s="1"/>
  <c r="S783" i="8"/>
  <c r="R783" i="8"/>
  <c r="T783" i="8" s="1"/>
  <c r="O783" i="8"/>
  <c r="M783" i="8"/>
  <c r="N783" i="8"/>
  <c r="P783" i="8" s="1"/>
  <c r="R782" i="8"/>
  <c r="O782" i="8"/>
  <c r="M782" i="8"/>
  <c r="N782" i="8"/>
  <c r="P782" i="8" s="1"/>
  <c r="T781" i="8"/>
  <c r="R781" i="8"/>
  <c r="S781" i="8" s="1"/>
  <c r="O781" i="8"/>
  <c r="N781" i="8"/>
  <c r="P781" i="8" s="1"/>
  <c r="M781" i="8"/>
  <c r="T780" i="8"/>
  <c r="R780" i="8"/>
  <c r="S780" i="8" s="1"/>
  <c r="O780" i="8"/>
  <c r="M780" i="8"/>
  <c r="N780" i="8"/>
  <c r="P780" i="8" s="1"/>
  <c r="R779" i="8"/>
  <c r="O779" i="8"/>
  <c r="M779" i="8"/>
  <c r="N779" i="8"/>
  <c r="P779" i="8" s="1"/>
  <c r="R778" i="8"/>
  <c r="S778" i="8" s="1"/>
  <c r="O778" i="8"/>
  <c r="N778" i="8"/>
  <c r="P778" i="8" s="1"/>
  <c r="M778" i="8"/>
  <c r="R777" i="8"/>
  <c r="O777" i="8"/>
  <c r="M777" i="8"/>
  <c r="N777" i="8"/>
  <c r="P777" i="8" s="1"/>
  <c r="R776" i="8"/>
  <c r="T776" i="8" s="1"/>
  <c r="O776" i="8"/>
  <c r="M776" i="8"/>
  <c r="N776" i="8"/>
  <c r="P776" i="8" s="1"/>
  <c r="R775" i="8"/>
  <c r="S775" i="8" s="1"/>
  <c r="O775" i="8"/>
  <c r="N775" i="8"/>
  <c r="P775" i="8" s="1"/>
  <c r="M775" i="8"/>
  <c r="R774" i="8"/>
  <c r="O774" i="8"/>
  <c r="M774" i="8"/>
  <c r="N774" i="8"/>
  <c r="P774" i="8" s="1"/>
  <c r="R773" i="8"/>
  <c r="S773" i="8" s="1"/>
  <c r="O773" i="8"/>
  <c r="M773" i="8"/>
  <c r="N773" i="8"/>
  <c r="P773" i="8" s="1"/>
  <c r="R772" i="8"/>
  <c r="O772" i="8"/>
  <c r="M772" i="8"/>
  <c r="N772" i="8"/>
  <c r="P772" i="8" s="1"/>
  <c r="S771" i="8"/>
  <c r="R771" i="8"/>
  <c r="T771" i="8" s="1"/>
  <c r="O771" i="8"/>
  <c r="M771" i="8"/>
  <c r="N771" i="8"/>
  <c r="P771" i="8" s="1"/>
  <c r="R770" i="8"/>
  <c r="T770" i="8" s="1"/>
  <c r="O770" i="8"/>
  <c r="M770" i="8"/>
  <c r="N770" i="8"/>
  <c r="P770" i="8" s="1"/>
  <c r="T769" i="8"/>
  <c r="S769" i="8"/>
  <c r="R769" i="8"/>
  <c r="O769" i="8"/>
  <c r="M769" i="8"/>
  <c r="N769" i="8"/>
  <c r="P769" i="8" s="1"/>
  <c r="S768" i="8"/>
  <c r="R768" i="8"/>
  <c r="T768" i="8" s="1"/>
  <c r="O768" i="8"/>
  <c r="M768" i="8"/>
  <c r="N768" i="8"/>
  <c r="P768" i="8" s="1"/>
  <c r="T767" i="8"/>
  <c r="R767" i="8"/>
  <c r="S767" i="8" s="1"/>
  <c r="O767" i="8"/>
  <c r="M767" i="8"/>
  <c r="N767" i="8"/>
  <c r="P767" i="8" s="1"/>
  <c r="R766" i="8"/>
  <c r="T766" i="8" s="1"/>
  <c r="O766" i="8"/>
  <c r="M766" i="8"/>
  <c r="N766" i="8"/>
  <c r="P766" i="8" s="1"/>
  <c r="R765" i="8"/>
  <c r="T765" i="8" s="1"/>
  <c r="O765" i="8"/>
  <c r="M765" i="8"/>
  <c r="N765" i="8"/>
  <c r="P765" i="8" s="1"/>
  <c r="T764" i="8"/>
  <c r="R764" i="8"/>
  <c r="S764" i="8" s="1"/>
  <c r="O764" i="8"/>
  <c r="M764" i="8"/>
  <c r="N764" i="8"/>
  <c r="P764" i="8" s="1"/>
  <c r="R763" i="8"/>
  <c r="T763" i="8" s="1"/>
  <c r="O763" i="8"/>
  <c r="M763" i="8"/>
  <c r="N763" i="8"/>
  <c r="P763" i="8" s="1"/>
  <c r="R762" i="8"/>
  <c r="T762" i="8" s="1"/>
  <c r="O762" i="8"/>
  <c r="M762" i="8"/>
  <c r="N762" i="8"/>
  <c r="P762" i="8" s="1"/>
  <c r="R761" i="8"/>
  <c r="T761" i="8" s="1"/>
  <c r="O761" i="8"/>
  <c r="M761" i="8"/>
  <c r="N761" i="8"/>
  <c r="P761" i="8" s="1"/>
  <c r="R760" i="8"/>
  <c r="S760" i="8" s="1"/>
  <c r="O760" i="8"/>
  <c r="M760" i="8"/>
  <c r="N760" i="8"/>
  <c r="P760" i="8" s="1"/>
  <c r="R759" i="8"/>
  <c r="T759" i="8" s="1"/>
  <c r="O759" i="8"/>
  <c r="M759" i="8"/>
  <c r="N759" i="8"/>
  <c r="P759" i="8" s="1"/>
  <c r="R758" i="8"/>
  <c r="T758" i="8" s="1"/>
  <c r="O758" i="8"/>
  <c r="N758" i="8"/>
  <c r="P758" i="8" s="1"/>
  <c r="M758" i="8"/>
  <c r="R757" i="8"/>
  <c r="T757" i="8" s="1"/>
  <c r="P757" i="8"/>
  <c r="O757" i="8"/>
  <c r="M757" i="8"/>
  <c r="N757" i="8"/>
  <c r="R756" i="8"/>
  <c r="O756" i="8"/>
  <c r="M756" i="8"/>
  <c r="N756" i="8"/>
  <c r="P756" i="8" s="1"/>
  <c r="R755" i="8"/>
  <c r="T755" i="8" s="1"/>
  <c r="O755" i="8"/>
  <c r="N755" i="8"/>
  <c r="P755" i="8" s="1"/>
  <c r="M755" i="8"/>
  <c r="R754" i="8"/>
  <c r="S754" i="8" s="1"/>
  <c r="P754" i="8"/>
  <c r="O754" i="8"/>
  <c r="M754" i="8"/>
  <c r="N754" i="8"/>
  <c r="R753" i="8"/>
  <c r="T753" i="8" s="1"/>
  <c r="O753" i="8"/>
  <c r="M753" i="8"/>
  <c r="N753" i="8"/>
  <c r="P753" i="8" s="1"/>
  <c r="R752" i="8"/>
  <c r="O752" i="8"/>
  <c r="M752" i="8"/>
  <c r="N752" i="8"/>
  <c r="P752" i="8" s="1"/>
  <c r="R751" i="8"/>
  <c r="T751" i="8" s="1"/>
  <c r="O751" i="8"/>
  <c r="M751" i="8"/>
  <c r="N751" i="8"/>
  <c r="P751" i="8" s="1"/>
  <c r="R750" i="8"/>
  <c r="O750" i="8"/>
  <c r="M750" i="8"/>
  <c r="N750" i="8"/>
  <c r="P750" i="8" s="1"/>
  <c r="R749" i="8"/>
  <c r="T749" i="8" s="1"/>
  <c r="O749" i="8"/>
  <c r="M749" i="8"/>
  <c r="N749" i="8"/>
  <c r="P749" i="8" s="1"/>
  <c r="T748" i="8"/>
  <c r="R748" i="8"/>
  <c r="S748" i="8" s="1"/>
  <c r="O748" i="8"/>
  <c r="M748" i="8"/>
  <c r="N748" i="8"/>
  <c r="P748" i="8" s="1"/>
  <c r="R747" i="8"/>
  <c r="S747" i="8" s="1"/>
  <c r="O747" i="8"/>
  <c r="M747" i="8"/>
  <c r="N747" i="8"/>
  <c r="P747" i="8" s="1"/>
  <c r="R746" i="8"/>
  <c r="T746" i="8" s="1"/>
  <c r="O746" i="8"/>
  <c r="N746" i="8"/>
  <c r="P746" i="8" s="1"/>
  <c r="M746" i="8"/>
  <c r="R745" i="8"/>
  <c r="T745" i="8" s="1"/>
  <c r="O745" i="8"/>
  <c r="M745" i="8"/>
  <c r="N745" i="8"/>
  <c r="P745" i="8" s="1"/>
  <c r="T744" i="8"/>
  <c r="R744" i="8"/>
  <c r="S744" i="8" s="1"/>
  <c r="O744" i="8"/>
  <c r="M744" i="8"/>
  <c r="N744" i="8"/>
  <c r="P744" i="8" s="1"/>
  <c r="S743" i="8"/>
  <c r="R743" i="8"/>
  <c r="T743" i="8" s="1"/>
  <c r="O743" i="8"/>
  <c r="M743" i="8"/>
  <c r="N743" i="8"/>
  <c r="P743" i="8" s="1"/>
  <c r="T742" i="8"/>
  <c r="S742" i="8"/>
  <c r="R742" i="8"/>
  <c r="O742" i="8"/>
  <c r="M742" i="8"/>
  <c r="N742" i="8"/>
  <c r="P742" i="8" s="1"/>
  <c r="T741" i="8"/>
  <c r="R741" i="8"/>
  <c r="S741" i="8" s="1"/>
  <c r="O741" i="8"/>
  <c r="M741" i="8"/>
  <c r="N741" i="8"/>
  <c r="P741" i="8" s="1"/>
  <c r="R740" i="8"/>
  <c r="S740" i="8" s="1"/>
  <c r="O740" i="8"/>
  <c r="N740" i="8"/>
  <c r="P740" i="8" s="1"/>
  <c r="M740" i="8"/>
  <c r="R739" i="8"/>
  <c r="O739" i="8"/>
  <c r="M739" i="8"/>
  <c r="N739" i="8"/>
  <c r="P739" i="8" s="1"/>
  <c r="R738" i="8"/>
  <c r="T738" i="8" s="1"/>
  <c r="O738" i="8"/>
  <c r="M738" i="8"/>
  <c r="N738" i="8"/>
  <c r="P738" i="8" s="1"/>
  <c r="T737" i="8"/>
  <c r="S737" i="8"/>
  <c r="R737" i="8"/>
  <c r="O737" i="8"/>
  <c r="M737" i="8"/>
  <c r="N737" i="8"/>
  <c r="P737" i="8" s="1"/>
  <c r="T736" i="8"/>
  <c r="R736" i="8"/>
  <c r="S736" i="8" s="1"/>
  <c r="O736" i="8"/>
  <c r="M736" i="8"/>
  <c r="N736" i="8"/>
  <c r="P736" i="8" s="1"/>
  <c r="R735" i="8"/>
  <c r="T735" i="8" s="1"/>
  <c r="O735" i="8"/>
  <c r="M735" i="8"/>
  <c r="N735" i="8"/>
  <c r="P735" i="8" s="1"/>
  <c r="R734" i="8"/>
  <c r="O734" i="8"/>
  <c r="M734" i="8"/>
  <c r="N734" i="8"/>
  <c r="P734" i="8" s="1"/>
  <c r="R733" i="8"/>
  <c r="T733" i="8" s="1"/>
  <c r="O733" i="8"/>
  <c r="M733" i="8"/>
  <c r="N733" i="8"/>
  <c r="P733" i="8" s="1"/>
  <c r="R732" i="8"/>
  <c r="S732" i="8" s="1"/>
  <c r="O732" i="8"/>
  <c r="M732" i="8"/>
  <c r="N732" i="8"/>
  <c r="P732" i="8" s="1"/>
  <c r="R731" i="8"/>
  <c r="O731" i="8"/>
  <c r="M731" i="8"/>
  <c r="N731" i="8"/>
  <c r="P731" i="8" s="1"/>
  <c r="R730" i="8"/>
  <c r="S730" i="8" s="1"/>
  <c r="O730" i="8"/>
  <c r="M730" i="8"/>
  <c r="N730" i="8"/>
  <c r="P730" i="8" s="1"/>
  <c r="T729" i="8"/>
  <c r="R729" i="8"/>
  <c r="S729" i="8" s="1"/>
  <c r="O729" i="8"/>
  <c r="N729" i="8"/>
  <c r="P729" i="8" s="1"/>
  <c r="M729" i="8"/>
  <c r="R728" i="8"/>
  <c r="T728" i="8" s="1"/>
  <c r="O728" i="8"/>
  <c r="M728" i="8"/>
  <c r="N728" i="8"/>
  <c r="P728" i="8" s="1"/>
  <c r="R727" i="8"/>
  <c r="T727" i="8" s="1"/>
  <c r="O727" i="8"/>
  <c r="M727" i="8"/>
  <c r="N727" i="8"/>
  <c r="P727" i="8" s="1"/>
  <c r="R726" i="8"/>
  <c r="T726" i="8" s="1"/>
  <c r="O726" i="8"/>
  <c r="N726" i="8"/>
  <c r="P726" i="8" s="1"/>
  <c r="M726" i="8"/>
  <c r="R725" i="8"/>
  <c r="T725" i="8" s="1"/>
  <c r="O725" i="8"/>
  <c r="M725" i="8"/>
  <c r="N725" i="8"/>
  <c r="P725" i="8" s="1"/>
  <c r="R724" i="8"/>
  <c r="S724" i="8" s="1"/>
  <c r="O724" i="8"/>
  <c r="M724" i="8"/>
  <c r="N724" i="8"/>
  <c r="P724" i="8" s="1"/>
  <c r="S723" i="8"/>
  <c r="R723" i="8"/>
  <c r="T723" i="8" s="1"/>
  <c r="O723" i="8"/>
  <c r="N723" i="8"/>
  <c r="P723" i="8" s="1"/>
  <c r="M723" i="8"/>
  <c r="R722" i="8"/>
  <c r="T722" i="8" s="1"/>
  <c r="O722" i="8"/>
  <c r="M722" i="8"/>
  <c r="N722" i="8"/>
  <c r="P722" i="8" s="1"/>
  <c r="T721" i="8"/>
  <c r="R721" i="8"/>
  <c r="S721" i="8" s="1"/>
  <c r="O721" i="8"/>
  <c r="M721" i="8"/>
  <c r="N721" i="8"/>
  <c r="P721" i="8" s="1"/>
  <c r="R720" i="8"/>
  <c r="S720" i="8" s="1"/>
  <c r="O720" i="8"/>
  <c r="M720" i="8"/>
  <c r="N720" i="8"/>
  <c r="P720" i="8" s="1"/>
  <c r="T719" i="8"/>
  <c r="R719" i="8"/>
  <c r="S719" i="8" s="1"/>
  <c r="O719" i="8"/>
  <c r="M719" i="8"/>
  <c r="N719" i="8"/>
  <c r="P719" i="8" s="1"/>
  <c r="R718" i="8"/>
  <c r="T718" i="8" s="1"/>
  <c r="O718" i="8"/>
  <c r="M718" i="8"/>
  <c r="N718" i="8"/>
  <c r="P718" i="8" s="1"/>
  <c r="T717" i="8"/>
  <c r="S717" i="8"/>
  <c r="R717" i="8"/>
  <c r="O717" i="8"/>
  <c r="M717" i="8"/>
  <c r="N717" i="8"/>
  <c r="P717" i="8" s="1"/>
  <c r="R716" i="8"/>
  <c r="O716" i="8"/>
  <c r="M716" i="8"/>
  <c r="N716" i="8"/>
  <c r="P716" i="8" s="1"/>
  <c r="R715" i="8"/>
  <c r="O715" i="8"/>
  <c r="N715" i="8"/>
  <c r="P715" i="8" s="1"/>
  <c r="M715" i="8"/>
  <c r="R714" i="8"/>
  <c r="S714" i="8" s="1"/>
  <c r="O714" i="8"/>
  <c r="M714" i="8"/>
  <c r="N714" i="8"/>
  <c r="P714" i="8" s="1"/>
  <c r="T713" i="8"/>
  <c r="R713" i="8"/>
  <c r="S713" i="8" s="1"/>
  <c r="O713" i="8"/>
  <c r="M713" i="8"/>
  <c r="N713" i="8"/>
  <c r="P713" i="8" s="1"/>
  <c r="R712" i="8"/>
  <c r="O712" i="8"/>
  <c r="M712" i="8"/>
  <c r="N712" i="8"/>
  <c r="P712" i="8" s="1"/>
  <c r="R711" i="8"/>
  <c r="O711" i="8"/>
  <c r="M711" i="8"/>
  <c r="N711" i="8"/>
  <c r="P711" i="8" s="1"/>
  <c r="R710" i="8"/>
  <c r="O710" i="8"/>
  <c r="N710" i="8"/>
  <c r="P710" i="8" s="1"/>
  <c r="M710" i="8"/>
  <c r="R709" i="8"/>
  <c r="O709" i="8"/>
  <c r="N709" i="8"/>
  <c r="P709" i="8" s="1"/>
  <c r="M709" i="8"/>
  <c r="R708" i="8"/>
  <c r="T708" i="8" s="1"/>
  <c r="O708" i="8"/>
  <c r="M708" i="8"/>
  <c r="N708" i="8"/>
  <c r="P708" i="8" s="1"/>
  <c r="R707" i="8"/>
  <c r="T707" i="8" s="1"/>
  <c r="O707" i="8"/>
  <c r="M707" i="8"/>
  <c r="N707" i="8"/>
  <c r="P707" i="8" s="1"/>
  <c r="R706" i="8"/>
  <c r="S706" i="8" s="1"/>
  <c r="O706" i="8"/>
  <c r="N706" i="8"/>
  <c r="P706" i="8" s="1"/>
  <c r="M706" i="8"/>
  <c r="R705" i="8"/>
  <c r="P705" i="8"/>
  <c r="O705" i="8"/>
  <c r="M705" i="8"/>
  <c r="N705" i="8"/>
  <c r="R704" i="8"/>
  <c r="O704" i="8"/>
  <c r="M704" i="8"/>
  <c r="N704" i="8"/>
  <c r="P704" i="8" s="1"/>
  <c r="S703" i="8"/>
  <c r="R703" i="8"/>
  <c r="T703" i="8" s="1"/>
  <c r="O703" i="8"/>
  <c r="N703" i="8"/>
  <c r="P703" i="8" s="1"/>
  <c r="M703" i="8"/>
  <c r="S702" i="8"/>
  <c r="R702" i="8"/>
  <c r="T702" i="8" s="1"/>
  <c r="O702" i="8"/>
  <c r="N702" i="8"/>
  <c r="P702" i="8" s="1"/>
  <c r="M702" i="8"/>
  <c r="R701" i="8"/>
  <c r="O701" i="8"/>
  <c r="N701" i="8"/>
  <c r="P701" i="8" s="1"/>
  <c r="M701" i="8"/>
  <c r="R700" i="8"/>
  <c r="S700" i="8" s="1"/>
  <c r="O700" i="8"/>
  <c r="M700" i="8"/>
  <c r="N700" i="8"/>
  <c r="P700" i="8" s="1"/>
  <c r="R699" i="8"/>
  <c r="O699" i="8"/>
  <c r="M699" i="8"/>
  <c r="N699" i="8"/>
  <c r="P699" i="8" s="1"/>
  <c r="R698" i="8"/>
  <c r="T698" i="8" s="1"/>
  <c r="O698" i="8"/>
  <c r="M698" i="8"/>
  <c r="N698" i="8"/>
  <c r="P698" i="8" s="1"/>
  <c r="R697" i="8"/>
  <c r="S697" i="8" s="1"/>
  <c r="O697" i="8"/>
  <c r="M697" i="8"/>
  <c r="N697" i="8"/>
  <c r="P697" i="8" s="1"/>
  <c r="R696" i="8"/>
  <c r="O696" i="8"/>
  <c r="M696" i="8"/>
  <c r="N696" i="8"/>
  <c r="P696" i="8" s="1"/>
  <c r="T695" i="8"/>
  <c r="R695" i="8"/>
  <c r="S695" i="8" s="1"/>
  <c r="O695" i="8"/>
  <c r="N695" i="8"/>
  <c r="P695" i="8" s="1"/>
  <c r="M695" i="8"/>
  <c r="R694" i="8"/>
  <c r="S694" i="8" s="1"/>
  <c r="O694" i="8"/>
  <c r="M694" i="8"/>
  <c r="N694" i="8"/>
  <c r="P694" i="8" s="1"/>
  <c r="R693" i="8"/>
  <c r="O693" i="8"/>
  <c r="N693" i="8"/>
  <c r="P693" i="8" s="1"/>
  <c r="M693" i="8"/>
  <c r="R692" i="8"/>
  <c r="O692" i="8"/>
  <c r="M692" i="8"/>
  <c r="N692" i="8"/>
  <c r="P692" i="8" s="1"/>
  <c r="R691" i="8"/>
  <c r="T691" i="8" s="1"/>
  <c r="O691" i="8"/>
  <c r="M691" i="8"/>
  <c r="N691" i="8"/>
  <c r="P691" i="8" s="1"/>
  <c r="T690" i="8"/>
  <c r="R690" i="8"/>
  <c r="S690" i="8" s="1"/>
  <c r="O690" i="8"/>
  <c r="M690" i="8"/>
  <c r="N690" i="8"/>
  <c r="P690" i="8" s="1"/>
  <c r="R689" i="8"/>
  <c r="T689" i="8" s="1"/>
  <c r="O689" i="8"/>
  <c r="M689" i="8"/>
  <c r="N689" i="8"/>
  <c r="P689" i="8" s="1"/>
  <c r="R688" i="8"/>
  <c r="T688" i="8" s="1"/>
  <c r="O688" i="8"/>
  <c r="M688" i="8"/>
  <c r="N688" i="8"/>
  <c r="P688" i="8" s="1"/>
  <c r="T687" i="8"/>
  <c r="R687" i="8"/>
  <c r="S687" i="8" s="1"/>
  <c r="O687" i="8"/>
  <c r="M687" i="8"/>
  <c r="N687" i="8"/>
  <c r="P687" i="8" s="1"/>
  <c r="R686" i="8"/>
  <c r="S686" i="8" s="1"/>
  <c r="O686" i="8"/>
  <c r="M686" i="8"/>
  <c r="N686" i="8"/>
  <c r="P686" i="8" s="1"/>
  <c r="R685" i="8"/>
  <c r="T685" i="8" s="1"/>
  <c r="O685" i="8"/>
  <c r="M685" i="8"/>
  <c r="N685" i="8"/>
  <c r="P685" i="8" s="1"/>
  <c r="R684" i="8"/>
  <c r="S684" i="8" s="1"/>
  <c r="O684" i="8"/>
  <c r="M684" i="8"/>
  <c r="N684" i="8"/>
  <c r="P684" i="8" s="1"/>
  <c r="R683" i="8"/>
  <c r="T683" i="8" s="1"/>
  <c r="O683" i="8"/>
  <c r="N683" i="8"/>
  <c r="P683" i="8" s="1"/>
  <c r="M683" i="8"/>
  <c r="R682" i="8"/>
  <c r="T682" i="8" s="1"/>
  <c r="O682" i="8"/>
  <c r="M682" i="8"/>
  <c r="N682" i="8"/>
  <c r="P682" i="8" s="1"/>
  <c r="R681" i="8"/>
  <c r="O681" i="8"/>
  <c r="M681" i="8"/>
  <c r="N681" i="8"/>
  <c r="P681" i="8" s="1"/>
  <c r="R680" i="8"/>
  <c r="S680" i="8" s="1"/>
  <c r="O680" i="8"/>
  <c r="M680" i="8"/>
  <c r="N680" i="8"/>
  <c r="P680" i="8" s="1"/>
  <c r="R679" i="8"/>
  <c r="T679" i="8" s="1"/>
  <c r="O679" i="8"/>
  <c r="M679" i="8"/>
  <c r="N679" i="8"/>
  <c r="P679" i="8" s="1"/>
  <c r="R678" i="8"/>
  <c r="S678" i="8" s="1"/>
  <c r="O678" i="8"/>
  <c r="M678" i="8"/>
  <c r="N678" i="8"/>
  <c r="P678" i="8" s="1"/>
  <c r="R677" i="8"/>
  <c r="O677" i="8"/>
  <c r="M677" i="8"/>
  <c r="N677" i="8"/>
  <c r="P677" i="8" s="1"/>
  <c r="R676" i="8"/>
  <c r="S676" i="8" s="1"/>
  <c r="O676" i="8"/>
  <c r="N676" i="8"/>
  <c r="P676" i="8" s="1"/>
  <c r="M676" i="8"/>
  <c r="T675" i="8"/>
  <c r="R675" i="8"/>
  <c r="S675" i="8" s="1"/>
  <c r="O675" i="8"/>
  <c r="N675" i="8"/>
  <c r="P675" i="8" s="1"/>
  <c r="M675" i="8"/>
  <c r="R674" i="8"/>
  <c r="S674" i="8" s="1"/>
  <c r="O674" i="8"/>
  <c r="M674" i="8"/>
  <c r="N674" i="8"/>
  <c r="P674" i="8" s="1"/>
  <c r="T673" i="8"/>
  <c r="S673" i="8"/>
  <c r="R673" i="8"/>
  <c r="O673" i="8"/>
  <c r="M673" i="8"/>
  <c r="N673" i="8"/>
  <c r="P673" i="8" s="1"/>
  <c r="R672" i="8"/>
  <c r="S672" i="8" s="1"/>
  <c r="O672" i="8"/>
  <c r="M672" i="8"/>
  <c r="N672" i="8"/>
  <c r="P672" i="8" s="1"/>
  <c r="S671" i="8"/>
  <c r="R671" i="8"/>
  <c r="T671" i="8" s="1"/>
  <c r="O671" i="8"/>
  <c r="N671" i="8"/>
  <c r="P671" i="8" s="1"/>
  <c r="M671" i="8"/>
  <c r="R670" i="8"/>
  <c r="T670" i="8" s="1"/>
  <c r="O670" i="8"/>
  <c r="M670" i="8"/>
  <c r="N670" i="8"/>
  <c r="P670" i="8" s="1"/>
  <c r="T669" i="8"/>
  <c r="S669" i="8"/>
  <c r="R669" i="8"/>
  <c r="O669" i="8"/>
  <c r="M669" i="8"/>
  <c r="N669" i="8"/>
  <c r="P669" i="8" s="1"/>
  <c r="T668" i="8"/>
  <c r="R668" i="8"/>
  <c r="S668" i="8" s="1"/>
  <c r="O668" i="8"/>
  <c r="M668" i="8"/>
  <c r="N668" i="8"/>
  <c r="P668" i="8" s="1"/>
  <c r="R667" i="8"/>
  <c r="S667" i="8" s="1"/>
  <c r="O667" i="8"/>
  <c r="M667" i="8"/>
  <c r="N667" i="8"/>
  <c r="P667" i="8" s="1"/>
  <c r="T666" i="8"/>
  <c r="R666" i="8"/>
  <c r="S666" i="8" s="1"/>
  <c r="O666" i="8"/>
  <c r="M666" i="8"/>
  <c r="N666" i="8"/>
  <c r="P666" i="8" s="1"/>
  <c r="R665" i="8"/>
  <c r="O665" i="8"/>
  <c r="M665" i="8"/>
  <c r="N665" i="8"/>
  <c r="P665" i="8" s="1"/>
  <c r="R664" i="8"/>
  <c r="S664" i="8" s="1"/>
  <c r="O664" i="8"/>
  <c r="M664" i="8"/>
  <c r="N664" i="8"/>
  <c r="P664" i="8" s="1"/>
  <c r="R663" i="8"/>
  <c r="O663" i="8"/>
  <c r="N663" i="8"/>
  <c r="P663" i="8" s="1"/>
  <c r="M663" i="8"/>
  <c r="S662" i="8"/>
  <c r="R662" i="8"/>
  <c r="T662" i="8" s="1"/>
  <c r="O662" i="8"/>
  <c r="M662" i="8"/>
  <c r="N662" i="8"/>
  <c r="P662" i="8" s="1"/>
  <c r="R661" i="8"/>
  <c r="T661" i="8" s="1"/>
  <c r="O661" i="8"/>
  <c r="M661" i="8"/>
  <c r="N661" i="8"/>
  <c r="P661" i="8" s="1"/>
  <c r="T660" i="8"/>
  <c r="R660" i="8"/>
  <c r="S660" i="8" s="1"/>
  <c r="O660" i="8"/>
  <c r="M660" i="8"/>
  <c r="N660" i="8"/>
  <c r="P660" i="8" s="1"/>
  <c r="T659" i="8"/>
  <c r="S659" i="8"/>
  <c r="R659" i="8"/>
  <c r="O659" i="8"/>
  <c r="M659" i="8"/>
  <c r="N659" i="8"/>
  <c r="P659" i="8" s="1"/>
  <c r="R658" i="8"/>
  <c r="T658" i="8" s="1"/>
  <c r="O658" i="8"/>
  <c r="N658" i="8"/>
  <c r="P658" i="8" s="1"/>
  <c r="M658" i="8"/>
  <c r="R657" i="8"/>
  <c r="T657" i="8" s="1"/>
  <c r="O657" i="8"/>
  <c r="M657" i="8"/>
  <c r="N657" i="8"/>
  <c r="P657" i="8" s="1"/>
  <c r="R656" i="8"/>
  <c r="T656" i="8" s="1"/>
  <c r="O656" i="8"/>
  <c r="M656" i="8"/>
  <c r="N656" i="8"/>
  <c r="P656" i="8" s="1"/>
  <c r="T655" i="8"/>
  <c r="R655" i="8"/>
  <c r="S655" i="8" s="1"/>
  <c r="O655" i="8"/>
  <c r="M655" i="8"/>
  <c r="N655" i="8"/>
  <c r="P655" i="8" s="1"/>
  <c r="T654" i="8"/>
  <c r="R654" i="8"/>
  <c r="S654" i="8" s="1"/>
  <c r="O654" i="8"/>
  <c r="M654" i="8"/>
  <c r="N654" i="8"/>
  <c r="P654" i="8" s="1"/>
  <c r="R653" i="8"/>
  <c r="S653" i="8" s="1"/>
  <c r="O653" i="8"/>
  <c r="N653" i="8"/>
  <c r="P653" i="8" s="1"/>
  <c r="M653" i="8"/>
  <c r="R652" i="8"/>
  <c r="S652" i="8" s="1"/>
  <c r="O652" i="8"/>
  <c r="M652" i="8"/>
  <c r="N652" i="8"/>
  <c r="P652" i="8" s="1"/>
  <c r="R651" i="8"/>
  <c r="T651" i="8" s="1"/>
  <c r="O651" i="8"/>
  <c r="M651" i="8"/>
  <c r="N651" i="8"/>
  <c r="P651" i="8" s="1"/>
  <c r="R650" i="8"/>
  <c r="O650" i="8"/>
  <c r="M650" i="8"/>
  <c r="N650" i="8"/>
  <c r="P650" i="8" s="1"/>
  <c r="T649" i="8"/>
  <c r="R649" i="8"/>
  <c r="S649" i="8" s="1"/>
  <c r="O649" i="8"/>
  <c r="M649" i="8"/>
  <c r="N649" i="8"/>
  <c r="P649" i="8" s="1"/>
  <c r="T648" i="8"/>
  <c r="S648" i="8"/>
  <c r="R648" i="8"/>
  <c r="O648" i="8"/>
  <c r="M648" i="8"/>
  <c r="N648" i="8"/>
  <c r="P648" i="8" s="1"/>
  <c r="T647" i="8"/>
  <c r="S647" i="8"/>
  <c r="R647" i="8"/>
  <c r="O647" i="8"/>
  <c r="M647" i="8"/>
  <c r="N647" i="8"/>
  <c r="P647" i="8" s="1"/>
  <c r="R646" i="8"/>
  <c r="T646" i="8" s="1"/>
  <c r="O646" i="8"/>
  <c r="M646" i="8"/>
  <c r="N646" i="8"/>
  <c r="P646" i="8" s="1"/>
  <c r="R645" i="8"/>
  <c r="O645" i="8"/>
  <c r="M645" i="8"/>
  <c r="N645" i="8"/>
  <c r="P645" i="8" s="1"/>
  <c r="R644" i="8"/>
  <c r="S644" i="8" s="1"/>
  <c r="O644" i="8"/>
  <c r="N644" i="8"/>
  <c r="P644" i="8" s="1"/>
  <c r="M644" i="8"/>
  <c r="S643" i="8"/>
  <c r="R643" i="8"/>
  <c r="T643" i="8" s="1"/>
  <c r="O643" i="8"/>
  <c r="M643" i="8"/>
  <c r="N643" i="8"/>
  <c r="P643" i="8" s="1"/>
  <c r="R642" i="8"/>
  <c r="T642" i="8" s="1"/>
  <c r="O642" i="8"/>
  <c r="M642" i="8"/>
  <c r="N642" i="8"/>
  <c r="P642" i="8" s="1"/>
  <c r="T641" i="8"/>
  <c r="R641" i="8"/>
  <c r="S641" i="8" s="1"/>
  <c r="O641" i="8"/>
  <c r="N641" i="8"/>
  <c r="P641" i="8" s="1"/>
  <c r="M641" i="8"/>
  <c r="T640" i="8"/>
  <c r="R640" i="8"/>
  <c r="S640" i="8" s="1"/>
  <c r="O640" i="8"/>
  <c r="M640" i="8"/>
  <c r="N640" i="8"/>
  <c r="P640" i="8" s="1"/>
  <c r="R639" i="8"/>
  <c r="O639" i="8"/>
  <c r="M639" i="8"/>
  <c r="N639" i="8"/>
  <c r="P639" i="8" s="1"/>
  <c r="R638" i="8"/>
  <c r="O638" i="8"/>
  <c r="M638" i="8"/>
  <c r="N638" i="8"/>
  <c r="P638" i="8" s="1"/>
  <c r="R637" i="8"/>
  <c r="S637" i="8" s="1"/>
  <c r="O637" i="8"/>
  <c r="M637" i="8"/>
  <c r="N637" i="8"/>
  <c r="P637" i="8" s="1"/>
  <c r="R636" i="8"/>
  <c r="S636" i="8" s="1"/>
  <c r="O636" i="8"/>
  <c r="M636" i="8"/>
  <c r="N636" i="8"/>
  <c r="P636" i="8" s="1"/>
  <c r="R635" i="8"/>
  <c r="T635" i="8" s="1"/>
  <c r="O635" i="8"/>
  <c r="N635" i="8"/>
  <c r="P635" i="8" s="1"/>
  <c r="M635" i="8"/>
  <c r="R634" i="8"/>
  <c r="S634" i="8" s="1"/>
  <c r="O634" i="8"/>
  <c r="M634" i="8"/>
  <c r="N634" i="8"/>
  <c r="P634" i="8" s="1"/>
  <c r="R633" i="8"/>
  <c r="T633" i="8" s="1"/>
  <c r="O633" i="8"/>
  <c r="M633" i="8"/>
  <c r="N633" i="8"/>
  <c r="P633" i="8" s="1"/>
  <c r="R632" i="8"/>
  <c r="S632" i="8" s="1"/>
  <c r="O632" i="8"/>
  <c r="M632" i="8"/>
  <c r="N632" i="8"/>
  <c r="P632" i="8" s="1"/>
  <c r="R631" i="8"/>
  <c r="P631" i="8"/>
  <c r="O631" i="8"/>
  <c r="M631" i="8"/>
  <c r="N631" i="8"/>
  <c r="T630" i="8"/>
  <c r="S630" i="8"/>
  <c r="R630" i="8"/>
  <c r="O630" i="8"/>
  <c r="M630" i="8"/>
  <c r="N630" i="8"/>
  <c r="P630" i="8" s="1"/>
  <c r="R629" i="8"/>
  <c r="T629" i="8" s="1"/>
  <c r="O629" i="8"/>
  <c r="M629" i="8"/>
  <c r="N629" i="8"/>
  <c r="P629" i="8" s="1"/>
  <c r="R628" i="8"/>
  <c r="S628" i="8" s="1"/>
  <c r="P628" i="8"/>
  <c r="O628" i="8"/>
  <c r="M628" i="8"/>
  <c r="N628" i="8"/>
  <c r="T627" i="8"/>
  <c r="R627" i="8"/>
  <c r="S627" i="8" s="1"/>
  <c r="O627" i="8"/>
  <c r="M627" i="8"/>
  <c r="N627" i="8"/>
  <c r="P627" i="8" s="1"/>
  <c r="R626" i="8"/>
  <c r="S626" i="8" s="1"/>
  <c r="O626" i="8"/>
  <c r="M626" i="8"/>
  <c r="N626" i="8"/>
  <c r="P626" i="8" s="1"/>
  <c r="R625" i="8"/>
  <c r="T625" i="8" s="1"/>
  <c r="O625" i="8"/>
  <c r="M625" i="8"/>
  <c r="N625" i="8"/>
  <c r="P625" i="8" s="1"/>
  <c r="R624" i="8"/>
  <c r="S624" i="8" s="1"/>
  <c r="O624" i="8"/>
  <c r="M624" i="8"/>
  <c r="N624" i="8"/>
  <c r="P624" i="8" s="1"/>
  <c r="R623" i="8"/>
  <c r="O623" i="8"/>
  <c r="M623" i="8"/>
  <c r="N623" i="8"/>
  <c r="P623" i="8" s="1"/>
  <c r="R622" i="8"/>
  <c r="S622" i="8" s="1"/>
  <c r="O622" i="8"/>
  <c r="M622" i="8"/>
  <c r="N622" i="8"/>
  <c r="P622" i="8" s="1"/>
  <c r="R621" i="8"/>
  <c r="S621" i="8" s="1"/>
  <c r="O621" i="8"/>
  <c r="N621" i="8"/>
  <c r="P621" i="8" s="1"/>
  <c r="M621" i="8"/>
  <c r="R620" i="8"/>
  <c r="S620" i="8" s="1"/>
  <c r="O620" i="8"/>
  <c r="N620" i="8"/>
  <c r="P620" i="8" s="1"/>
  <c r="M620" i="8"/>
  <c r="R619" i="8"/>
  <c r="T619" i="8" s="1"/>
  <c r="O619" i="8"/>
  <c r="M619" i="8"/>
  <c r="N619" i="8"/>
  <c r="P619" i="8" s="1"/>
  <c r="R618" i="8"/>
  <c r="T618" i="8" s="1"/>
  <c r="O618" i="8"/>
  <c r="M618" i="8"/>
  <c r="N618" i="8"/>
  <c r="P618" i="8" s="1"/>
  <c r="R617" i="8"/>
  <c r="S617" i="8" s="1"/>
  <c r="O617" i="8"/>
  <c r="M617" i="8"/>
  <c r="N617" i="8"/>
  <c r="P617" i="8" s="1"/>
  <c r="R616" i="8"/>
  <c r="S616" i="8" s="1"/>
  <c r="O616" i="8"/>
  <c r="M616" i="8"/>
  <c r="N616" i="8"/>
  <c r="P616" i="8" s="1"/>
  <c r="R615" i="8"/>
  <c r="O615" i="8"/>
  <c r="M615" i="8"/>
  <c r="N615" i="8"/>
  <c r="P615" i="8" s="1"/>
  <c r="R614" i="8"/>
  <c r="S614" i="8" s="1"/>
  <c r="O614" i="8"/>
  <c r="M614" i="8"/>
  <c r="N614" i="8"/>
  <c r="P614" i="8" s="1"/>
  <c r="R613" i="8"/>
  <c r="S613" i="8" s="1"/>
  <c r="O613" i="8"/>
  <c r="M613" i="8"/>
  <c r="N613" i="8"/>
  <c r="P613" i="8" s="1"/>
  <c r="R612" i="8"/>
  <c r="O612" i="8"/>
  <c r="M612" i="8"/>
  <c r="N612" i="8"/>
  <c r="P612" i="8" s="1"/>
  <c r="R611" i="8"/>
  <c r="T611" i="8" s="1"/>
  <c r="O611" i="8"/>
  <c r="M611" i="8"/>
  <c r="N611" i="8"/>
  <c r="P611" i="8" s="1"/>
  <c r="R610" i="8"/>
  <c r="T610" i="8" s="1"/>
  <c r="O610" i="8"/>
  <c r="M610" i="8"/>
  <c r="N610" i="8"/>
  <c r="P610" i="8" s="1"/>
  <c r="T609" i="8"/>
  <c r="R609" i="8"/>
  <c r="S609" i="8" s="1"/>
  <c r="O609" i="8"/>
  <c r="M609" i="8"/>
  <c r="N609" i="8"/>
  <c r="P609" i="8" s="1"/>
  <c r="R608" i="8"/>
  <c r="T608" i="8" s="1"/>
  <c r="P608" i="8"/>
  <c r="O608" i="8"/>
  <c r="M608" i="8"/>
  <c r="N608" i="8"/>
  <c r="R607" i="8"/>
  <c r="O607" i="8"/>
  <c r="M607" i="8"/>
  <c r="N607" i="8"/>
  <c r="P607" i="8" s="1"/>
  <c r="R606" i="8"/>
  <c r="S606" i="8" s="1"/>
  <c r="O606" i="8"/>
  <c r="M606" i="8"/>
  <c r="N606" i="8"/>
  <c r="P606" i="8" s="1"/>
  <c r="R605" i="8"/>
  <c r="O605" i="8"/>
  <c r="M605" i="8"/>
  <c r="N605" i="8"/>
  <c r="P605" i="8" s="1"/>
  <c r="R604" i="8"/>
  <c r="S604" i="8" s="1"/>
  <c r="O604" i="8"/>
  <c r="M604" i="8"/>
  <c r="N604" i="8"/>
  <c r="P604" i="8" s="1"/>
  <c r="R603" i="8"/>
  <c r="O603" i="8"/>
  <c r="N603" i="8"/>
  <c r="P603" i="8" s="1"/>
  <c r="M603" i="8"/>
  <c r="R602" i="8"/>
  <c r="O602" i="8"/>
  <c r="M602" i="8"/>
  <c r="N602" i="8"/>
  <c r="P602" i="8" s="1"/>
  <c r="T601" i="8"/>
  <c r="S601" i="8"/>
  <c r="R601" i="8"/>
  <c r="O601" i="8"/>
  <c r="M601" i="8"/>
  <c r="N601" i="8"/>
  <c r="P601" i="8" s="1"/>
  <c r="T600" i="8"/>
  <c r="R600" i="8"/>
  <c r="S600" i="8" s="1"/>
  <c r="O600" i="8"/>
  <c r="M600" i="8"/>
  <c r="N600" i="8"/>
  <c r="P600" i="8" s="1"/>
  <c r="R599" i="8"/>
  <c r="T599" i="8" s="1"/>
  <c r="O599" i="8"/>
  <c r="M599" i="8"/>
  <c r="N599" i="8"/>
  <c r="P599" i="8" s="1"/>
  <c r="R598" i="8"/>
  <c r="O598" i="8"/>
  <c r="N598" i="8"/>
  <c r="P598" i="8" s="1"/>
  <c r="M598" i="8"/>
  <c r="R597" i="8"/>
  <c r="S597" i="8" s="1"/>
  <c r="O597" i="8"/>
  <c r="M597" i="8"/>
  <c r="N597" i="8"/>
  <c r="P597" i="8" s="1"/>
  <c r="R596" i="8"/>
  <c r="O596" i="8"/>
  <c r="M596" i="8"/>
  <c r="N596" i="8"/>
  <c r="P596" i="8" s="1"/>
  <c r="R595" i="8"/>
  <c r="O595" i="8"/>
  <c r="N595" i="8"/>
  <c r="P595" i="8" s="1"/>
  <c r="M595" i="8"/>
  <c r="R594" i="8"/>
  <c r="S594" i="8" s="1"/>
  <c r="O594" i="8"/>
  <c r="M594" i="8"/>
  <c r="N594" i="8"/>
  <c r="P594" i="8" s="1"/>
  <c r="R593" i="8"/>
  <c r="S593" i="8" s="1"/>
  <c r="O593" i="8"/>
  <c r="M593" i="8"/>
  <c r="N593" i="8"/>
  <c r="P593" i="8" s="1"/>
  <c r="R592" i="8"/>
  <c r="O592" i="8"/>
  <c r="M592" i="8"/>
  <c r="N592" i="8"/>
  <c r="P592" i="8" s="1"/>
  <c r="S591" i="8"/>
  <c r="R591" i="8"/>
  <c r="T591" i="8" s="1"/>
  <c r="P591" i="8"/>
  <c r="O591" i="8"/>
  <c r="N591" i="8"/>
  <c r="M591" i="8"/>
  <c r="R590" i="8"/>
  <c r="T590" i="8" s="1"/>
  <c r="O590" i="8"/>
  <c r="M590" i="8"/>
  <c r="N590" i="8"/>
  <c r="P590" i="8" s="1"/>
  <c r="T589" i="8"/>
  <c r="S589" i="8"/>
  <c r="R589" i="8"/>
  <c r="O589" i="8"/>
  <c r="M589" i="8"/>
  <c r="N589" i="8"/>
  <c r="P589" i="8" s="1"/>
  <c r="R588" i="8"/>
  <c r="O588" i="8"/>
  <c r="M588" i="8"/>
  <c r="N588" i="8"/>
  <c r="P588" i="8" s="1"/>
  <c r="R587" i="8"/>
  <c r="S587" i="8" s="1"/>
  <c r="O587" i="8"/>
  <c r="M587" i="8"/>
  <c r="N587" i="8"/>
  <c r="P587" i="8" s="1"/>
  <c r="R586" i="8"/>
  <c r="S586" i="8" s="1"/>
  <c r="O586" i="8"/>
  <c r="M586" i="8"/>
  <c r="N586" i="8"/>
  <c r="P586" i="8" s="1"/>
  <c r="R585" i="8"/>
  <c r="T585" i="8" s="1"/>
  <c r="O585" i="8"/>
  <c r="M585" i="8"/>
  <c r="N585" i="8"/>
  <c r="P585" i="8" s="1"/>
  <c r="R584" i="8"/>
  <c r="T584" i="8" s="1"/>
  <c r="O584" i="8"/>
  <c r="M584" i="8"/>
  <c r="N584" i="8"/>
  <c r="P584" i="8" s="1"/>
  <c r="R583" i="8"/>
  <c r="T583" i="8" s="1"/>
  <c r="O583" i="8"/>
  <c r="M583" i="8"/>
  <c r="N583" i="8"/>
  <c r="P583" i="8" s="1"/>
  <c r="R582" i="8"/>
  <c r="T582" i="8" s="1"/>
  <c r="O582" i="8"/>
  <c r="M582" i="8"/>
  <c r="N582" i="8"/>
  <c r="P582" i="8" s="1"/>
  <c r="T581" i="8"/>
  <c r="S581" i="8"/>
  <c r="R581" i="8"/>
  <c r="O581" i="8"/>
  <c r="M581" i="8"/>
  <c r="N581" i="8"/>
  <c r="P581" i="8" s="1"/>
  <c r="R580" i="8"/>
  <c r="S580" i="8" s="1"/>
  <c r="O580" i="8"/>
  <c r="M580" i="8"/>
  <c r="N580" i="8"/>
  <c r="P580" i="8" s="1"/>
  <c r="R579" i="8"/>
  <c r="T579" i="8" s="1"/>
  <c r="O579" i="8"/>
  <c r="M579" i="8"/>
  <c r="N579" i="8"/>
  <c r="P579" i="8" s="1"/>
  <c r="R578" i="8"/>
  <c r="T578" i="8" s="1"/>
  <c r="O578" i="8"/>
  <c r="N578" i="8"/>
  <c r="P578" i="8" s="1"/>
  <c r="M578" i="8"/>
  <c r="R577" i="8"/>
  <c r="O577" i="8"/>
  <c r="M577" i="8"/>
  <c r="N577" i="8"/>
  <c r="P577" i="8" s="1"/>
  <c r="T576" i="8"/>
  <c r="S576" i="8"/>
  <c r="R576" i="8"/>
  <c r="O576" i="8"/>
  <c r="M576" i="8"/>
  <c r="N576" i="8"/>
  <c r="P576" i="8" s="1"/>
  <c r="T575" i="8"/>
  <c r="S575" i="8"/>
  <c r="R575" i="8"/>
  <c r="O575" i="8"/>
  <c r="M575" i="8"/>
  <c r="N575" i="8"/>
  <c r="P575" i="8" s="1"/>
  <c r="T574" i="8"/>
  <c r="R574" i="8"/>
  <c r="S574" i="8" s="1"/>
  <c r="O574" i="8"/>
  <c r="N574" i="8"/>
  <c r="P574" i="8" s="1"/>
  <c r="M574" i="8"/>
  <c r="R573" i="8"/>
  <c r="O573" i="8"/>
  <c r="M573" i="8"/>
  <c r="N573" i="8"/>
  <c r="P573" i="8" s="1"/>
  <c r="R572" i="8"/>
  <c r="S572" i="8" s="1"/>
  <c r="P572" i="8"/>
  <c r="O572" i="8"/>
  <c r="M572" i="8"/>
  <c r="N572" i="8"/>
  <c r="R571" i="8"/>
  <c r="T571" i="8" s="1"/>
  <c r="O571" i="8"/>
  <c r="M571" i="8"/>
  <c r="N571" i="8"/>
  <c r="P571" i="8" s="1"/>
  <c r="R570" i="8"/>
  <c r="T570" i="8" s="1"/>
  <c r="O570" i="8"/>
  <c r="N570" i="8"/>
  <c r="P570" i="8" s="1"/>
  <c r="M570" i="8"/>
  <c r="R569" i="8"/>
  <c r="T569" i="8" s="1"/>
  <c r="P569" i="8"/>
  <c r="O569" i="8"/>
  <c r="N569" i="8"/>
  <c r="M569" i="8"/>
  <c r="T568" i="8"/>
  <c r="S568" i="8"/>
  <c r="R568" i="8"/>
  <c r="O568" i="8"/>
  <c r="M568" i="8"/>
  <c r="N568" i="8"/>
  <c r="P568" i="8" s="1"/>
  <c r="R567" i="8"/>
  <c r="O567" i="8"/>
  <c r="M567" i="8"/>
  <c r="N567" i="8"/>
  <c r="P567" i="8" s="1"/>
  <c r="R566" i="8"/>
  <c r="S566" i="8" s="1"/>
  <c r="O566" i="8"/>
  <c r="M566" i="8"/>
  <c r="N566" i="8"/>
  <c r="P566" i="8" s="1"/>
  <c r="R565" i="8"/>
  <c r="T565" i="8" s="1"/>
  <c r="O565" i="8"/>
  <c r="M565" i="8"/>
  <c r="N565" i="8"/>
  <c r="P565" i="8" s="1"/>
  <c r="R564" i="8"/>
  <c r="T564" i="8" s="1"/>
  <c r="O564" i="8"/>
  <c r="M564" i="8"/>
  <c r="N564" i="8"/>
  <c r="P564" i="8" s="1"/>
  <c r="R563" i="8"/>
  <c r="O563" i="8"/>
  <c r="N563" i="8"/>
  <c r="P563" i="8" s="1"/>
  <c r="M563" i="8"/>
  <c r="R562" i="8"/>
  <c r="T562" i="8" s="1"/>
  <c r="O562" i="8"/>
  <c r="M562" i="8"/>
  <c r="N562" i="8"/>
  <c r="P562" i="8" s="1"/>
  <c r="T561" i="8"/>
  <c r="S561" i="8"/>
  <c r="R561" i="8"/>
  <c r="O561" i="8"/>
  <c r="M561" i="8"/>
  <c r="N561" i="8"/>
  <c r="P561" i="8" s="1"/>
  <c r="R560" i="8"/>
  <c r="S560" i="8" s="1"/>
  <c r="O560" i="8"/>
  <c r="M560" i="8"/>
  <c r="N560" i="8"/>
  <c r="P560" i="8" s="1"/>
  <c r="R559" i="8"/>
  <c r="S559" i="8" s="1"/>
  <c r="O559" i="8"/>
  <c r="M559" i="8"/>
  <c r="N559" i="8"/>
  <c r="P559" i="8" s="1"/>
  <c r="R558" i="8"/>
  <c r="T558" i="8" s="1"/>
  <c r="O558" i="8"/>
  <c r="N558" i="8"/>
  <c r="P558" i="8" s="1"/>
  <c r="M558" i="8"/>
  <c r="T557" i="8"/>
  <c r="S557" i="8"/>
  <c r="R557" i="8"/>
  <c r="O557" i="8"/>
  <c r="M557" i="8"/>
  <c r="N557" i="8"/>
  <c r="P557" i="8" s="1"/>
  <c r="T556" i="8"/>
  <c r="S556" i="8"/>
  <c r="R556" i="8"/>
  <c r="O556" i="8"/>
  <c r="M556" i="8"/>
  <c r="N556" i="8"/>
  <c r="P556" i="8" s="1"/>
  <c r="R555" i="8"/>
  <c r="T555" i="8" s="1"/>
  <c r="O555" i="8"/>
  <c r="M555" i="8"/>
  <c r="N555" i="8"/>
  <c r="P555" i="8" s="1"/>
  <c r="R554" i="8"/>
  <c r="O554" i="8"/>
  <c r="M554" i="8"/>
  <c r="N554" i="8"/>
  <c r="P554" i="8" s="1"/>
  <c r="R553" i="8"/>
  <c r="T553" i="8" s="1"/>
  <c r="O553" i="8"/>
  <c r="N553" i="8"/>
  <c r="P553" i="8" s="1"/>
  <c r="M553" i="8"/>
  <c r="T552" i="8"/>
  <c r="R552" i="8"/>
  <c r="S552" i="8" s="1"/>
  <c r="O552" i="8"/>
  <c r="N552" i="8"/>
  <c r="P552" i="8" s="1"/>
  <c r="M552" i="8"/>
  <c r="R551" i="8"/>
  <c r="T551" i="8" s="1"/>
  <c r="O551" i="8"/>
  <c r="M551" i="8"/>
  <c r="N551" i="8"/>
  <c r="P551" i="8" s="1"/>
  <c r="R550" i="8"/>
  <c r="O550" i="8"/>
  <c r="M550" i="8"/>
  <c r="N550" i="8"/>
  <c r="P550" i="8" s="1"/>
  <c r="T549" i="8"/>
  <c r="S549" i="8"/>
  <c r="R549" i="8"/>
  <c r="O549" i="8"/>
  <c r="M549" i="8"/>
  <c r="N549" i="8"/>
  <c r="P549" i="8" s="1"/>
  <c r="T548" i="8"/>
  <c r="S548" i="8"/>
  <c r="R548" i="8"/>
  <c r="O548" i="8"/>
  <c r="M548" i="8"/>
  <c r="N548" i="8"/>
  <c r="P548" i="8" s="1"/>
  <c r="R547" i="8"/>
  <c r="S547" i="8" s="1"/>
  <c r="O547" i="8"/>
  <c r="M547" i="8"/>
  <c r="N547" i="8"/>
  <c r="P547" i="8" s="1"/>
  <c r="T546" i="8"/>
  <c r="S546" i="8"/>
  <c r="R546" i="8"/>
  <c r="O546" i="8"/>
  <c r="N546" i="8"/>
  <c r="P546" i="8" s="1"/>
  <c r="M546" i="8"/>
  <c r="S545" i="8"/>
  <c r="R545" i="8"/>
  <c r="T545" i="8" s="1"/>
  <c r="O545" i="8"/>
  <c r="M545" i="8"/>
  <c r="N545" i="8"/>
  <c r="P545" i="8" s="1"/>
  <c r="R544" i="8"/>
  <c r="S544" i="8" s="1"/>
  <c r="O544" i="8"/>
  <c r="N544" i="8"/>
  <c r="P544" i="8" s="1"/>
  <c r="M544" i="8"/>
  <c r="S543" i="8"/>
  <c r="R543" i="8"/>
  <c r="T543" i="8" s="1"/>
  <c r="O543" i="8"/>
  <c r="N543" i="8"/>
  <c r="P543" i="8" s="1"/>
  <c r="M543" i="8"/>
  <c r="T542" i="8"/>
  <c r="S542" i="8"/>
  <c r="R542" i="8"/>
  <c r="O542" i="8"/>
  <c r="M542" i="8"/>
  <c r="N542" i="8"/>
  <c r="P542" i="8" s="1"/>
  <c r="R541" i="8"/>
  <c r="T541" i="8" s="1"/>
  <c r="O541" i="8"/>
  <c r="M541" i="8"/>
  <c r="N541" i="8"/>
  <c r="P541" i="8" s="1"/>
  <c r="R540" i="8"/>
  <c r="S540" i="8" s="1"/>
  <c r="O540" i="8"/>
  <c r="M540" i="8"/>
  <c r="N540" i="8"/>
  <c r="P540" i="8" s="1"/>
  <c r="R539" i="8"/>
  <c r="O539" i="8"/>
  <c r="M539" i="8"/>
  <c r="N539" i="8"/>
  <c r="P539" i="8" s="1"/>
  <c r="S538" i="8"/>
  <c r="R538" i="8"/>
  <c r="T538" i="8" s="1"/>
  <c r="O538" i="8"/>
  <c r="M538" i="8"/>
  <c r="N538" i="8"/>
  <c r="P538" i="8" s="1"/>
  <c r="R537" i="8"/>
  <c r="T537" i="8" s="1"/>
  <c r="O537" i="8"/>
  <c r="M537" i="8"/>
  <c r="N537" i="8"/>
  <c r="P537" i="8" s="1"/>
  <c r="T536" i="8"/>
  <c r="R536" i="8"/>
  <c r="S536" i="8" s="1"/>
  <c r="O536" i="8"/>
  <c r="M536" i="8"/>
  <c r="N536" i="8"/>
  <c r="P536" i="8" s="1"/>
  <c r="R535" i="8"/>
  <c r="T535" i="8" s="1"/>
  <c r="O535" i="8"/>
  <c r="M535" i="8"/>
  <c r="N535" i="8"/>
  <c r="P535" i="8" s="1"/>
  <c r="T534" i="8"/>
  <c r="R534" i="8"/>
  <c r="S534" i="8" s="1"/>
  <c r="O534" i="8"/>
  <c r="M534" i="8"/>
  <c r="N534" i="8"/>
  <c r="P534" i="8" s="1"/>
  <c r="T533" i="8"/>
  <c r="S533" i="8"/>
  <c r="R533" i="8"/>
  <c r="O533" i="8"/>
  <c r="M533" i="8"/>
  <c r="N533" i="8"/>
  <c r="P533" i="8" s="1"/>
  <c r="R532" i="8"/>
  <c r="S532" i="8" s="1"/>
  <c r="O532" i="8"/>
  <c r="M532" i="8"/>
  <c r="N532" i="8"/>
  <c r="P532" i="8" s="1"/>
  <c r="R531" i="8"/>
  <c r="O531" i="8"/>
  <c r="N531" i="8"/>
  <c r="P531" i="8" s="1"/>
  <c r="M531" i="8"/>
  <c r="R530" i="8"/>
  <c r="O530" i="8"/>
  <c r="M530" i="8"/>
  <c r="N530" i="8"/>
  <c r="P530" i="8" s="1"/>
  <c r="R529" i="8"/>
  <c r="S529" i="8" s="1"/>
  <c r="O529" i="8"/>
  <c r="M529" i="8"/>
  <c r="N529" i="8"/>
  <c r="P529" i="8" s="1"/>
  <c r="R528" i="8"/>
  <c r="O528" i="8"/>
  <c r="M528" i="8"/>
  <c r="N528" i="8"/>
  <c r="P528" i="8" s="1"/>
  <c r="R527" i="8"/>
  <c r="O527" i="8"/>
  <c r="M527" i="8"/>
  <c r="N527" i="8"/>
  <c r="P527" i="8" s="1"/>
  <c r="R526" i="8"/>
  <c r="T526" i="8" s="1"/>
  <c r="O526" i="8"/>
  <c r="M526" i="8"/>
  <c r="N526" i="8"/>
  <c r="P526" i="8" s="1"/>
  <c r="R525" i="8"/>
  <c r="T525" i="8" s="1"/>
  <c r="P525" i="8"/>
  <c r="O525" i="8"/>
  <c r="M525" i="8"/>
  <c r="N525" i="8"/>
  <c r="R524" i="8"/>
  <c r="S524" i="8" s="1"/>
  <c r="O524" i="8"/>
  <c r="M524" i="8"/>
  <c r="N524" i="8"/>
  <c r="P524" i="8" s="1"/>
  <c r="S523" i="8"/>
  <c r="R523" i="8"/>
  <c r="T523" i="8" s="1"/>
  <c r="O523" i="8"/>
  <c r="M523" i="8"/>
  <c r="N523" i="8"/>
  <c r="P523" i="8" s="1"/>
  <c r="T522" i="8"/>
  <c r="R522" i="8"/>
  <c r="S522" i="8" s="1"/>
  <c r="O522" i="8"/>
  <c r="M522" i="8"/>
  <c r="N522" i="8"/>
  <c r="P522" i="8" s="1"/>
  <c r="T521" i="8"/>
  <c r="S521" i="8"/>
  <c r="R521" i="8"/>
  <c r="O521" i="8"/>
  <c r="N521" i="8"/>
  <c r="P521" i="8" s="1"/>
  <c r="M521" i="8"/>
  <c r="R520" i="8"/>
  <c r="S520" i="8" s="1"/>
  <c r="O520" i="8"/>
  <c r="M520" i="8"/>
  <c r="N520" i="8"/>
  <c r="P520" i="8" s="1"/>
  <c r="R519" i="8"/>
  <c r="O519" i="8"/>
  <c r="M519" i="8"/>
  <c r="N519" i="8"/>
  <c r="P519" i="8" s="1"/>
  <c r="R518" i="8"/>
  <c r="S518" i="8" s="1"/>
  <c r="O518" i="8"/>
  <c r="M518" i="8"/>
  <c r="N518" i="8"/>
  <c r="P518" i="8" s="1"/>
  <c r="S517" i="8"/>
  <c r="R517" i="8"/>
  <c r="T517" i="8" s="1"/>
  <c r="O517" i="8"/>
  <c r="M517" i="8"/>
  <c r="N517" i="8"/>
  <c r="P517" i="8" s="1"/>
  <c r="R516" i="8"/>
  <c r="T516" i="8" s="1"/>
  <c r="O516" i="8"/>
  <c r="N516" i="8"/>
  <c r="P516" i="8" s="1"/>
  <c r="M516" i="8"/>
  <c r="R515" i="8"/>
  <c r="T515" i="8" s="1"/>
  <c r="O515" i="8"/>
  <c r="N515" i="8"/>
  <c r="P515" i="8" s="1"/>
  <c r="M515" i="8"/>
  <c r="T514" i="8"/>
  <c r="R514" i="8"/>
  <c r="S514" i="8" s="1"/>
  <c r="O514" i="8"/>
  <c r="M514" i="8"/>
  <c r="N514" i="8"/>
  <c r="P514" i="8" s="1"/>
  <c r="R513" i="8"/>
  <c r="O513" i="8"/>
  <c r="N513" i="8"/>
  <c r="P513" i="8" s="1"/>
  <c r="M513" i="8"/>
  <c r="R512" i="8"/>
  <c r="O512" i="8"/>
  <c r="M512" i="8"/>
  <c r="N512" i="8"/>
  <c r="P512" i="8" s="1"/>
  <c r="R511" i="8"/>
  <c r="T511" i="8" s="1"/>
  <c r="O511" i="8"/>
  <c r="M511" i="8"/>
  <c r="N511" i="8"/>
  <c r="P511" i="8" s="1"/>
  <c r="R510" i="8"/>
  <c r="O510" i="8"/>
  <c r="M510" i="8"/>
  <c r="N510" i="8"/>
  <c r="P510" i="8" s="1"/>
  <c r="R509" i="8"/>
  <c r="T509" i="8" s="1"/>
  <c r="O509" i="8"/>
  <c r="M509" i="8"/>
  <c r="N509" i="8"/>
  <c r="P509" i="8" s="1"/>
  <c r="R508" i="8"/>
  <c r="O508" i="8"/>
  <c r="M508" i="8"/>
  <c r="N508" i="8"/>
  <c r="P508" i="8" s="1"/>
  <c r="R507" i="8"/>
  <c r="S507" i="8" s="1"/>
  <c r="O507" i="8"/>
  <c r="M507" i="8"/>
  <c r="N507" i="8"/>
  <c r="P507" i="8" s="1"/>
  <c r="R506" i="8"/>
  <c r="S506" i="8" s="1"/>
  <c r="O506" i="8"/>
  <c r="M506" i="8"/>
  <c r="N506" i="8"/>
  <c r="P506" i="8" s="1"/>
  <c r="R505" i="8"/>
  <c r="O505" i="8"/>
  <c r="M505" i="8"/>
  <c r="N505" i="8"/>
  <c r="P505" i="8" s="1"/>
  <c r="R504" i="8"/>
  <c r="T504" i="8" s="1"/>
  <c r="O504" i="8"/>
  <c r="M504" i="8"/>
  <c r="N504" i="8"/>
  <c r="P504" i="8" s="1"/>
  <c r="R503" i="8"/>
  <c r="T503" i="8" s="1"/>
  <c r="O503" i="8"/>
  <c r="M503" i="8"/>
  <c r="N503" i="8"/>
  <c r="P503" i="8" s="1"/>
  <c r="R502" i="8"/>
  <c r="T502" i="8" s="1"/>
  <c r="O502" i="8"/>
  <c r="M502" i="8"/>
  <c r="N502" i="8"/>
  <c r="P502" i="8" s="1"/>
  <c r="T501" i="8"/>
  <c r="S501" i="8"/>
  <c r="R501" i="8"/>
  <c r="O501" i="8"/>
  <c r="M501" i="8"/>
  <c r="N501" i="8"/>
  <c r="P501" i="8" s="1"/>
  <c r="R500" i="8"/>
  <c r="O500" i="8"/>
  <c r="M500" i="8"/>
  <c r="N500" i="8"/>
  <c r="P500" i="8" s="1"/>
  <c r="R499" i="8"/>
  <c r="O499" i="8"/>
  <c r="M499" i="8"/>
  <c r="N499" i="8"/>
  <c r="P499" i="8" s="1"/>
  <c r="R498" i="8"/>
  <c r="T498" i="8" s="1"/>
  <c r="O498" i="8"/>
  <c r="M498" i="8"/>
  <c r="N498" i="8"/>
  <c r="P498" i="8" s="1"/>
  <c r="R497" i="8"/>
  <c r="S497" i="8" s="1"/>
  <c r="O497" i="8"/>
  <c r="M497" i="8"/>
  <c r="N497" i="8"/>
  <c r="P497" i="8" s="1"/>
  <c r="R496" i="8"/>
  <c r="O496" i="8"/>
  <c r="M496" i="8"/>
  <c r="N496" i="8"/>
  <c r="P496" i="8" s="1"/>
  <c r="R495" i="8"/>
  <c r="T495" i="8" s="1"/>
  <c r="O495" i="8"/>
  <c r="N495" i="8"/>
  <c r="P495" i="8" s="1"/>
  <c r="M495" i="8"/>
  <c r="T494" i="8"/>
  <c r="R494" i="8"/>
  <c r="S494" i="8" s="1"/>
  <c r="O494" i="8"/>
  <c r="M494" i="8"/>
  <c r="N494" i="8"/>
  <c r="P494" i="8" s="1"/>
  <c r="R493" i="8"/>
  <c r="S493" i="8" s="1"/>
  <c r="O493" i="8"/>
  <c r="N493" i="8"/>
  <c r="P493" i="8" s="1"/>
  <c r="M493" i="8"/>
  <c r="R492" i="8"/>
  <c r="S492" i="8" s="1"/>
  <c r="O492" i="8"/>
  <c r="M492" i="8"/>
  <c r="N492" i="8"/>
  <c r="P492" i="8" s="1"/>
  <c r="S491" i="8"/>
  <c r="R491" i="8"/>
  <c r="T491" i="8" s="1"/>
  <c r="O491" i="8"/>
  <c r="M491" i="8"/>
  <c r="N491" i="8"/>
  <c r="P491" i="8" s="1"/>
  <c r="R490" i="8"/>
  <c r="O490" i="8"/>
  <c r="M490" i="8"/>
  <c r="N490" i="8"/>
  <c r="P490" i="8" s="1"/>
  <c r="R489" i="8"/>
  <c r="P489" i="8"/>
  <c r="O489" i="8"/>
  <c r="M489" i="8"/>
  <c r="N489" i="8"/>
  <c r="R488" i="8"/>
  <c r="O488" i="8"/>
  <c r="M488" i="8"/>
  <c r="N488" i="8"/>
  <c r="P488" i="8" s="1"/>
  <c r="R487" i="8"/>
  <c r="T487" i="8" s="1"/>
  <c r="O487" i="8"/>
  <c r="M487" i="8"/>
  <c r="N487" i="8"/>
  <c r="P487" i="8" s="1"/>
  <c r="R486" i="8"/>
  <c r="T486" i="8" s="1"/>
  <c r="O486" i="8"/>
  <c r="M486" i="8"/>
  <c r="N486" i="8"/>
  <c r="P486" i="8" s="1"/>
  <c r="R485" i="8"/>
  <c r="O485" i="8"/>
  <c r="N485" i="8"/>
  <c r="P485" i="8" s="1"/>
  <c r="M485" i="8"/>
  <c r="R484" i="8"/>
  <c r="T484" i="8" s="1"/>
  <c r="O484" i="8"/>
  <c r="M484" i="8"/>
  <c r="N484" i="8"/>
  <c r="P484" i="8" s="1"/>
  <c r="R483" i="8"/>
  <c r="O483" i="8"/>
  <c r="M483" i="8"/>
  <c r="N483" i="8"/>
  <c r="P483" i="8" s="1"/>
  <c r="R482" i="8"/>
  <c r="T482" i="8" s="1"/>
  <c r="O482" i="8"/>
  <c r="M482" i="8"/>
  <c r="N482" i="8"/>
  <c r="P482" i="8" s="1"/>
  <c r="R481" i="8"/>
  <c r="T481" i="8" s="1"/>
  <c r="O481" i="8"/>
  <c r="M481" i="8"/>
  <c r="N481" i="8"/>
  <c r="P481" i="8" s="1"/>
  <c r="R480" i="8"/>
  <c r="T480" i="8" s="1"/>
  <c r="O480" i="8"/>
  <c r="N480" i="8"/>
  <c r="P480" i="8" s="1"/>
  <c r="M480" i="8"/>
  <c r="T479" i="8"/>
  <c r="R479" i="8"/>
  <c r="S479" i="8" s="1"/>
  <c r="O479" i="8"/>
  <c r="M479" i="8"/>
  <c r="N479" i="8"/>
  <c r="P479" i="8" s="1"/>
  <c r="S478" i="8"/>
  <c r="R478" i="8"/>
  <c r="T478" i="8" s="1"/>
  <c r="O478" i="8"/>
  <c r="M478" i="8"/>
  <c r="N478" i="8"/>
  <c r="P478" i="8" s="1"/>
  <c r="R477" i="8"/>
  <c r="T477" i="8" s="1"/>
  <c r="O477" i="8"/>
  <c r="M477" i="8"/>
  <c r="N477" i="8"/>
  <c r="P477" i="8" s="1"/>
  <c r="R476" i="8"/>
  <c r="T476" i="8" s="1"/>
  <c r="O476" i="8"/>
  <c r="M476" i="8"/>
  <c r="N476" i="8"/>
  <c r="P476" i="8" s="1"/>
  <c r="R475" i="8"/>
  <c r="O475" i="8"/>
  <c r="M475" i="8"/>
  <c r="N475" i="8"/>
  <c r="P475" i="8" s="1"/>
  <c r="R474" i="8"/>
  <c r="S474" i="8" s="1"/>
  <c r="O474" i="8"/>
  <c r="M474" i="8"/>
  <c r="N474" i="8"/>
  <c r="P474" i="8" s="1"/>
  <c r="R473" i="8"/>
  <c r="S473" i="8" s="1"/>
  <c r="O473" i="8"/>
  <c r="M473" i="8"/>
  <c r="N473" i="8"/>
  <c r="P473" i="8" s="1"/>
  <c r="R472" i="8"/>
  <c r="O472" i="8"/>
  <c r="M472" i="8"/>
  <c r="N472" i="8"/>
  <c r="P472" i="8" s="1"/>
  <c r="R471" i="8"/>
  <c r="T471" i="8" s="1"/>
  <c r="O471" i="8"/>
  <c r="M471" i="8"/>
  <c r="N471" i="8"/>
  <c r="P471" i="8" s="1"/>
  <c r="R470" i="8"/>
  <c r="T470" i="8" s="1"/>
  <c r="O470" i="8"/>
  <c r="M470" i="8"/>
  <c r="N470" i="8"/>
  <c r="P470" i="8" s="1"/>
  <c r="R469" i="8"/>
  <c r="S469" i="8" s="1"/>
  <c r="O469" i="8"/>
  <c r="M469" i="8"/>
  <c r="N469" i="8"/>
  <c r="P469" i="8" s="1"/>
  <c r="R468" i="8"/>
  <c r="S468" i="8" s="1"/>
  <c r="O468" i="8"/>
  <c r="M468" i="8"/>
  <c r="N468" i="8"/>
  <c r="P468" i="8" s="1"/>
  <c r="R467" i="8"/>
  <c r="T467" i="8" s="1"/>
  <c r="O467" i="8"/>
  <c r="N467" i="8"/>
  <c r="P467" i="8" s="1"/>
  <c r="M467" i="8"/>
  <c r="R466" i="8"/>
  <c r="O466" i="8"/>
  <c r="M466" i="8"/>
  <c r="N466" i="8"/>
  <c r="P466" i="8" s="1"/>
  <c r="R465" i="8"/>
  <c r="T465" i="8" s="1"/>
  <c r="P465" i="8"/>
  <c r="O465" i="8"/>
  <c r="M465" i="8"/>
  <c r="N465" i="8"/>
  <c r="R464" i="8"/>
  <c r="S464" i="8" s="1"/>
  <c r="O464" i="8"/>
  <c r="M464" i="8"/>
  <c r="N464" i="8"/>
  <c r="P464" i="8" s="1"/>
  <c r="S463" i="8"/>
  <c r="R463" i="8"/>
  <c r="T463" i="8" s="1"/>
  <c r="O463" i="8"/>
  <c r="M463" i="8"/>
  <c r="N463" i="8"/>
  <c r="P463" i="8" s="1"/>
  <c r="R462" i="8"/>
  <c r="T462" i="8" s="1"/>
  <c r="O462" i="8"/>
  <c r="M462" i="8"/>
  <c r="N462" i="8"/>
  <c r="P462" i="8" s="1"/>
  <c r="T461" i="8"/>
  <c r="S461" i="8"/>
  <c r="R461" i="8"/>
  <c r="O461" i="8"/>
  <c r="M461" i="8"/>
  <c r="N461" i="8"/>
  <c r="P461" i="8" s="1"/>
  <c r="R460" i="8"/>
  <c r="T460" i="8" s="1"/>
  <c r="O460" i="8"/>
  <c r="M460" i="8"/>
  <c r="N460" i="8"/>
  <c r="P460" i="8" s="1"/>
  <c r="R459" i="8"/>
  <c r="O459" i="8"/>
  <c r="M459" i="8"/>
  <c r="N459" i="8"/>
  <c r="P459" i="8" s="1"/>
  <c r="R458" i="8"/>
  <c r="T458" i="8" s="1"/>
  <c r="O458" i="8"/>
  <c r="M458" i="8"/>
  <c r="N458" i="8"/>
  <c r="P458" i="8" s="1"/>
  <c r="R457" i="8"/>
  <c r="T457" i="8" s="1"/>
  <c r="O457" i="8"/>
  <c r="M457" i="8"/>
  <c r="N457" i="8"/>
  <c r="P457" i="8" s="1"/>
  <c r="R456" i="8"/>
  <c r="S456" i="8" s="1"/>
  <c r="O456" i="8"/>
  <c r="N456" i="8"/>
  <c r="P456" i="8" s="1"/>
  <c r="M456" i="8"/>
  <c r="R455" i="8"/>
  <c r="S455" i="8" s="1"/>
  <c r="O455" i="8"/>
  <c r="N455" i="8"/>
  <c r="P455" i="8" s="1"/>
  <c r="M455" i="8"/>
  <c r="R454" i="8"/>
  <c r="S454" i="8" s="1"/>
  <c r="O454" i="8"/>
  <c r="M454" i="8"/>
  <c r="N454" i="8"/>
  <c r="P454" i="8" s="1"/>
  <c r="T453" i="8"/>
  <c r="S453" i="8"/>
  <c r="R453" i="8"/>
  <c r="O453" i="8"/>
  <c r="N453" i="8"/>
  <c r="P453" i="8" s="1"/>
  <c r="M453" i="8"/>
  <c r="R452" i="8"/>
  <c r="S452" i="8" s="1"/>
  <c r="O452" i="8"/>
  <c r="M452" i="8"/>
  <c r="N452" i="8"/>
  <c r="P452" i="8" s="1"/>
  <c r="R451" i="8"/>
  <c r="O451" i="8"/>
  <c r="M451" i="8"/>
  <c r="N451" i="8"/>
  <c r="P451" i="8" s="1"/>
  <c r="R450" i="8"/>
  <c r="S450" i="8" s="1"/>
  <c r="O450" i="8"/>
  <c r="M450" i="8"/>
  <c r="N450" i="8"/>
  <c r="P450" i="8" s="1"/>
  <c r="T449" i="8"/>
  <c r="R449" i="8"/>
  <c r="S449" i="8" s="1"/>
  <c r="O449" i="8"/>
  <c r="M449" i="8"/>
  <c r="N449" i="8"/>
  <c r="P449" i="8" s="1"/>
  <c r="R448" i="8"/>
  <c r="O448" i="8"/>
  <c r="M448" i="8"/>
  <c r="N448" i="8"/>
  <c r="P448" i="8" s="1"/>
  <c r="R447" i="8"/>
  <c r="T447" i="8" s="1"/>
  <c r="O447" i="8"/>
  <c r="N447" i="8"/>
  <c r="P447" i="8" s="1"/>
  <c r="M447" i="8"/>
  <c r="R446" i="8"/>
  <c r="T446" i="8" s="1"/>
  <c r="O446" i="8"/>
  <c r="N446" i="8"/>
  <c r="P446" i="8" s="1"/>
  <c r="M446" i="8"/>
  <c r="R445" i="8"/>
  <c r="O445" i="8"/>
  <c r="M445" i="8"/>
  <c r="N445" i="8"/>
  <c r="P445" i="8" s="1"/>
  <c r="R444" i="8"/>
  <c r="T444" i="8" s="1"/>
  <c r="O444" i="8"/>
  <c r="M444" i="8"/>
  <c r="N444" i="8"/>
  <c r="P444" i="8" s="1"/>
  <c r="T443" i="8"/>
  <c r="R443" i="8"/>
  <c r="S443" i="8" s="1"/>
  <c r="O443" i="8"/>
  <c r="M443" i="8"/>
  <c r="N443" i="8"/>
  <c r="P443" i="8" s="1"/>
  <c r="R442" i="8"/>
  <c r="O442" i="8"/>
  <c r="N442" i="8"/>
  <c r="P442" i="8" s="1"/>
  <c r="M442" i="8"/>
  <c r="R441" i="8"/>
  <c r="T441" i="8" s="1"/>
  <c r="O441" i="8"/>
  <c r="M441" i="8"/>
  <c r="N441" i="8"/>
  <c r="P441" i="8" s="1"/>
  <c r="R440" i="8"/>
  <c r="T440" i="8" s="1"/>
  <c r="O440" i="8"/>
  <c r="M440" i="8"/>
  <c r="N440" i="8"/>
  <c r="P440" i="8" s="1"/>
  <c r="T439" i="8"/>
  <c r="R439" i="8"/>
  <c r="S439" i="8" s="1"/>
  <c r="P439" i="8"/>
  <c r="O439" i="8"/>
  <c r="M439" i="8"/>
  <c r="N439" i="8"/>
  <c r="R438" i="8"/>
  <c r="T438" i="8" s="1"/>
  <c r="O438" i="8"/>
  <c r="M438" i="8"/>
  <c r="N438" i="8"/>
  <c r="P438" i="8" s="1"/>
  <c r="R437" i="8"/>
  <c r="T437" i="8" s="1"/>
  <c r="O437" i="8"/>
  <c r="N437" i="8"/>
  <c r="P437" i="8" s="1"/>
  <c r="M437" i="8"/>
  <c r="R436" i="8"/>
  <c r="T436" i="8" s="1"/>
  <c r="O436" i="8"/>
  <c r="M436" i="8"/>
  <c r="N436" i="8"/>
  <c r="P436" i="8" s="1"/>
  <c r="R435" i="8"/>
  <c r="P435" i="8"/>
  <c r="O435" i="8"/>
  <c r="M435" i="8"/>
  <c r="N435" i="8"/>
  <c r="R434" i="8"/>
  <c r="T434" i="8" s="1"/>
  <c r="O434" i="8"/>
  <c r="M434" i="8"/>
  <c r="N434" i="8"/>
  <c r="P434" i="8" s="1"/>
  <c r="R433" i="8"/>
  <c r="T433" i="8" s="1"/>
  <c r="O433" i="8"/>
  <c r="M433" i="8"/>
  <c r="N433" i="8"/>
  <c r="P433" i="8" s="1"/>
  <c r="S432" i="8"/>
  <c r="R432" i="8"/>
  <c r="T432" i="8" s="1"/>
  <c r="O432" i="8"/>
  <c r="M432" i="8"/>
  <c r="N432" i="8"/>
  <c r="P432" i="8" s="1"/>
  <c r="R431" i="8"/>
  <c r="S431" i="8" s="1"/>
  <c r="O431" i="8"/>
  <c r="M431" i="8"/>
  <c r="N431" i="8"/>
  <c r="P431" i="8" s="1"/>
  <c r="R430" i="8"/>
  <c r="O430" i="8"/>
  <c r="M430" i="8"/>
  <c r="N430" i="8"/>
  <c r="P430" i="8" s="1"/>
  <c r="R429" i="8"/>
  <c r="S429" i="8" s="1"/>
  <c r="O429" i="8"/>
  <c r="N429" i="8"/>
  <c r="P429" i="8" s="1"/>
  <c r="M429" i="8"/>
  <c r="R428" i="8"/>
  <c r="O428" i="8"/>
  <c r="M428" i="8"/>
  <c r="N428" i="8"/>
  <c r="P428" i="8" s="1"/>
  <c r="R427" i="8"/>
  <c r="T427" i="8" s="1"/>
  <c r="O427" i="8"/>
  <c r="M427" i="8"/>
  <c r="N427" i="8"/>
  <c r="P427" i="8" s="1"/>
  <c r="T426" i="8"/>
  <c r="R426" i="8"/>
  <c r="S426" i="8" s="1"/>
  <c r="O426" i="8"/>
  <c r="M426" i="8"/>
  <c r="N426" i="8"/>
  <c r="P426" i="8" s="1"/>
  <c r="R425" i="8"/>
  <c r="O425" i="8"/>
  <c r="M425" i="8"/>
  <c r="N425" i="8"/>
  <c r="P425" i="8" s="1"/>
  <c r="T424" i="8"/>
  <c r="S424" i="8"/>
  <c r="R424" i="8"/>
  <c r="O424" i="8"/>
  <c r="N424" i="8"/>
  <c r="P424" i="8" s="1"/>
  <c r="M424" i="8"/>
  <c r="R423" i="8"/>
  <c r="O423" i="8"/>
  <c r="M423" i="8"/>
  <c r="N423" i="8"/>
  <c r="P423" i="8" s="1"/>
  <c r="R422" i="8"/>
  <c r="T422" i="8" s="1"/>
  <c r="O422" i="8"/>
  <c r="M422" i="8"/>
  <c r="N422" i="8"/>
  <c r="P422" i="8" s="1"/>
  <c r="R421" i="8"/>
  <c r="T421" i="8" s="1"/>
  <c r="O421" i="8"/>
  <c r="M421" i="8"/>
  <c r="N421" i="8"/>
  <c r="P421" i="8" s="1"/>
  <c r="T420" i="8"/>
  <c r="S420" i="8"/>
  <c r="R420" i="8"/>
  <c r="O420" i="8"/>
  <c r="M420" i="8"/>
  <c r="N420" i="8"/>
  <c r="P420" i="8" s="1"/>
  <c r="R419" i="8"/>
  <c r="S419" i="8" s="1"/>
  <c r="O419" i="8"/>
  <c r="M419" i="8"/>
  <c r="N419" i="8"/>
  <c r="P419" i="8" s="1"/>
  <c r="R418" i="8"/>
  <c r="S418" i="8" s="1"/>
  <c r="O418" i="8"/>
  <c r="M418" i="8"/>
  <c r="N418" i="8"/>
  <c r="P418" i="8" s="1"/>
  <c r="T417" i="8"/>
  <c r="R417" i="8"/>
  <c r="S417" i="8" s="1"/>
  <c r="O417" i="8"/>
  <c r="N417" i="8"/>
  <c r="P417" i="8" s="1"/>
  <c r="M417" i="8"/>
  <c r="R416" i="8"/>
  <c r="T416" i="8" s="1"/>
  <c r="O416" i="8"/>
  <c r="M416" i="8"/>
  <c r="N416" i="8"/>
  <c r="P416" i="8" s="1"/>
  <c r="R415" i="8"/>
  <c r="O415" i="8"/>
  <c r="M415" i="8"/>
  <c r="N415" i="8"/>
  <c r="P415" i="8" s="1"/>
  <c r="R414" i="8"/>
  <c r="T414" i="8" s="1"/>
  <c r="O414" i="8"/>
  <c r="M414" i="8"/>
  <c r="N414" i="8"/>
  <c r="P414" i="8" s="1"/>
  <c r="R413" i="8"/>
  <c r="S413" i="8" s="1"/>
  <c r="O413" i="8"/>
  <c r="M413" i="8"/>
  <c r="N413" i="8"/>
  <c r="P413" i="8" s="1"/>
  <c r="R412" i="8"/>
  <c r="O412" i="8"/>
  <c r="M412" i="8"/>
  <c r="N412" i="8"/>
  <c r="P412" i="8" s="1"/>
  <c r="R411" i="8"/>
  <c r="S411" i="8" s="1"/>
  <c r="O411" i="8"/>
  <c r="N411" i="8"/>
  <c r="P411" i="8" s="1"/>
  <c r="M411" i="8"/>
  <c r="R410" i="8"/>
  <c r="T410" i="8" s="1"/>
  <c r="O410" i="8"/>
  <c r="M410" i="8"/>
  <c r="N410" i="8"/>
  <c r="P410" i="8" s="1"/>
  <c r="S409" i="8"/>
  <c r="R409" i="8"/>
  <c r="T409" i="8" s="1"/>
  <c r="O409" i="8"/>
  <c r="N409" i="8"/>
  <c r="P409" i="8" s="1"/>
  <c r="M409" i="8"/>
  <c r="R408" i="8"/>
  <c r="T408" i="8" s="1"/>
  <c r="O408" i="8"/>
  <c r="M408" i="8"/>
  <c r="N408" i="8"/>
  <c r="P408" i="8" s="1"/>
  <c r="R407" i="8"/>
  <c r="T407" i="8" s="1"/>
  <c r="O407" i="8"/>
  <c r="M407" i="8"/>
  <c r="N407" i="8"/>
  <c r="P407" i="8" s="1"/>
  <c r="R406" i="8"/>
  <c r="T406" i="8" s="1"/>
  <c r="O406" i="8"/>
  <c r="M406" i="8"/>
  <c r="N406" i="8"/>
  <c r="P406" i="8" s="1"/>
  <c r="R405" i="8"/>
  <c r="O405" i="8"/>
  <c r="M405" i="8"/>
  <c r="N405" i="8"/>
  <c r="P405" i="8" s="1"/>
  <c r="R404" i="8"/>
  <c r="S404" i="8" s="1"/>
  <c r="O404" i="8"/>
  <c r="N404" i="8"/>
  <c r="P404" i="8" s="1"/>
  <c r="M404" i="8"/>
  <c r="T403" i="8"/>
  <c r="R403" i="8"/>
  <c r="S403" i="8" s="1"/>
  <c r="O403" i="8"/>
  <c r="M403" i="8"/>
  <c r="N403" i="8"/>
  <c r="P403" i="8" s="1"/>
  <c r="R402" i="8"/>
  <c r="T402" i="8" s="1"/>
  <c r="O402" i="8"/>
  <c r="M402" i="8"/>
  <c r="N402" i="8"/>
  <c r="P402" i="8" s="1"/>
  <c r="R401" i="8"/>
  <c r="T401" i="8" s="1"/>
  <c r="O401" i="8"/>
  <c r="M401" i="8"/>
  <c r="N401" i="8"/>
  <c r="P401" i="8" s="1"/>
  <c r="T400" i="8"/>
  <c r="S400" i="8"/>
  <c r="R400" i="8"/>
  <c r="O400" i="8"/>
  <c r="M400" i="8"/>
  <c r="N400" i="8"/>
  <c r="P400" i="8" s="1"/>
  <c r="R399" i="8"/>
  <c r="S399" i="8" s="1"/>
  <c r="P399" i="8"/>
  <c r="O399" i="8"/>
  <c r="M399" i="8"/>
  <c r="N399" i="8"/>
  <c r="R398" i="8"/>
  <c r="T398" i="8" s="1"/>
  <c r="O398" i="8"/>
  <c r="M398" i="8"/>
  <c r="N398" i="8"/>
  <c r="P398" i="8" s="1"/>
  <c r="R397" i="8"/>
  <c r="O397" i="8"/>
  <c r="N397" i="8"/>
  <c r="P397" i="8" s="1"/>
  <c r="M397" i="8"/>
  <c r="R396" i="8"/>
  <c r="O396" i="8"/>
  <c r="M396" i="8"/>
  <c r="N396" i="8"/>
  <c r="P396" i="8" s="1"/>
  <c r="R395" i="8"/>
  <c r="S395" i="8" s="1"/>
  <c r="O395" i="8"/>
  <c r="M395" i="8"/>
  <c r="N395" i="8"/>
  <c r="P395" i="8" s="1"/>
  <c r="R394" i="8"/>
  <c r="T394" i="8" s="1"/>
  <c r="P394" i="8"/>
  <c r="O394" i="8"/>
  <c r="N394" i="8"/>
  <c r="M394" i="8"/>
  <c r="R393" i="8"/>
  <c r="T393" i="8" s="1"/>
  <c r="O393" i="8"/>
  <c r="M393" i="8"/>
  <c r="N393" i="8"/>
  <c r="P393" i="8" s="1"/>
  <c r="R392" i="8"/>
  <c r="O392" i="8"/>
  <c r="M392" i="8"/>
  <c r="N392" i="8"/>
  <c r="P392" i="8" s="1"/>
  <c r="R391" i="8"/>
  <c r="O391" i="8"/>
  <c r="M391" i="8"/>
  <c r="N391" i="8"/>
  <c r="P391" i="8" s="1"/>
  <c r="R390" i="8"/>
  <c r="O390" i="8"/>
  <c r="M390" i="8"/>
  <c r="N390" i="8"/>
  <c r="P390" i="8" s="1"/>
  <c r="R389" i="8"/>
  <c r="O389" i="8"/>
  <c r="M389" i="8"/>
  <c r="N389" i="8"/>
  <c r="P389" i="8" s="1"/>
  <c r="R388" i="8"/>
  <c r="T388" i="8" s="1"/>
  <c r="O388" i="8"/>
  <c r="M388" i="8"/>
  <c r="N388" i="8"/>
  <c r="P388" i="8" s="1"/>
  <c r="R387" i="8"/>
  <c r="T387" i="8" s="1"/>
  <c r="O387" i="8"/>
  <c r="M387" i="8"/>
  <c r="N387" i="8"/>
  <c r="P387" i="8" s="1"/>
  <c r="R386" i="8"/>
  <c r="S386" i="8" s="1"/>
  <c r="O386" i="8"/>
  <c r="M386" i="8"/>
  <c r="N386" i="8"/>
  <c r="P386" i="8" s="1"/>
  <c r="R385" i="8"/>
  <c r="O385" i="8"/>
  <c r="M385" i="8"/>
  <c r="N385" i="8"/>
  <c r="P385" i="8" s="1"/>
  <c r="R384" i="8"/>
  <c r="O384" i="8"/>
  <c r="M384" i="8"/>
  <c r="N384" i="8"/>
  <c r="P384" i="8" s="1"/>
  <c r="R383" i="8"/>
  <c r="O383" i="8"/>
  <c r="M383" i="8"/>
  <c r="N383" i="8"/>
  <c r="P383" i="8" s="1"/>
  <c r="R382" i="8"/>
  <c r="O382" i="8"/>
  <c r="M382" i="8"/>
  <c r="N382" i="8"/>
  <c r="P382" i="8" s="1"/>
  <c r="T381" i="8"/>
  <c r="R381" i="8"/>
  <c r="S381" i="8" s="1"/>
  <c r="O381" i="8"/>
  <c r="M381" i="8"/>
  <c r="N381" i="8"/>
  <c r="P381" i="8" s="1"/>
  <c r="T380" i="8"/>
  <c r="S380" i="8"/>
  <c r="R380" i="8"/>
  <c r="O380" i="8"/>
  <c r="M380" i="8"/>
  <c r="N380" i="8"/>
  <c r="P380" i="8" s="1"/>
  <c r="R379" i="8"/>
  <c r="S379" i="8" s="1"/>
  <c r="O379" i="8"/>
  <c r="M379" i="8"/>
  <c r="N379" i="8"/>
  <c r="P379" i="8" s="1"/>
  <c r="R378" i="8"/>
  <c r="S378" i="8" s="1"/>
  <c r="O378" i="8"/>
  <c r="M378" i="8"/>
  <c r="N378" i="8"/>
  <c r="P378" i="8" s="1"/>
  <c r="R377" i="8"/>
  <c r="T377" i="8" s="1"/>
  <c r="O377" i="8"/>
  <c r="N377" i="8"/>
  <c r="P377" i="8" s="1"/>
  <c r="M377" i="8"/>
  <c r="R376" i="8"/>
  <c r="T376" i="8" s="1"/>
  <c r="O376" i="8"/>
  <c r="M376" i="8"/>
  <c r="N376" i="8"/>
  <c r="P376" i="8" s="1"/>
  <c r="R375" i="8"/>
  <c r="T375" i="8" s="1"/>
  <c r="O375" i="8"/>
  <c r="M375" i="8"/>
  <c r="N375" i="8"/>
  <c r="P375" i="8" s="1"/>
  <c r="R374" i="8"/>
  <c r="T374" i="8" s="1"/>
  <c r="O374" i="8"/>
  <c r="M374" i="8"/>
  <c r="N374" i="8"/>
  <c r="P374" i="8" s="1"/>
  <c r="R373" i="8"/>
  <c r="O373" i="8"/>
  <c r="N373" i="8"/>
  <c r="P373" i="8" s="1"/>
  <c r="M373" i="8"/>
  <c r="R372" i="8"/>
  <c r="T372" i="8" s="1"/>
  <c r="O372" i="8"/>
  <c r="M372" i="8"/>
  <c r="N372" i="8"/>
  <c r="P372" i="8" s="1"/>
  <c r="R371" i="8"/>
  <c r="S371" i="8" s="1"/>
  <c r="O371" i="8"/>
  <c r="M371" i="8"/>
  <c r="N371" i="8"/>
  <c r="P371" i="8" s="1"/>
  <c r="R370" i="8"/>
  <c r="S370" i="8" s="1"/>
  <c r="O370" i="8"/>
  <c r="M370" i="8"/>
  <c r="N370" i="8"/>
  <c r="P370" i="8" s="1"/>
  <c r="R369" i="8"/>
  <c r="T369" i="8" s="1"/>
  <c r="O369" i="8"/>
  <c r="M369" i="8"/>
  <c r="N369" i="8"/>
  <c r="P369" i="8" s="1"/>
  <c r="R368" i="8"/>
  <c r="S368" i="8" s="1"/>
  <c r="O368" i="8"/>
  <c r="M368" i="8"/>
  <c r="N368" i="8"/>
  <c r="P368" i="8" s="1"/>
  <c r="T367" i="8"/>
  <c r="S367" i="8"/>
  <c r="R367" i="8"/>
  <c r="O367" i="8"/>
  <c r="M367" i="8"/>
  <c r="N367" i="8"/>
  <c r="P367" i="8" s="1"/>
  <c r="R366" i="8"/>
  <c r="O366" i="8"/>
  <c r="M366" i="8"/>
  <c r="N366" i="8"/>
  <c r="P366" i="8" s="1"/>
  <c r="R365" i="8"/>
  <c r="T365" i="8" s="1"/>
  <c r="O365" i="8"/>
  <c r="N365" i="8"/>
  <c r="P365" i="8" s="1"/>
  <c r="M365" i="8"/>
  <c r="T364" i="8"/>
  <c r="R364" i="8"/>
  <c r="S364" i="8" s="1"/>
  <c r="O364" i="8"/>
  <c r="M364" i="8"/>
  <c r="N364" i="8"/>
  <c r="P364" i="8" s="1"/>
  <c r="R363" i="8"/>
  <c r="S363" i="8" s="1"/>
  <c r="O363" i="8"/>
  <c r="M363" i="8"/>
  <c r="N363" i="8"/>
  <c r="P363" i="8" s="1"/>
  <c r="R362" i="8"/>
  <c r="T362" i="8" s="1"/>
  <c r="O362" i="8"/>
  <c r="M362" i="8"/>
  <c r="N362" i="8"/>
  <c r="P362" i="8" s="1"/>
  <c r="R361" i="8"/>
  <c r="O361" i="8"/>
  <c r="M361" i="8"/>
  <c r="N361" i="8"/>
  <c r="P361" i="8" s="1"/>
  <c r="T360" i="8"/>
  <c r="R360" i="8"/>
  <c r="S360" i="8" s="1"/>
  <c r="O360" i="8"/>
  <c r="M360" i="8"/>
  <c r="N360" i="8"/>
  <c r="P360" i="8" s="1"/>
  <c r="R359" i="8"/>
  <c r="T359" i="8" s="1"/>
  <c r="O359" i="8"/>
  <c r="M359" i="8"/>
  <c r="N359" i="8"/>
  <c r="P359" i="8" s="1"/>
  <c r="R358" i="8"/>
  <c r="T358" i="8" s="1"/>
  <c r="O358" i="8"/>
  <c r="M358" i="8"/>
  <c r="N358" i="8"/>
  <c r="P358" i="8" s="1"/>
  <c r="R357" i="8"/>
  <c r="S357" i="8" s="1"/>
  <c r="O357" i="8"/>
  <c r="M357" i="8"/>
  <c r="N357" i="8"/>
  <c r="P357" i="8" s="1"/>
  <c r="R356" i="8"/>
  <c r="T356" i="8" s="1"/>
  <c r="O356" i="8"/>
  <c r="M356" i="8"/>
  <c r="N356" i="8"/>
  <c r="P356" i="8" s="1"/>
  <c r="R355" i="8"/>
  <c r="S355" i="8" s="1"/>
  <c r="O355" i="8"/>
  <c r="M355" i="8"/>
  <c r="N355" i="8"/>
  <c r="P355" i="8" s="1"/>
  <c r="R354" i="8"/>
  <c r="O354" i="8"/>
  <c r="M354" i="8"/>
  <c r="N354" i="8"/>
  <c r="P354" i="8" s="1"/>
  <c r="R353" i="8"/>
  <c r="T353" i="8" s="1"/>
  <c r="O353" i="8"/>
  <c r="M353" i="8"/>
  <c r="N353" i="8"/>
  <c r="P353" i="8" s="1"/>
  <c r="R352" i="8"/>
  <c r="S352" i="8" s="1"/>
  <c r="O352" i="8"/>
  <c r="M352" i="8"/>
  <c r="N352" i="8"/>
  <c r="P352" i="8" s="1"/>
  <c r="R351" i="8"/>
  <c r="O351" i="8"/>
  <c r="M351" i="8"/>
  <c r="N351" i="8"/>
  <c r="P351" i="8" s="1"/>
  <c r="R350" i="8"/>
  <c r="T350" i="8" s="1"/>
  <c r="O350" i="8"/>
  <c r="M350" i="8"/>
  <c r="N350" i="8"/>
  <c r="P350" i="8" s="1"/>
  <c r="T349" i="8"/>
  <c r="R349" i="8"/>
  <c r="S349" i="8" s="1"/>
  <c r="O349" i="8"/>
  <c r="M349" i="8"/>
  <c r="N349" i="8"/>
  <c r="P349" i="8" s="1"/>
  <c r="R348" i="8"/>
  <c r="T348" i="8" s="1"/>
  <c r="O348" i="8"/>
  <c r="M348" i="8"/>
  <c r="N348" i="8"/>
  <c r="P348" i="8" s="1"/>
  <c r="R347" i="8"/>
  <c r="O347" i="8"/>
  <c r="M347" i="8"/>
  <c r="N347" i="8"/>
  <c r="P347" i="8" s="1"/>
  <c r="R346" i="8"/>
  <c r="T346" i="8" s="1"/>
  <c r="O346" i="8"/>
  <c r="M346" i="8"/>
  <c r="N346" i="8"/>
  <c r="P346" i="8" s="1"/>
  <c r="R345" i="8"/>
  <c r="T345" i="8" s="1"/>
  <c r="O345" i="8"/>
  <c r="M345" i="8"/>
  <c r="N345" i="8"/>
  <c r="P345" i="8" s="1"/>
  <c r="R344" i="8"/>
  <c r="O344" i="8"/>
  <c r="N344" i="8"/>
  <c r="P344" i="8" s="1"/>
  <c r="M344" i="8"/>
  <c r="R343" i="8"/>
  <c r="O343" i="8"/>
  <c r="N343" i="8"/>
  <c r="P343" i="8" s="1"/>
  <c r="M343" i="8"/>
  <c r="S342" i="8"/>
  <c r="R342" i="8"/>
  <c r="T342" i="8" s="1"/>
  <c r="O342" i="8"/>
  <c r="M342" i="8"/>
  <c r="N342" i="8"/>
  <c r="P342" i="8" s="1"/>
  <c r="R341" i="8"/>
  <c r="S341" i="8" s="1"/>
  <c r="O341" i="8"/>
  <c r="M341" i="8"/>
  <c r="N341" i="8"/>
  <c r="P341" i="8" s="1"/>
  <c r="S340" i="8"/>
  <c r="R340" i="8"/>
  <c r="T340" i="8" s="1"/>
  <c r="O340" i="8"/>
  <c r="M340" i="8"/>
  <c r="N340" i="8"/>
  <c r="P340" i="8" s="1"/>
  <c r="R339" i="8"/>
  <c r="T339" i="8" s="1"/>
  <c r="O339" i="8"/>
  <c r="M339" i="8"/>
  <c r="N339" i="8"/>
  <c r="P339" i="8" s="1"/>
  <c r="R338" i="8"/>
  <c r="T338" i="8" s="1"/>
  <c r="O338" i="8"/>
  <c r="M338" i="8"/>
  <c r="N338" i="8"/>
  <c r="P338" i="8" s="1"/>
  <c r="R337" i="8"/>
  <c r="O337" i="8"/>
  <c r="N337" i="8"/>
  <c r="P337" i="8" s="1"/>
  <c r="M337" i="8"/>
  <c r="R336" i="8"/>
  <c r="T336" i="8" s="1"/>
  <c r="O336" i="8"/>
  <c r="M336" i="8"/>
  <c r="N336" i="8"/>
  <c r="P336" i="8" s="1"/>
  <c r="R335" i="8"/>
  <c r="S335" i="8" s="1"/>
  <c r="O335" i="8"/>
  <c r="M335" i="8"/>
  <c r="N335" i="8"/>
  <c r="P335" i="8" s="1"/>
  <c r="R334" i="8"/>
  <c r="O334" i="8"/>
  <c r="M334" i="8"/>
  <c r="N334" i="8"/>
  <c r="P334" i="8" s="1"/>
  <c r="R333" i="8"/>
  <c r="T333" i="8" s="1"/>
  <c r="O333" i="8"/>
  <c r="M333" i="8"/>
  <c r="N333" i="8"/>
  <c r="P333" i="8" s="1"/>
  <c r="T332" i="8"/>
  <c r="R332" i="8"/>
  <c r="S332" i="8" s="1"/>
  <c r="O332" i="8"/>
  <c r="M332" i="8"/>
  <c r="N332" i="8"/>
  <c r="P332" i="8" s="1"/>
  <c r="R331" i="8"/>
  <c r="S331" i="8" s="1"/>
  <c r="O331" i="8"/>
  <c r="N331" i="8"/>
  <c r="P331" i="8" s="1"/>
  <c r="M331" i="8"/>
  <c r="R330" i="8"/>
  <c r="O330" i="8"/>
  <c r="M330" i="8"/>
  <c r="N330" i="8"/>
  <c r="P330" i="8" s="1"/>
  <c r="R329" i="8"/>
  <c r="T329" i="8" s="1"/>
  <c r="O329" i="8"/>
  <c r="M329" i="8"/>
  <c r="N329" i="8"/>
  <c r="P329" i="8" s="1"/>
  <c r="R328" i="8"/>
  <c r="S328" i="8" s="1"/>
  <c r="O328" i="8"/>
  <c r="M328" i="8"/>
  <c r="N328" i="8"/>
  <c r="P328" i="8" s="1"/>
  <c r="T327" i="8"/>
  <c r="S327" i="8"/>
  <c r="R327" i="8"/>
  <c r="O327" i="8"/>
  <c r="M327" i="8"/>
  <c r="N327" i="8"/>
  <c r="P327" i="8" s="1"/>
  <c r="R326" i="8"/>
  <c r="T326" i="8" s="1"/>
  <c r="O326" i="8"/>
  <c r="N326" i="8"/>
  <c r="P326" i="8" s="1"/>
  <c r="M326" i="8"/>
  <c r="R325" i="8"/>
  <c r="S325" i="8" s="1"/>
  <c r="O325" i="8"/>
  <c r="M325" i="8"/>
  <c r="N325" i="8"/>
  <c r="P325" i="8" s="1"/>
  <c r="R324" i="8"/>
  <c r="T324" i="8" s="1"/>
  <c r="O324" i="8"/>
  <c r="M324" i="8"/>
  <c r="N324" i="8"/>
  <c r="P324" i="8" s="1"/>
  <c r="R323" i="8"/>
  <c r="S323" i="8" s="1"/>
  <c r="O323" i="8"/>
  <c r="M323" i="8"/>
  <c r="N323" i="8"/>
  <c r="P323" i="8" s="1"/>
  <c r="R322" i="8"/>
  <c r="T322" i="8" s="1"/>
  <c r="O322" i="8"/>
  <c r="M322" i="8"/>
  <c r="N322" i="8"/>
  <c r="P322" i="8" s="1"/>
  <c r="T321" i="8"/>
  <c r="R321" i="8"/>
  <c r="S321" i="8" s="1"/>
  <c r="O321" i="8"/>
  <c r="M321" i="8"/>
  <c r="N321" i="8"/>
  <c r="P321" i="8" s="1"/>
  <c r="R320" i="8"/>
  <c r="S320" i="8" s="1"/>
  <c r="O320" i="8"/>
  <c r="M320" i="8"/>
  <c r="N320" i="8"/>
  <c r="P320" i="8" s="1"/>
  <c r="R319" i="8"/>
  <c r="T319" i="8" s="1"/>
  <c r="O319" i="8"/>
  <c r="M319" i="8"/>
  <c r="N319" i="8"/>
  <c r="P319" i="8" s="1"/>
  <c r="R318" i="8"/>
  <c r="T318" i="8" s="1"/>
  <c r="O318" i="8"/>
  <c r="N318" i="8"/>
  <c r="P318" i="8" s="1"/>
  <c r="M318" i="8"/>
  <c r="R317" i="8"/>
  <c r="O317" i="8"/>
  <c r="N317" i="8"/>
  <c r="P317" i="8" s="1"/>
  <c r="M317" i="8"/>
  <c r="R316" i="8"/>
  <c r="O316" i="8"/>
  <c r="M316" i="8"/>
  <c r="N316" i="8"/>
  <c r="P316" i="8" s="1"/>
  <c r="R315" i="8"/>
  <c r="S315" i="8" s="1"/>
  <c r="O315" i="8"/>
  <c r="M315" i="8"/>
  <c r="N315" i="8"/>
  <c r="P315" i="8" s="1"/>
  <c r="R314" i="8"/>
  <c r="T314" i="8" s="1"/>
  <c r="O314" i="8"/>
  <c r="M314" i="8"/>
  <c r="N314" i="8"/>
  <c r="P314" i="8" s="1"/>
  <c r="T313" i="8"/>
  <c r="S313" i="8"/>
  <c r="R313" i="8"/>
  <c r="O313" i="8"/>
  <c r="M313" i="8"/>
  <c r="N313" i="8"/>
  <c r="P313" i="8" s="1"/>
  <c r="T312" i="8"/>
  <c r="R312" i="8"/>
  <c r="S312" i="8" s="1"/>
  <c r="O312" i="8"/>
  <c r="M312" i="8"/>
  <c r="N312" i="8"/>
  <c r="P312" i="8" s="1"/>
  <c r="R311" i="8"/>
  <c r="S311" i="8" s="1"/>
  <c r="O311" i="8"/>
  <c r="M311" i="8"/>
  <c r="N311" i="8"/>
  <c r="P311" i="8" s="1"/>
  <c r="R310" i="8"/>
  <c r="S310" i="8" s="1"/>
  <c r="O310" i="8"/>
  <c r="M310" i="8"/>
  <c r="N310" i="8"/>
  <c r="P310" i="8" s="1"/>
  <c r="R309" i="8"/>
  <c r="T309" i="8" s="1"/>
  <c r="O309" i="8"/>
  <c r="M309" i="8"/>
  <c r="N309" i="8"/>
  <c r="P309" i="8" s="1"/>
  <c r="R308" i="8"/>
  <c r="T308" i="8" s="1"/>
  <c r="O308" i="8"/>
  <c r="M308" i="8"/>
  <c r="N308" i="8"/>
  <c r="P308" i="8" s="1"/>
  <c r="R307" i="8"/>
  <c r="T307" i="8" s="1"/>
  <c r="O307" i="8"/>
  <c r="M307" i="8"/>
  <c r="N307" i="8"/>
  <c r="P307" i="8" s="1"/>
  <c r="R306" i="8"/>
  <c r="S306" i="8" s="1"/>
  <c r="O306" i="8"/>
  <c r="M306" i="8"/>
  <c r="N306" i="8"/>
  <c r="P306" i="8" s="1"/>
  <c r="R305" i="8"/>
  <c r="T305" i="8" s="1"/>
  <c r="O305" i="8"/>
  <c r="M305" i="8"/>
  <c r="N305" i="8"/>
  <c r="P305" i="8" s="1"/>
  <c r="R304" i="8"/>
  <c r="T304" i="8" s="1"/>
  <c r="O304" i="8"/>
  <c r="N304" i="8"/>
  <c r="P304" i="8" s="1"/>
  <c r="M304" i="8"/>
  <c r="R303" i="8"/>
  <c r="S303" i="8" s="1"/>
  <c r="O303" i="8"/>
  <c r="N303" i="8"/>
  <c r="P303" i="8" s="1"/>
  <c r="M303" i="8"/>
  <c r="S302" i="8"/>
  <c r="R302" i="8"/>
  <c r="T302" i="8" s="1"/>
  <c r="O302" i="8"/>
  <c r="M302" i="8"/>
  <c r="N302" i="8"/>
  <c r="P302" i="8" s="1"/>
  <c r="R301" i="8"/>
  <c r="T301" i="8" s="1"/>
  <c r="O301" i="8"/>
  <c r="M301" i="8"/>
  <c r="N301" i="8"/>
  <c r="P301" i="8" s="1"/>
  <c r="T300" i="8"/>
  <c r="S300" i="8"/>
  <c r="R300" i="8"/>
  <c r="O300" i="8"/>
  <c r="M300" i="8"/>
  <c r="N300" i="8"/>
  <c r="P300" i="8" s="1"/>
  <c r="R299" i="8"/>
  <c r="S299" i="8" s="1"/>
  <c r="O299" i="8"/>
  <c r="M299" i="8"/>
  <c r="N299" i="8"/>
  <c r="P299" i="8" s="1"/>
  <c r="R298" i="8"/>
  <c r="T298" i="8" s="1"/>
  <c r="O298" i="8"/>
  <c r="M298" i="8"/>
  <c r="N298" i="8"/>
  <c r="P298" i="8" s="1"/>
  <c r="R297" i="8"/>
  <c r="T297" i="8" s="1"/>
  <c r="O297" i="8"/>
  <c r="M297" i="8"/>
  <c r="N297" i="8"/>
  <c r="P297" i="8" s="1"/>
  <c r="R296" i="8"/>
  <c r="T296" i="8" s="1"/>
  <c r="O296" i="8"/>
  <c r="M296" i="8"/>
  <c r="N296" i="8"/>
  <c r="P296" i="8" s="1"/>
  <c r="R295" i="8"/>
  <c r="O295" i="8"/>
  <c r="M295" i="8"/>
  <c r="N295" i="8"/>
  <c r="P295" i="8" s="1"/>
  <c r="R294" i="8"/>
  <c r="O294" i="8"/>
  <c r="M294" i="8"/>
  <c r="N294" i="8"/>
  <c r="P294" i="8" s="1"/>
  <c r="R293" i="8"/>
  <c r="T293" i="8" s="1"/>
  <c r="O293" i="8"/>
  <c r="M293" i="8"/>
  <c r="N293" i="8"/>
  <c r="P293" i="8" s="1"/>
  <c r="T292" i="8"/>
  <c r="S292" i="8"/>
  <c r="R292" i="8"/>
  <c r="O292" i="8"/>
  <c r="M292" i="8"/>
  <c r="N292" i="8"/>
  <c r="P292" i="8" s="1"/>
  <c r="R291" i="8"/>
  <c r="O291" i="8"/>
  <c r="M291" i="8"/>
  <c r="N291" i="8"/>
  <c r="P291" i="8" s="1"/>
  <c r="R290" i="8"/>
  <c r="O290" i="8"/>
  <c r="M290" i="8"/>
  <c r="N290" i="8"/>
  <c r="P290" i="8" s="1"/>
  <c r="R289" i="8"/>
  <c r="T289" i="8" s="1"/>
  <c r="O289" i="8"/>
  <c r="M289" i="8"/>
  <c r="N289" i="8"/>
  <c r="P289" i="8" s="1"/>
  <c r="T288" i="8"/>
  <c r="R288" i="8"/>
  <c r="S288" i="8" s="1"/>
  <c r="O288" i="8"/>
  <c r="M288" i="8"/>
  <c r="N288" i="8"/>
  <c r="P288" i="8" s="1"/>
  <c r="R287" i="8"/>
  <c r="S287" i="8" s="1"/>
  <c r="O287" i="8"/>
  <c r="M287" i="8"/>
  <c r="N287" i="8"/>
  <c r="P287" i="8" s="1"/>
  <c r="R286" i="8"/>
  <c r="T286" i="8" s="1"/>
  <c r="O286" i="8"/>
  <c r="N286" i="8"/>
  <c r="P286" i="8" s="1"/>
  <c r="M286" i="8"/>
  <c r="R285" i="8"/>
  <c r="O285" i="8"/>
  <c r="M285" i="8"/>
  <c r="N285" i="8"/>
  <c r="P285" i="8" s="1"/>
  <c r="T284" i="8"/>
  <c r="R284" i="8"/>
  <c r="S284" i="8" s="1"/>
  <c r="O284" i="8"/>
  <c r="M284" i="8"/>
  <c r="N284" i="8"/>
  <c r="P284" i="8" s="1"/>
  <c r="R283" i="8"/>
  <c r="S283" i="8" s="1"/>
  <c r="O283" i="8"/>
  <c r="N283" i="8"/>
  <c r="P283" i="8" s="1"/>
  <c r="M283" i="8"/>
  <c r="R282" i="8"/>
  <c r="S282" i="8" s="1"/>
  <c r="O282" i="8"/>
  <c r="M282" i="8"/>
  <c r="N282" i="8"/>
  <c r="P282" i="8" s="1"/>
  <c r="T281" i="8"/>
  <c r="S281" i="8"/>
  <c r="R281" i="8"/>
  <c r="O281" i="8"/>
  <c r="M281" i="8"/>
  <c r="N281" i="8"/>
  <c r="P281" i="8" s="1"/>
  <c r="T280" i="8"/>
  <c r="R280" i="8"/>
  <c r="S280" i="8" s="1"/>
  <c r="O280" i="8"/>
  <c r="M280" i="8"/>
  <c r="N280" i="8"/>
  <c r="P280" i="8" s="1"/>
  <c r="T279" i="8"/>
  <c r="S279" i="8"/>
  <c r="R279" i="8"/>
  <c r="O279" i="8"/>
  <c r="N279" i="8"/>
  <c r="P279" i="8" s="1"/>
  <c r="M279" i="8"/>
  <c r="R278" i="8"/>
  <c r="T278" i="8" s="1"/>
  <c r="O278" i="8"/>
  <c r="M278" i="8"/>
  <c r="N278" i="8"/>
  <c r="P278" i="8" s="1"/>
  <c r="R277" i="8"/>
  <c r="T277" i="8" s="1"/>
  <c r="O277" i="8"/>
  <c r="N277" i="8"/>
  <c r="P277" i="8" s="1"/>
  <c r="M277" i="8"/>
  <c r="R276" i="8"/>
  <c r="S276" i="8" s="1"/>
  <c r="O276" i="8"/>
  <c r="M276" i="8"/>
  <c r="N276" i="8"/>
  <c r="P276" i="8" s="1"/>
  <c r="T275" i="8"/>
  <c r="R275" i="8"/>
  <c r="S275" i="8" s="1"/>
  <c r="O275" i="8"/>
  <c r="M275" i="8"/>
  <c r="N275" i="8"/>
  <c r="P275" i="8" s="1"/>
  <c r="R274" i="8"/>
  <c r="T274" i="8" s="1"/>
  <c r="O274" i="8"/>
  <c r="M274" i="8"/>
  <c r="N274" i="8"/>
  <c r="P274" i="8" s="1"/>
  <c r="T273" i="8"/>
  <c r="S273" i="8"/>
  <c r="R273" i="8"/>
  <c r="O273" i="8"/>
  <c r="M273" i="8"/>
  <c r="N273" i="8"/>
  <c r="P273" i="8" s="1"/>
  <c r="T272" i="8"/>
  <c r="R272" i="8"/>
  <c r="S272" i="8" s="1"/>
  <c r="O272" i="8"/>
  <c r="M272" i="8"/>
  <c r="N272" i="8"/>
  <c r="P272" i="8" s="1"/>
  <c r="R271" i="8"/>
  <c r="T271" i="8" s="1"/>
  <c r="O271" i="8"/>
  <c r="M271" i="8"/>
  <c r="N271" i="8"/>
  <c r="P271" i="8" s="1"/>
  <c r="T270" i="8"/>
  <c r="S270" i="8"/>
  <c r="R270" i="8"/>
  <c r="O270" i="8"/>
  <c r="M270" i="8"/>
  <c r="N270" i="8"/>
  <c r="P270" i="8" s="1"/>
  <c r="R269" i="8"/>
  <c r="T269" i="8" s="1"/>
  <c r="O269" i="8"/>
  <c r="M269" i="8"/>
  <c r="N269" i="8"/>
  <c r="P269" i="8" s="1"/>
  <c r="R268" i="8"/>
  <c r="O268" i="8"/>
  <c r="M268" i="8"/>
  <c r="N268" i="8"/>
  <c r="P268" i="8" s="1"/>
  <c r="T267" i="8"/>
  <c r="R267" i="8"/>
  <c r="S267" i="8" s="1"/>
  <c r="O267" i="8"/>
  <c r="M267" i="8"/>
  <c r="N267" i="8"/>
  <c r="P267" i="8" s="1"/>
  <c r="R266" i="8"/>
  <c r="T266" i="8" s="1"/>
  <c r="O266" i="8"/>
  <c r="N266" i="8"/>
  <c r="P266" i="8" s="1"/>
  <c r="M266" i="8"/>
  <c r="R265" i="8"/>
  <c r="T265" i="8" s="1"/>
  <c r="O265" i="8"/>
  <c r="M265" i="8"/>
  <c r="N265" i="8"/>
  <c r="P265" i="8" s="1"/>
  <c r="R264" i="8"/>
  <c r="T264" i="8" s="1"/>
  <c r="O264" i="8"/>
  <c r="N264" i="8"/>
  <c r="P264" i="8" s="1"/>
  <c r="M264" i="8"/>
  <c r="R263" i="8"/>
  <c r="S263" i="8" s="1"/>
  <c r="O263" i="8"/>
  <c r="M263" i="8"/>
  <c r="N263" i="8"/>
  <c r="P263" i="8" s="1"/>
  <c r="R262" i="8"/>
  <c r="T262" i="8" s="1"/>
  <c r="O262" i="8"/>
  <c r="N262" i="8"/>
  <c r="P262" i="8" s="1"/>
  <c r="M262" i="8"/>
  <c r="R261" i="8"/>
  <c r="T261" i="8" s="1"/>
  <c r="O261" i="8"/>
  <c r="M261" i="8"/>
  <c r="N261" i="8"/>
  <c r="P261" i="8" s="1"/>
  <c r="R260" i="8"/>
  <c r="O260" i="8"/>
  <c r="M260" i="8"/>
  <c r="N260" i="8"/>
  <c r="P260" i="8" s="1"/>
  <c r="T259" i="8"/>
  <c r="S259" i="8"/>
  <c r="R259" i="8"/>
  <c r="O259" i="8"/>
  <c r="M259" i="8"/>
  <c r="N259" i="8"/>
  <c r="P259" i="8" s="1"/>
  <c r="R258" i="8"/>
  <c r="O258" i="8"/>
  <c r="M258" i="8"/>
  <c r="N258" i="8"/>
  <c r="P258" i="8" s="1"/>
  <c r="R257" i="8"/>
  <c r="T257" i="8" s="1"/>
  <c r="O257" i="8"/>
  <c r="M257" i="8"/>
  <c r="N257" i="8"/>
  <c r="P257" i="8" s="1"/>
  <c r="R256" i="8"/>
  <c r="S256" i="8" s="1"/>
  <c r="O256" i="8"/>
  <c r="N256" i="8"/>
  <c r="P256" i="8" s="1"/>
  <c r="M256" i="8"/>
  <c r="R255" i="8"/>
  <c r="O255" i="8"/>
  <c r="M255" i="8"/>
  <c r="N255" i="8"/>
  <c r="P255" i="8" s="1"/>
  <c r="R254" i="8"/>
  <c r="T254" i="8" s="1"/>
  <c r="O254" i="8"/>
  <c r="M254" i="8"/>
  <c r="N254" i="8"/>
  <c r="P254" i="8" s="1"/>
  <c r="R253" i="8"/>
  <c r="S253" i="8" s="1"/>
  <c r="O253" i="8"/>
  <c r="M253" i="8"/>
  <c r="N253" i="8"/>
  <c r="P253" i="8" s="1"/>
  <c r="T252" i="8"/>
  <c r="R252" i="8"/>
  <c r="S252" i="8" s="1"/>
  <c r="O252" i="8"/>
  <c r="M252" i="8"/>
  <c r="N252" i="8"/>
  <c r="P252" i="8" s="1"/>
  <c r="R251" i="8"/>
  <c r="O251" i="8"/>
  <c r="M251" i="8"/>
  <c r="N251" i="8"/>
  <c r="P251" i="8" s="1"/>
  <c r="R250" i="8"/>
  <c r="T250" i="8" s="1"/>
  <c r="O250" i="8"/>
  <c r="M250" i="8"/>
  <c r="N250" i="8"/>
  <c r="P250" i="8" s="1"/>
  <c r="R249" i="8"/>
  <c r="T249" i="8" s="1"/>
  <c r="O249" i="8"/>
  <c r="N249" i="8"/>
  <c r="P249" i="8" s="1"/>
  <c r="M249" i="8"/>
  <c r="R248" i="8"/>
  <c r="T248" i="8" s="1"/>
  <c r="O248" i="8"/>
  <c r="M248" i="8"/>
  <c r="N248" i="8"/>
  <c r="P248" i="8" s="1"/>
  <c r="R247" i="8"/>
  <c r="T247" i="8" s="1"/>
  <c r="O247" i="8"/>
  <c r="M247" i="8"/>
  <c r="N247" i="8"/>
  <c r="P247" i="8" s="1"/>
  <c r="T246" i="8"/>
  <c r="S246" i="8"/>
  <c r="R246" i="8"/>
  <c r="O246" i="8"/>
  <c r="M246" i="8"/>
  <c r="N246" i="8"/>
  <c r="P246" i="8" s="1"/>
  <c r="R245" i="8"/>
  <c r="S245" i="8" s="1"/>
  <c r="O245" i="8"/>
  <c r="N245" i="8"/>
  <c r="P245" i="8" s="1"/>
  <c r="M245" i="8"/>
  <c r="R244" i="8"/>
  <c r="T244" i="8" s="1"/>
  <c r="O244" i="8"/>
  <c r="M244" i="8"/>
  <c r="N244" i="8"/>
  <c r="P244" i="8" s="1"/>
  <c r="R243" i="8"/>
  <c r="S243" i="8" s="1"/>
  <c r="O243" i="8"/>
  <c r="M243" i="8"/>
  <c r="N243" i="8"/>
  <c r="P243" i="8" s="1"/>
  <c r="R242" i="8"/>
  <c r="T242" i="8" s="1"/>
  <c r="O242" i="8"/>
  <c r="N242" i="8"/>
  <c r="P242" i="8" s="1"/>
  <c r="M242" i="8"/>
  <c r="R241" i="8"/>
  <c r="T241" i="8" s="1"/>
  <c r="O241" i="8"/>
  <c r="M241" i="8"/>
  <c r="N241" i="8"/>
  <c r="P241" i="8" s="1"/>
  <c r="R240" i="8"/>
  <c r="T240" i="8" s="1"/>
  <c r="O240" i="8"/>
  <c r="M240" i="8"/>
  <c r="N240" i="8"/>
  <c r="P240" i="8" s="1"/>
  <c r="R239" i="8"/>
  <c r="S239" i="8" s="1"/>
  <c r="O239" i="8"/>
  <c r="M239" i="8"/>
  <c r="N239" i="8"/>
  <c r="P239" i="8" s="1"/>
  <c r="R238" i="8"/>
  <c r="T238" i="8" s="1"/>
  <c r="O238" i="8"/>
  <c r="M238" i="8"/>
  <c r="N238" i="8"/>
  <c r="P238" i="8" s="1"/>
  <c r="R237" i="8"/>
  <c r="T237" i="8" s="1"/>
  <c r="O237" i="8"/>
  <c r="M237" i="8"/>
  <c r="N237" i="8"/>
  <c r="P237" i="8" s="1"/>
  <c r="R236" i="8"/>
  <c r="T236" i="8" s="1"/>
  <c r="O236" i="8"/>
  <c r="M236" i="8"/>
  <c r="N236" i="8"/>
  <c r="P236" i="8" s="1"/>
  <c r="R235" i="8"/>
  <c r="T235" i="8" s="1"/>
  <c r="O235" i="8"/>
  <c r="M235" i="8"/>
  <c r="N235" i="8"/>
  <c r="P235" i="8" s="1"/>
  <c r="R234" i="8"/>
  <c r="O234" i="8"/>
  <c r="M234" i="8"/>
  <c r="N234" i="8"/>
  <c r="P234" i="8" s="1"/>
  <c r="R233" i="8"/>
  <c r="T233" i="8" s="1"/>
  <c r="O233" i="8"/>
  <c r="M233" i="8"/>
  <c r="N233" i="8"/>
  <c r="P233" i="8" s="1"/>
  <c r="T232" i="8"/>
  <c r="R232" i="8"/>
  <c r="S232" i="8" s="1"/>
  <c r="O232" i="8"/>
  <c r="N232" i="8"/>
  <c r="P232" i="8" s="1"/>
  <c r="M232" i="8"/>
  <c r="R231" i="8"/>
  <c r="S231" i="8" s="1"/>
  <c r="O231" i="8"/>
  <c r="M231" i="8"/>
  <c r="N231" i="8"/>
  <c r="P231" i="8" s="1"/>
  <c r="R230" i="8"/>
  <c r="T230" i="8" s="1"/>
  <c r="O230" i="8"/>
  <c r="M230" i="8"/>
  <c r="N230" i="8"/>
  <c r="P230" i="8" s="1"/>
  <c r="T229" i="8"/>
  <c r="S229" i="8"/>
  <c r="R229" i="8"/>
  <c r="O229" i="8"/>
  <c r="M229" i="8"/>
  <c r="N229" i="8"/>
  <c r="P229" i="8" s="1"/>
  <c r="R228" i="8"/>
  <c r="T228" i="8" s="1"/>
  <c r="O228" i="8"/>
  <c r="M228" i="8"/>
  <c r="N228" i="8"/>
  <c r="P228" i="8" s="1"/>
  <c r="R227" i="8"/>
  <c r="T227" i="8" s="1"/>
  <c r="O227" i="8"/>
  <c r="M227" i="8"/>
  <c r="N227" i="8"/>
  <c r="P227" i="8" s="1"/>
  <c r="R226" i="8"/>
  <c r="T226" i="8" s="1"/>
  <c r="O226" i="8"/>
  <c r="N226" i="8"/>
  <c r="P226" i="8" s="1"/>
  <c r="M226" i="8"/>
  <c r="R225" i="8"/>
  <c r="T225" i="8" s="1"/>
  <c r="O225" i="8"/>
  <c r="M225" i="8"/>
  <c r="N225" i="8"/>
  <c r="P225" i="8" s="1"/>
  <c r="R224" i="8"/>
  <c r="T224" i="8" s="1"/>
  <c r="O224" i="8"/>
  <c r="M224" i="8"/>
  <c r="N224" i="8"/>
  <c r="P224" i="8" s="1"/>
  <c r="R223" i="8"/>
  <c r="O223" i="8"/>
  <c r="M223" i="8"/>
  <c r="N223" i="8"/>
  <c r="P223" i="8" s="1"/>
  <c r="T222" i="8"/>
  <c r="S222" i="8"/>
  <c r="R222" i="8"/>
  <c r="O222" i="8"/>
  <c r="M222" i="8"/>
  <c r="N222" i="8"/>
  <c r="P222" i="8" s="1"/>
  <c r="R221" i="8"/>
  <c r="S221" i="8" s="1"/>
  <c r="O221" i="8"/>
  <c r="M221" i="8"/>
  <c r="N221" i="8"/>
  <c r="P221" i="8" s="1"/>
  <c r="R220" i="8"/>
  <c r="S220" i="8" s="1"/>
  <c r="O220" i="8"/>
  <c r="M220" i="8"/>
  <c r="N220" i="8"/>
  <c r="P220" i="8" s="1"/>
  <c r="R219" i="8"/>
  <c r="T219" i="8" s="1"/>
  <c r="O219" i="8"/>
  <c r="N219" i="8"/>
  <c r="P219" i="8" s="1"/>
  <c r="M219" i="8"/>
  <c r="R218" i="8"/>
  <c r="T218" i="8" s="1"/>
  <c r="O218" i="8"/>
  <c r="M218" i="8"/>
  <c r="N218" i="8"/>
  <c r="P218" i="8" s="1"/>
  <c r="R217" i="8"/>
  <c r="S217" i="8" s="1"/>
  <c r="O217" i="8"/>
  <c r="M217" i="8"/>
  <c r="N217" i="8"/>
  <c r="P217" i="8" s="1"/>
  <c r="R216" i="8"/>
  <c r="S216" i="8" s="1"/>
  <c r="O216" i="8"/>
  <c r="M216" i="8"/>
  <c r="N216" i="8"/>
  <c r="P216" i="8" s="1"/>
  <c r="R215" i="8"/>
  <c r="T215" i="8" s="1"/>
  <c r="O215" i="8"/>
  <c r="M215" i="8"/>
  <c r="N215" i="8"/>
  <c r="P215" i="8" s="1"/>
  <c r="R214" i="8"/>
  <c r="O214" i="8"/>
  <c r="M214" i="8"/>
  <c r="N214" i="8"/>
  <c r="P214" i="8" s="1"/>
  <c r="T213" i="8"/>
  <c r="S213" i="8"/>
  <c r="R213" i="8"/>
  <c r="O213" i="8"/>
  <c r="M213" i="8"/>
  <c r="N213" i="8"/>
  <c r="P213" i="8" s="1"/>
  <c r="R212" i="8"/>
  <c r="T212" i="8" s="1"/>
  <c r="O212" i="8"/>
  <c r="N212" i="8"/>
  <c r="P212" i="8" s="1"/>
  <c r="M212" i="8"/>
  <c r="R211" i="8"/>
  <c r="O211" i="8"/>
  <c r="M211" i="8"/>
  <c r="N211" i="8"/>
  <c r="P211" i="8" s="1"/>
  <c r="R210" i="8"/>
  <c r="T210" i="8" s="1"/>
  <c r="O210" i="8"/>
  <c r="M210" i="8"/>
  <c r="N210" i="8"/>
  <c r="P210" i="8" s="1"/>
  <c r="S209" i="8"/>
  <c r="R209" i="8"/>
  <c r="T209" i="8" s="1"/>
  <c r="O209" i="8"/>
  <c r="N209" i="8"/>
  <c r="P209" i="8" s="1"/>
  <c r="M209" i="8"/>
  <c r="R208" i="8"/>
  <c r="S208" i="8" s="1"/>
  <c r="O208" i="8"/>
  <c r="M208" i="8"/>
  <c r="N208" i="8"/>
  <c r="P208" i="8" s="1"/>
  <c r="R207" i="8"/>
  <c r="O207" i="8"/>
  <c r="M207" i="8"/>
  <c r="N207" i="8"/>
  <c r="P207" i="8" s="1"/>
  <c r="T206" i="8"/>
  <c r="R206" i="8"/>
  <c r="S206" i="8" s="1"/>
  <c r="O206" i="8"/>
  <c r="M206" i="8"/>
  <c r="N206" i="8"/>
  <c r="P206" i="8" s="1"/>
  <c r="R205" i="8"/>
  <c r="T205" i="8" s="1"/>
  <c r="O205" i="8"/>
  <c r="M205" i="8"/>
  <c r="N205" i="8"/>
  <c r="P205" i="8" s="1"/>
  <c r="R204" i="8"/>
  <c r="T204" i="8" s="1"/>
  <c r="O204" i="8"/>
  <c r="M204" i="8"/>
  <c r="N204" i="8"/>
  <c r="P204" i="8" s="1"/>
  <c r="R203" i="8"/>
  <c r="T203" i="8" s="1"/>
  <c r="O203" i="8"/>
  <c r="N203" i="8"/>
  <c r="P203" i="8" s="1"/>
  <c r="M203" i="8"/>
  <c r="R202" i="8"/>
  <c r="O202" i="8"/>
  <c r="M202" i="8"/>
  <c r="N202" i="8"/>
  <c r="P202" i="8" s="1"/>
  <c r="R201" i="8"/>
  <c r="T201" i="8" s="1"/>
  <c r="O201" i="8"/>
  <c r="M201" i="8"/>
  <c r="N201" i="8"/>
  <c r="P201" i="8" s="1"/>
  <c r="R200" i="8"/>
  <c r="T200" i="8" s="1"/>
  <c r="O200" i="8"/>
  <c r="N200" i="8"/>
  <c r="P200" i="8" s="1"/>
  <c r="M200" i="8"/>
  <c r="R199" i="8"/>
  <c r="T199" i="8" s="1"/>
  <c r="O199" i="8"/>
  <c r="M199" i="8"/>
  <c r="N199" i="8"/>
  <c r="P199" i="8" s="1"/>
  <c r="T198" i="8"/>
  <c r="R198" i="8"/>
  <c r="S198" i="8" s="1"/>
  <c r="O198" i="8"/>
  <c r="M198" i="8"/>
  <c r="N198" i="8"/>
  <c r="P198" i="8" s="1"/>
  <c r="T197" i="8"/>
  <c r="S197" i="8"/>
  <c r="R197" i="8"/>
  <c r="O197" i="8"/>
  <c r="M197" i="8"/>
  <c r="N197" i="8"/>
  <c r="P197" i="8" s="1"/>
  <c r="T196" i="8"/>
  <c r="S196" i="8"/>
  <c r="R196" i="8"/>
  <c r="O196" i="8"/>
  <c r="M196" i="8"/>
  <c r="N196" i="8"/>
  <c r="P196" i="8" s="1"/>
  <c r="R195" i="8"/>
  <c r="T195" i="8" s="1"/>
  <c r="O195" i="8"/>
  <c r="M195" i="8"/>
  <c r="N195" i="8"/>
  <c r="P195" i="8" s="1"/>
  <c r="R194" i="8"/>
  <c r="T194" i="8" s="1"/>
  <c r="O194" i="8"/>
  <c r="M194" i="8"/>
  <c r="N194" i="8"/>
  <c r="P194" i="8" s="1"/>
  <c r="R193" i="8"/>
  <c r="O193" i="8"/>
  <c r="M193" i="8"/>
  <c r="N193" i="8"/>
  <c r="P193" i="8" s="1"/>
  <c r="R192" i="8"/>
  <c r="T192" i="8" s="1"/>
  <c r="O192" i="8"/>
  <c r="M192" i="8"/>
  <c r="N192" i="8"/>
  <c r="P192" i="8" s="1"/>
  <c r="R191" i="8"/>
  <c r="T191" i="8" s="1"/>
  <c r="O191" i="8"/>
  <c r="N191" i="8"/>
  <c r="P191" i="8" s="1"/>
  <c r="M191" i="8"/>
  <c r="R190" i="8"/>
  <c r="T190" i="8" s="1"/>
  <c r="O190" i="8"/>
  <c r="M190" i="8"/>
  <c r="N190" i="8"/>
  <c r="P190" i="8" s="1"/>
  <c r="R189" i="8"/>
  <c r="S189" i="8" s="1"/>
  <c r="O189" i="8"/>
  <c r="M189" i="8"/>
  <c r="N189" i="8"/>
  <c r="P189" i="8" s="1"/>
  <c r="R188" i="8"/>
  <c r="S188" i="8" s="1"/>
  <c r="O188" i="8"/>
  <c r="M188" i="8"/>
  <c r="N188" i="8"/>
  <c r="P188" i="8" s="1"/>
  <c r="R187" i="8"/>
  <c r="T187" i="8" s="1"/>
  <c r="O187" i="8"/>
  <c r="M187" i="8"/>
  <c r="N187" i="8"/>
  <c r="P187" i="8" s="1"/>
  <c r="R186" i="8"/>
  <c r="T186" i="8" s="1"/>
  <c r="O186" i="8"/>
  <c r="N186" i="8"/>
  <c r="P186" i="8" s="1"/>
  <c r="M186" i="8"/>
  <c r="T185" i="8"/>
  <c r="S185" i="8"/>
  <c r="R185" i="8"/>
  <c r="O185" i="8"/>
  <c r="M185" i="8"/>
  <c r="N185" i="8"/>
  <c r="P185" i="8" s="1"/>
  <c r="R184" i="8"/>
  <c r="T184" i="8" s="1"/>
  <c r="O184" i="8"/>
  <c r="M184" i="8"/>
  <c r="N184" i="8"/>
  <c r="P184" i="8" s="1"/>
  <c r="R183" i="8"/>
  <c r="T183" i="8" s="1"/>
  <c r="O183" i="8"/>
  <c r="N183" i="8"/>
  <c r="P183" i="8" s="1"/>
  <c r="M183" i="8"/>
  <c r="R182" i="8"/>
  <c r="T182" i="8" s="1"/>
  <c r="O182" i="8"/>
  <c r="M182" i="8"/>
  <c r="N182" i="8"/>
  <c r="P182" i="8" s="1"/>
  <c r="R181" i="8"/>
  <c r="T181" i="8" s="1"/>
  <c r="O181" i="8"/>
  <c r="M181" i="8"/>
  <c r="N181" i="8"/>
  <c r="P181" i="8" s="1"/>
  <c r="R180" i="8"/>
  <c r="S180" i="8" s="1"/>
  <c r="O180" i="8"/>
  <c r="M180" i="8"/>
  <c r="N180" i="8"/>
  <c r="P180" i="8" s="1"/>
  <c r="R179" i="8"/>
  <c r="T179" i="8" s="1"/>
  <c r="O179" i="8"/>
  <c r="M179" i="8"/>
  <c r="N179" i="8"/>
  <c r="P179" i="8" s="1"/>
  <c r="R178" i="8"/>
  <c r="T178" i="8" s="1"/>
  <c r="O178" i="8"/>
  <c r="M178" i="8"/>
  <c r="N178" i="8"/>
  <c r="P178" i="8" s="1"/>
  <c r="R177" i="8"/>
  <c r="T177" i="8" s="1"/>
  <c r="O177" i="8"/>
  <c r="N177" i="8"/>
  <c r="P177" i="8" s="1"/>
  <c r="M177" i="8"/>
  <c r="R176" i="8"/>
  <c r="T176" i="8" s="1"/>
  <c r="O176" i="8"/>
  <c r="M176" i="8"/>
  <c r="N176" i="8"/>
  <c r="P176" i="8" s="1"/>
  <c r="R175" i="8"/>
  <c r="S175" i="8" s="1"/>
  <c r="O175" i="8"/>
  <c r="M175" i="8"/>
  <c r="N175" i="8"/>
  <c r="P175" i="8" s="1"/>
  <c r="T174" i="8"/>
  <c r="S174" i="8"/>
  <c r="R174" i="8"/>
  <c r="O174" i="8"/>
  <c r="M174" i="8"/>
  <c r="N174" i="8"/>
  <c r="P174" i="8" s="1"/>
  <c r="R173" i="8"/>
  <c r="O173" i="8"/>
  <c r="M173" i="8"/>
  <c r="N173" i="8"/>
  <c r="P173" i="8" s="1"/>
  <c r="R172" i="8"/>
  <c r="O172" i="8"/>
  <c r="M172" i="8"/>
  <c r="N172" i="8"/>
  <c r="P172" i="8" s="1"/>
  <c r="R171" i="8"/>
  <c r="O171" i="8"/>
  <c r="M171" i="8"/>
  <c r="N171" i="8"/>
  <c r="P171" i="8" s="1"/>
  <c r="R170" i="8"/>
  <c r="T170" i="8" s="1"/>
  <c r="O170" i="8"/>
  <c r="M170" i="8"/>
  <c r="N170" i="8"/>
  <c r="P170" i="8" s="1"/>
  <c r="R169" i="8"/>
  <c r="S169" i="8" s="1"/>
  <c r="O169" i="8"/>
  <c r="M169" i="8"/>
  <c r="N169" i="8"/>
  <c r="P169" i="8" s="1"/>
  <c r="R168" i="8"/>
  <c r="O168" i="8"/>
  <c r="M168" i="8"/>
  <c r="N168" i="8"/>
  <c r="P168" i="8" s="1"/>
  <c r="R167" i="8"/>
  <c r="S167" i="8" s="1"/>
  <c r="O167" i="8"/>
  <c r="M167" i="8"/>
  <c r="N167" i="8"/>
  <c r="P167" i="8" s="1"/>
  <c r="R166" i="8"/>
  <c r="S166" i="8" s="1"/>
  <c r="O166" i="8"/>
  <c r="M166" i="8"/>
  <c r="N166" i="8"/>
  <c r="P166" i="8" s="1"/>
  <c r="R165" i="8"/>
  <c r="S165" i="8" s="1"/>
  <c r="O165" i="8"/>
  <c r="M165" i="8"/>
  <c r="N165" i="8"/>
  <c r="P165" i="8" s="1"/>
  <c r="R164" i="8"/>
  <c r="T164" i="8" s="1"/>
  <c r="O164" i="8"/>
  <c r="M164" i="8"/>
  <c r="N164" i="8"/>
  <c r="P164" i="8" s="1"/>
  <c r="R163" i="8"/>
  <c r="T163" i="8" s="1"/>
  <c r="O163" i="8"/>
  <c r="N163" i="8"/>
  <c r="P163" i="8" s="1"/>
  <c r="M163" i="8"/>
  <c r="R162" i="8"/>
  <c r="T162" i="8" s="1"/>
  <c r="O162" i="8"/>
  <c r="M162" i="8"/>
  <c r="N162" i="8"/>
  <c r="P162" i="8" s="1"/>
  <c r="R161" i="8"/>
  <c r="T161" i="8" s="1"/>
  <c r="O161" i="8"/>
  <c r="M161" i="8"/>
  <c r="N161" i="8"/>
  <c r="P161" i="8" s="1"/>
  <c r="R160" i="8"/>
  <c r="S160" i="8" s="1"/>
  <c r="O160" i="8"/>
  <c r="M160" i="8"/>
  <c r="N160" i="8"/>
  <c r="P160" i="8" s="1"/>
  <c r="R159" i="8"/>
  <c r="T159" i="8" s="1"/>
  <c r="O159" i="8"/>
  <c r="M159" i="8"/>
  <c r="N159" i="8"/>
  <c r="P159" i="8" s="1"/>
  <c r="R158" i="8"/>
  <c r="T158" i="8" s="1"/>
  <c r="O158" i="8"/>
  <c r="M158" i="8"/>
  <c r="N158" i="8"/>
  <c r="P158" i="8" s="1"/>
  <c r="R157" i="8"/>
  <c r="S157" i="8" s="1"/>
  <c r="O157" i="8"/>
  <c r="M157" i="8"/>
  <c r="N157" i="8"/>
  <c r="P157" i="8" s="1"/>
  <c r="R156" i="8"/>
  <c r="T156" i="8" s="1"/>
  <c r="O156" i="8"/>
  <c r="M156" i="8"/>
  <c r="N156" i="8"/>
  <c r="P156" i="8" s="1"/>
  <c r="R155" i="8"/>
  <c r="S155" i="8" s="1"/>
  <c r="O155" i="8"/>
  <c r="N155" i="8"/>
  <c r="P155" i="8" s="1"/>
  <c r="M155" i="8"/>
  <c r="R154" i="8"/>
  <c r="S154" i="8" s="1"/>
  <c r="O154" i="8"/>
  <c r="M154" i="8"/>
  <c r="N154" i="8"/>
  <c r="P154" i="8" s="1"/>
  <c r="R153" i="8"/>
  <c r="O153" i="8"/>
  <c r="M153" i="8"/>
  <c r="N153" i="8"/>
  <c r="P153" i="8" s="1"/>
  <c r="R152" i="8"/>
  <c r="T152" i="8" s="1"/>
  <c r="O152" i="8"/>
  <c r="M152" i="8"/>
  <c r="N152" i="8"/>
  <c r="P152" i="8" s="1"/>
  <c r="R151" i="8"/>
  <c r="T151" i="8" s="1"/>
  <c r="O151" i="8"/>
  <c r="M151" i="8"/>
  <c r="N151" i="8"/>
  <c r="P151" i="8" s="1"/>
  <c r="T150" i="8"/>
  <c r="R150" i="8"/>
  <c r="S150" i="8" s="1"/>
  <c r="O150" i="8"/>
  <c r="M150" i="8"/>
  <c r="N150" i="8"/>
  <c r="P150" i="8" s="1"/>
  <c r="R149" i="8"/>
  <c r="T149" i="8" s="1"/>
  <c r="O149" i="8"/>
  <c r="M149" i="8"/>
  <c r="N149" i="8"/>
  <c r="P149" i="8" s="1"/>
  <c r="R148" i="8"/>
  <c r="S148" i="8" s="1"/>
  <c r="O148" i="8"/>
  <c r="M148" i="8"/>
  <c r="N148" i="8"/>
  <c r="P148" i="8" s="1"/>
  <c r="R147" i="8"/>
  <c r="T147" i="8" s="1"/>
  <c r="O147" i="8"/>
  <c r="M147" i="8"/>
  <c r="N147" i="8"/>
  <c r="P147" i="8" s="1"/>
  <c r="R146" i="8"/>
  <c r="T146" i="8" s="1"/>
  <c r="O146" i="8"/>
  <c r="M146" i="8"/>
  <c r="N146" i="8"/>
  <c r="P146" i="8" s="1"/>
  <c r="R145" i="8"/>
  <c r="T145" i="8" s="1"/>
  <c r="O145" i="8"/>
  <c r="M145" i="8"/>
  <c r="N145" i="8"/>
  <c r="P145" i="8" s="1"/>
  <c r="R144" i="8"/>
  <c r="T144" i="8" s="1"/>
  <c r="O144" i="8"/>
  <c r="M144" i="8"/>
  <c r="N144" i="8"/>
  <c r="P144" i="8" s="1"/>
  <c r="R143" i="8"/>
  <c r="S143" i="8" s="1"/>
  <c r="O143" i="8"/>
  <c r="M143" i="8"/>
  <c r="N143" i="8"/>
  <c r="P143" i="8" s="1"/>
  <c r="R142" i="8"/>
  <c r="T142" i="8" s="1"/>
  <c r="O142" i="8"/>
  <c r="M142" i="8"/>
  <c r="N142" i="8"/>
  <c r="P142" i="8" s="1"/>
  <c r="R141" i="8"/>
  <c r="T141" i="8" s="1"/>
  <c r="O141" i="8"/>
  <c r="N141" i="8"/>
  <c r="P141" i="8" s="1"/>
  <c r="M141" i="8"/>
  <c r="R140" i="8"/>
  <c r="O140" i="8"/>
  <c r="N140" i="8"/>
  <c r="P140" i="8" s="1"/>
  <c r="M140" i="8"/>
  <c r="R139" i="8"/>
  <c r="T139" i="8" s="1"/>
  <c r="O139" i="8"/>
  <c r="M139" i="8"/>
  <c r="N139" i="8"/>
  <c r="P139" i="8" s="1"/>
  <c r="R138" i="8"/>
  <c r="S138" i="8" s="1"/>
  <c r="O138" i="8"/>
  <c r="M138" i="8"/>
  <c r="N138" i="8"/>
  <c r="P138" i="8" s="1"/>
  <c r="T137" i="8"/>
  <c r="R137" i="8"/>
  <c r="S137" i="8" s="1"/>
  <c r="O137" i="8"/>
  <c r="M137" i="8"/>
  <c r="N137" i="8"/>
  <c r="P137" i="8" s="1"/>
  <c r="R136" i="8"/>
  <c r="T136" i="8" s="1"/>
  <c r="O136" i="8"/>
  <c r="M136" i="8"/>
  <c r="N136" i="8"/>
  <c r="P136" i="8" s="1"/>
  <c r="R135" i="8"/>
  <c r="T135" i="8" s="1"/>
  <c r="O135" i="8"/>
  <c r="M135" i="8"/>
  <c r="N135" i="8"/>
  <c r="P135" i="8" s="1"/>
  <c r="R134" i="8"/>
  <c r="T134" i="8" s="1"/>
  <c r="O134" i="8"/>
  <c r="N134" i="8"/>
  <c r="P134" i="8" s="1"/>
  <c r="M134" i="8"/>
  <c r="R133" i="8"/>
  <c r="O133" i="8"/>
  <c r="M133" i="8"/>
  <c r="N133" i="8"/>
  <c r="P133" i="8" s="1"/>
  <c r="R132" i="8"/>
  <c r="T132" i="8" s="1"/>
  <c r="O132" i="8"/>
  <c r="M132" i="8"/>
  <c r="N132" i="8"/>
  <c r="P132" i="8" s="1"/>
  <c r="S131" i="8"/>
  <c r="R131" i="8"/>
  <c r="T131" i="8" s="1"/>
  <c r="O131" i="8"/>
  <c r="M131" i="8"/>
  <c r="N131" i="8"/>
  <c r="P131" i="8" s="1"/>
  <c r="R130" i="8"/>
  <c r="T130" i="8" s="1"/>
  <c r="O130" i="8"/>
  <c r="M130" i="8"/>
  <c r="N130" i="8"/>
  <c r="P130" i="8" s="1"/>
  <c r="R129" i="8"/>
  <c r="T129" i="8" s="1"/>
  <c r="O129" i="8"/>
  <c r="M129" i="8"/>
  <c r="N129" i="8"/>
  <c r="P129" i="8" s="1"/>
  <c r="R128" i="8"/>
  <c r="S128" i="8" s="1"/>
  <c r="O128" i="8"/>
  <c r="M128" i="8"/>
  <c r="N128" i="8"/>
  <c r="P128" i="8" s="1"/>
  <c r="R127" i="8"/>
  <c r="S127" i="8" s="1"/>
  <c r="O127" i="8"/>
  <c r="M127" i="8"/>
  <c r="N127" i="8"/>
  <c r="P127" i="8" s="1"/>
  <c r="R126" i="8"/>
  <c r="T126" i="8" s="1"/>
  <c r="O126" i="8"/>
  <c r="N126" i="8"/>
  <c r="P126" i="8" s="1"/>
  <c r="M126" i="8"/>
  <c r="R125" i="8"/>
  <c r="O125" i="8"/>
  <c r="M125" i="8"/>
  <c r="N125" i="8"/>
  <c r="P125" i="8" s="1"/>
  <c r="R124" i="8"/>
  <c r="T124" i="8" s="1"/>
  <c r="O124" i="8"/>
  <c r="M124" i="8"/>
  <c r="N124" i="8"/>
  <c r="P124" i="8" s="1"/>
  <c r="R123" i="8"/>
  <c r="S123" i="8" s="1"/>
  <c r="O123" i="8"/>
  <c r="M123" i="8"/>
  <c r="N123" i="8"/>
  <c r="P123" i="8" s="1"/>
  <c r="R122" i="8"/>
  <c r="T122" i="8" s="1"/>
  <c r="O122" i="8"/>
  <c r="M122" i="8"/>
  <c r="N122" i="8"/>
  <c r="P122" i="8" s="1"/>
  <c r="R121" i="8"/>
  <c r="T121" i="8" s="1"/>
  <c r="O121" i="8"/>
  <c r="M121" i="8"/>
  <c r="N121" i="8"/>
  <c r="P121" i="8" s="1"/>
  <c r="R120" i="8"/>
  <c r="S120" i="8" s="1"/>
  <c r="O120" i="8"/>
  <c r="M120" i="8"/>
  <c r="N120" i="8"/>
  <c r="P120" i="8" s="1"/>
  <c r="R119" i="8"/>
  <c r="T119" i="8" s="1"/>
  <c r="O119" i="8"/>
  <c r="M119" i="8"/>
  <c r="N119" i="8"/>
  <c r="P119" i="8" s="1"/>
  <c r="R118" i="8"/>
  <c r="T118" i="8" s="1"/>
  <c r="O118" i="8"/>
  <c r="M118" i="8"/>
  <c r="N118" i="8"/>
  <c r="P118" i="8" s="1"/>
  <c r="R117" i="8"/>
  <c r="S117" i="8" s="1"/>
  <c r="O117" i="8"/>
  <c r="M117" i="8"/>
  <c r="N117" i="8"/>
  <c r="P117" i="8" s="1"/>
  <c r="R116" i="8"/>
  <c r="T116" i="8" s="1"/>
  <c r="O116" i="8"/>
  <c r="M116" i="8"/>
  <c r="N116" i="8"/>
  <c r="P116" i="8" s="1"/>
  <c r="R115" i="8"/>
  <c r="O115" i="8"/>
  <c r="M115" i="8"/>
  <c r="N115" i="8"/>
  <c r="P115" i="8" s="1"/>
  <c r="T114" i="8"/>
  <c r="S114" i="8"/>
  <c r="R114" i="8"/>
  <c r="O114" i="8"/>
  <c r="M114" i="8"/>
  <c r="N114" i="8"/>
  <c r="P114" i="8" s="1"/>
  <c r="R113" i="8"/>
  <c r="O113" i="8"/>
  <c r="M113" i="8"/>
  <c r="N113" i="8"/>
  <c r="P113" i="8" s="1"/>
  <c r="R112" i="8"/>
  <c r="T112" i="8" s="1"/>
  <c r="O112" i="8"/>
  <c r="N112" i="8"/>
  <c r="P112" i="8" s="1"/>
  <c r="M112" i="8"/>
  <c r="R111" i="8"/>
  <c r="T111" i="8" s="1"/>
  <c r="O111" i="8"/>
  <c r="M111" i="8"/>
  <c r="N111" i="8"/>
  <c r="P111" i="8" s="1"/>
  <c r="R110" i="8"/>
  <c r="O110" i="8"/>
  <c r="M110" i="8"/>
  <c r="N110" i="8"/>
  <c r="P110" i="8" s="1"/>
  <c r="R109" i="8"/>
  <c r="T109" i="8" s="1"/>
  <c r="O109" i="8"/>
  <c r="M109" i="8"/>
  <c r="N109" i="8"/>
  <c r="P109" i="8" s="1"/>
  <c r="R108" i="8"/>
  <c r="O108" i="8"/>
  <c r="M108" i="8"/>
  <c r="N108" i="8"/>
  <c r="P108" i="8" s="1"/>
  <c r="R107" i="8"/>
  <c r="S107" i="8" s="1"/>
  <c r="O107" i="8"/>
  <c r="M107" i="8"/>
  <c r="N107" i="8"/>
  <c r="P107" i="8" s="1"/>
  <c r="R106" i="8"/>
  <c r="S106" i="8" s="1"/>
  <c r="O106" i="8"/>
  <c r="M106" i="8"/>
  <c r="N106" i="8"/>
  <c r="P106" i="8" s="1"/>
  <c r="R105" i="8"/>
  <c r="T105" i="8" s="1"/>
  <c r="O105" i="8"/>
  <c r="M105" i="8"/>
  <c r="N105" i="8"/>
  <c r="P105" i="8" s="1"/>
  <c r="R104" i="8"/>
  <c r="T104" i="8" s="1"/>
  <c r="O104" i="8"/>
  <c r="N104" i="8"/>
  <c r="P104" i="8" s="1"/>
  <c r="M104" i="8"/>
  <c r="R103" i="8"/>
  <c r="S103" i="8" s="1"/>
  <c r="O103" i="8"/>
  <c r="M103" i="8"/>
  <c r="N103" i="8"/>
  <c r="P103" i="8" s="1"/>
  <c r="R102" i="8"/>
  <c r="T102" i="8" s="1"/>
  <c r="O102" i="8"/>
  <c r="M102" i="8"/>
  <c r="N102" i="8"/>
  <c r="P102" i="8" s="1"/>
  <c r="R101" i="8"/>
  <c r="T101" i="8" s="1"/>
  <c r="O101" i="8"/>
  <c r="M101" i="8"/>
  <c r="N101" i="8"/>
  <c r="P101" i="8" s="1"/>
  <c r="R100" i="8"/>
  <c r="O100" i="8"/>
  <c r="M100" i="8"/>
  <c r="N100" i="8"/>
  <c r="P100" i="8" s="1"/>
  <c r="R99" i="8"/>
  <c r="T99" i="8" s="1"/>
  <c r="O99" i="8"/>
  <c r="M99" i="8"/>
  <c r="N99" i="8"/>
  <c r="P99" i="8" s="1"/>
  <c r="T98" i="8"/>
  <c r="R98" i="8"/>
  <c r="S98" i="8" s="1"/>
  <c r="O98" i="8"/>
  <c r="M98" i="8"/>
  <c r="N98" i="8"/>
  <c r="P98" i="8" s="1"/>
  <c r="T97" i="8"/>
  <c r="S97" i="8"/>
  <c r="R97" i="8"/>
  <c r="O97" i="8"/>
  <c r="M97" i="8"/>
  <c r="N97" i="8"/>
  <c r="P97" i="8" s="1"/>
  <c r="R96" i="8"/>
  <c r="T96" i="8" s="1"/>
  <c r="O96" i="8"/>
  <c r="M96" i="8"/>
  <c r="N96" i="8"/>
  <c r="P96" i="8" s="1"/>
  <c r="R95" i="8"/>
  <c r="O95" i="8"/>
  <c r="M95" i="8"/>
  <c r="N95" i="8"/>
  <c r="P95" i="8" s="1"/>
  <c r="T94" i="8"/>
  <c r="R94" i="8"/>
  <c r="S94" i="8" s="1"/>
  <c r="O94" i="8"/>
  <c r="M94" i="8"/>
  <c r="N94" i="8"/>
  <c r="P94" i="8" s="1"/>
  <c r="R93" i="8"/>
  <c r="O93" i="8"/>
  <c r="M93" i="8"/>
  <c r="N93" i="8"/>
  <c r="P93" i="8" s="1"/>
  <c r="R92" i="8"/>
  <c r="T92" i="8" s="1"/>
  <c r="O92" i="8"/>
  <c r="N92" i="8"/>
  <c r="P92" i="8" s="1"/>
  <c r="M92" i="8"/>
  <c r="R91" i="8"/>
  <c r="T91" i="8" s="1"/>
  <c r="O91" i="8"/>
  <c r="N91" i="8"/>
  <c r="P91" i="8" s="1"/>
  <c r="M91" i="8"/>
  <c r="R90" i="8"/>
  <c r="O90" i="8"/>
  <c r="M90" i="8"/>
  <c r="N90" i="8"/>
  <c r="P90" i="8" s="1"/>
  <c r="R89" i="8"/>
  <c r="T89" i="8" s="1"/>
  <c r="O89" i="8"/>
  <c r="M89" i="8"/>
  <c r="N89" i="8"/>
  <c r="P89" i="8" s="1"/>
  <c r="R88" i="8"/>
  <c r="S88" i="8" s="1"/>
  <c r="O88" i="8"/>
  <c r="M88" i="8"/>
  <c r="N88" i="8"/>
  <c r="P88" i="8" s="1"/>
  <c r="R87" i="8"/>
  <c r="O87" i="8"/>
  <c r="M87" i="8"/>
  <c r="N87" i="8"/>
  <c r="P87" i="8" s="1"/>
  <c r="S86" i="8"/>
  <c r="R86" i="8"/>
  <c r="T86" i="8" s="1"/>
  <c r="O86" i="8"/>
  <c r="M86" i="8"/>
  <c r="N86" i="8"/>
  <c r="P86" i="8" s="1"/>
  <c r="R85" i="8"/>
  <c r="T85" i="8" s="1"/>
  <c r="O85" i="8"/>
  <c r="M85" i="8"/>
  <c r="N85" i="8"/>
  <c r="P85" i="8" s="1"/>
  <c r="R84" i="8"/>
  <c r="T84" i="8" s="1"/>
  <c r="O84" i="8"/>
  <c r="N84" i="8"/>
  <c r="P84" i="8" s="1"/>
  <c r="M84" i="8"/>
  <c r="T83" i="8"/>
  <c r="S83" i="8"/>
  <c r="R83" i="8"/>
  <c r="O83" i="8"/>
  <c r="M83" i="8"/>
  <c r="N83" i="8"/>
  <c r="P83" i="8" s="1"/>
  <c r="R82" i="8"/>
  <c r="T82" i="8" s="1"/>
  <c r="O82" i="8"/>
  <c r="M82" i="8"/>
  <c r="N82" i="8"/>
  <c r="P82" i="8" s="1"/>
  <c r="R81" i="8"/>
  <c r="T81" i="8" s="1"/>
  <c r="O81" i="8"/>
  <c r="M81" i="8"/>
  <c r="N81" i="8"/>
  <c r="P81" i="8" s="1"/>
  <c r="R80" i="8"/>
  <c r="O80" i="8"/>
  <c r="M80" i="8"/>
  <c r="N80" i="8"/>
  <c r="P80" i="8" s="1"/>
  <c r="R79" i="8"/>
  <c r="O79" i="8"/>
  <c r="N79" i="8"/>
  <c r="P79" i="8" s="1"/>
  <c r="M79" i="8"/>
  <c r="R78" i="8"/>
  <c r="T78" i="8" s="1"/>
  <c r="O78" i="8"/>
  <c r="M78" i="8"/>
  <c r="N78" i="8"/>
  <c r="P78" i="8" s="1"/>
  <c r="R77" i="8"/>
  <c r="S77" i="8" s="1"/>
  <c r="O77" i="8"/>
  <c r="M77" i="8"/>
  <c r="N77" i="8"/>
  <c r="P77" i="8" s="1"/>
  <c r="R76" i="8"/>
  <c r="T76" i="8" s="1"/>
  <c r="O76" i="8"/>
  <c r="M76" i="8"/>
  <c r="N76" i="8"/>
  <c r="P76" i="8" s="1"/>
  <c r="R75" i="8"/>
  <c r="T75" i="8" s="1"/>
  <c r="O75" i="8"/>
  <c r="M75" i="8"/>
  <c r="N75" i="8"/>
  <c r="P75" i="8" s="1"/>
  <c r="R74" i="8"/>
  <c r="O74" i="8"/>
  <c r="M74" i="8"/>
  <c r="N74" i="8"/>
  <c r="P74" i="8" s="1"/>
  <c r="R73" i="8"/>
  <c r="O73" i="8"/>
  <c r="M73" i="8"/>
  <c r="N73" i="8"/>
  <c r="P73" i="8" s="1"/>
  <c r="R72" i="8"/>
  <c r="T72" i="8" s="1"/>
  <c r="O72" i="8"/>
  <c r="M72" i="8"/>
  <c r="N72" i="8"/>
  <c r="P72" i="8" s="1"/>
  <c r="R71" i="8"/>
  <c r="T71" i="8" s="1"/>
  <c r="O71" i="8"/>
  <c r="M71" i="8"/>
  <c r="N71" i="8"/>
  <c r="P71" i="8" s="1"/>
  <c r="R70" i="8"/>
  <c r="O70" i="8"/>
  <c r="M70" i="8"/>
  <c r="N70" i="8"/>
  <c r="P70" i="8" s="1"/>
  <c r="T69" i="8"/>
  <c r="R69" i="8"/>
  <c r="S69" i="8" s="1"/>
  <c r="O69" i="8"/>
  <c r="M69" i="8"/>
  <c r="N69" i="8"/>
  <c r="P69" i="8" s="1"/>
  <c r="R68" i="8"/>
  <c r="S68" i="8" s="1"/>
  <c r="O68" i="8"/>
  <c r="M68" i="8"/>
  <c r="N68" i="8"/>
  <c r="P68" i="8" s="1"/>
  <c r="R67" i="8"/>
  <c r="T67" i="8" s="1"/>
  <c r="O67" i="8"/>
  <c r="M67" i="8"/>
  <c r="N67" i="8"/>
  <c r="P67" i="8" s="1"/>
  <c r="R66" i="8"/>
  <c r="T66" i="8" s="1"/>
  <c r="O66" i="8"/>
  <c r="M66" i="8"/>
  <c r="N66" i="8"/>
  <c r="P66" i="8" s="1"/>
  <c r="R65" i="8"/>
  <c r="T65" i="8" s="1"/>
  <c r="O65" i="8"/>
  <c r="M65" i="8"/>
  <c r="N65" i="8"/>
  <c r="P65" i="8" s="1"/>
  <c r="R64" i="8"/>
  <c r="T64" i="8" s="1"/>
  <c r="O64" i="8"/>
  <c r="M64" i="8"/>
  <c r="N64" i="8"/>
  <c r="P64" i="8" s="1"/>
  <c r="R63" i="8"/>
  <c r="T63" i="8" s="1"/>
  <c r="O63" i="8"/>
  <c r="N63" i="8"/>
  <c r="P63" i="8" s="1"/>
  <c r="M63" i="8"/>
  <c r="R62" i="8"/>
  <c r="T62" i="8" s="1"/>
  <c r="O62" i="8"/>
  <c r="M62" i="8"/>
  <c r="N62" i="8"/>
  <c r="P62" i="8" s="1"/>
  <c r="R61" i="8"/>
  <c r="T61" i="8" s="1"/>
  <c r="O61" i="8"/>
  <c r="M61" i="8"/>
  <c r="N61" i="8"/>
  <c r="P61" i="8" s="1"/>
  <c r="R60" i="8"/>
  <c r="O60" i="8"/>
  <c r="M60" i="8"/>
  <c r="N60" i="8"/>
  <c r="P60" i="8" s="1"/>
  <c r="R59" i="8"/>
  <c r="T59" i="8" s="1"/>
  <c r="O59" i="8"/>
  <c r="M59" i="8"/>
  <c r="N59" i="8"/>
  <c r="P59" i="8" s="1"/>
  <c r="R58" i="8"/>
  <c r="T58" i="8" s="1"/>
  <c r="O58" i="8"/>
  <c r="M58" i="8"/>
  <c r="N58" i="8"/>
  <c r="P58" i="8" s="1"/>
  <c r="T57" i="8"/>
  <c r="S57" i="8"/>
  <c r="R57" i="8"/>
  <c r="O57" i="8"/>
  <c r="M57" i="8"/>
  <c r="N57" i="8"/>
  <c r="P57" i="8" s="1"/>
  <c r="R56" i="8"/>
  <c r="T56" i="8" s="1"/>
  <c r="O56" i="8"/>
  <c r="M56" i="8"/>
  <c r="N56" i="8"/>
  <c r="P56" i="8" s="1"/>
  <c r="R55" i="8"/>
  <c r="T55" i="8" s="1"/>
  <c r="O55" i="8"/>
  <c r="M55" i="8"/>
  <c r="N55" i="8"/>
  <c r="P55" i="8" s="1"/>
  <c r="R54" i="8"/>
  <c r="T54" i="8" s="1"/>
  <c r="O54" i="8"/>
  <c r="M54" i="8"/>
  <c r="N54" i="8"/>
  <c r="P54" i="8" s="1"/>
  <c r="R53" i="8"/>
  <c r="O53" i="8"/>
  <c r="M53" i="8"/>
  <c r="N53" i="8"/>
  <c r="P53" i="8" s="1"/>
  <c r="R52" i="8"/>
  <c r="S52" i="8" s="1"/>
  <c r="O52" i="8"/>
  <c r="M52" i="8"/>
  <c r="N52" i="8"/>
  <c r="P52" i="8" s="1"/>
  <c r="R51" i="8"/>
  <c r="T51" i="8" s="1"/>
  <c r="O51" i="8"/>
  <c r="N51" i="8"/>
  <c r="P51" i="8" s="1"/>
  <c r="M51" i="8"/>
  <c r="R50" i="8"/>
  <c r="O50" i="8"/>
  <c r="M50" i="8"/>
  <c r="N50" i="8"/>
  <c r="P50" i="8" s="1"/>
  <c r="R49" i="8"/>
  <c r="O49" i="8"/>
  <c r="M49" i="8"/>
  <c r="N49" i="8"/>
  <c r="P49" i="8" s="1"/>
  <c r="R48" i="8"/>
  <c r="S48" i="8" s="1"/>
  <c r="O48" i="8"/>
  <c r="M48" i="8"/>
  <c r="N48" i="8"/>
  <c r="P48" i="8" s="1"/>
  <c r="R47" i="8"/>
  <c r="T47" i="8" s="1"/>
  <c r="O47" i="8"/>
  <c r="M47" i="8"/>
  <c r="N47" i="8"/>
  <c r="P47" i="8" s="1"/>
  <c r="R46" i="8"/>
  <c r="T46" i="8" s="1"/>
  <c r="O46" i="8"/>
  <c r="M46" i="8"/>
  <c r="N46" i="8"/>
  <c r="P46" i="8" s="1"/>
  <c r="R45" i="8"/>
  <c r="T45" i="8" s="1"/>
  <c r="O45" i="8"/>
  <c r="M45" i="8"/>
  <c r="N45" i="8"/>
  <c r="P45" i="8" s="1"/>
  <c r="S44" i="8"/>
  <c r="R44" i="8"/>
  <c r="T44" i="8" s="1"/>
  <c r="O44" i="8"/>
  <c r="M44" i="8"/>
  <c r="N44" i="8"/>
  <c r="P44" i="8" s="1"/>
  <c r="R43" i="8"/>
  <c r="S43" i="8" s="1"/>
  <c r="O43" i="8"/>
  <c r="M43" i="8"/>
  <c r="N43" i="8"/>
  <c r="P43" i="8" s="1"/>
  <c r="R42" i="8"/>
  <c r="T42" i="8" s="1"/>
  <c r="O42" i="8"/>
  <c r="N42" i="8"/>
  <c r="P42" i="8" s="1"/>
  <c r="M42" i="8"/>
  <c r="R41" i="8"/>
  <c r="T41" i="8" s="1"/>
  <c r="P41" i="8"/>
  <c r="O41" i="8"/>
  <c r="M41" i="8"/>
  <c r="N41" i="8"/>
  <c r="T40" i="8"/>
  <c r="R40" i="8"/>
  <c r="S40" i="8" s="1"/>
  <c r="O40" i="8"/>
  <c r="M40" i="8"/>
  <c r="N40" i="8"/>
  <c r="P40" i="8" s="1"/>
  <c r="R39" i="8"/>
  <c r="T39" i="8" s="1"/>
  <c r="O39" i="8"/>
  <c r="M39" i="8"/>
  <c r="N39" i="8"/>
  <c r="P39" i="8" s="1"/>
  <c r="T38" i="8"/>
  <c r="R38" i="8"/>
  <c r="S38" i="8" s="1"/>
  <c r="O38" i="8"/>
  <c r="M38" i="8"/>
  <c r="N38" i="8"/>
  <c r="P38" i="8" s="1"/>
  <c r="S37" i="8"/>
  <c r="R37" i="8"/>
  <c r="T37" i="8" s="1"/>
  <c r="O37" i="8"/>
  <c r="N37" i="8"/>
  <c r="P37" i="8" s="1"/>
  <c r="M37" i="8"/>
  <c r="R36" i="8"/>
  <c r="T36" i="8" s="1"/>
  <c r="O36" i="8"/>
  <c r="M36" i="8"/>
  <c r="N36" i="8"/>
  <c r="P36" i="8" s="1"/>
  <c r="R35" i="8"/>
  <c r="T35" i="8" s="1"/>
  <c r="O35" i="8"/>
  <c r="M35" i="8"/>
  <c r="N35" i="8"/>
  <c r="P35" i="8" s="1"/>
  <c r="R34" i="8"/>
  <c r="T34" i="8" s="1"/>
  <c r="O34" i="8"/>
  <c r="M34" i="8"/>
  <c r="N34" i="8"/>
  <c r="P34" i="8" s="1"/>
  <c r="R33" i="8"/>
  <c r="O33" i="8"/>
  <c r="M33" i="8"/>
  <c r="N33" i="8"/>
  <c r="P33" i="8" s="1"/>
  <c r="R32" i="8"/>
  <c r="T32" i="8" s="1"/>
  <c r="O32" i="8"/>
  <c r="M32" i="8"/>
  <c r="N32" i="8"/>
  <c r="P32" i="8" s="1"/>
  <c r="S31" i="8"/>
  <c r="R31" i="8"/>
  <c r="T31" i="8" s="1"/>
  <c r="O31" i="8"/>
  <c r="M31" i="8"/>
  <c r="N31" i="8"/>
  <c r="P31" i="8" s="1"/>
  <c r="R30" i="8"/>
  <c r="T30" i="8" s="1"/>
  <c r="O30" i="8"/>
  <c r="M30" i="8"/>
  <c r="N30" i="8"/>
  <c r="P30" i="8" s="1"/>
  <c r="T29" i="8"/>
  <c r="R29" i="8"/>
  <c r="S29" i="8" s="1"/>
  <c r="O29" i="8"/>
  <c r="M29" i="8"/>
  <c r="N29" i="8"/>
  <c r="P29" i="8" s="1"/>
  <c r="R28" i="8"/>
  <c r="S28" i="8" s="1"/>
  <c r="O28" i="8"/>
  <c r="M28" i="8"/>
  <c r="N28" i="8"/>
  <c r="P28" i="8" s="1"/>
  <c r="R27" i="8"/>
  <c r="T27" i="8" s="1"/>
  <c r="O27" i="8"/>
  <c r="M27" i="8"/>
  <c r="N27" i="8"/>
  <c r="P27" i="8" s="1"/>
  <c r="R26" i="8"/>
  <c r="T26" i="8" s="1"/>
  <c r="O26" i="8"/>
  <c r="M26" i="8"/>
  <c r="N26" i="8"/>
  <c r="P26" i="8" s="1"/>
  <c r="R25" i="8"/>
  <c r="T25" i="8" s="1"/>
  <c r="O25" i="8"/>
  <c r="M25" i="8"/>
  <c r="N25" i="8"/>
  <c r="P25" i="8" s="1"/>
  <c r="R24" i="8"/>
  <c r="O24" i="8"/>
  <c r="M24" i="8"/>
  <c r="N24" i="8"/>
  <c r="P24" i="8" s="1"/>
  <c r="R7" i="8"/>
  <c r="O7" i="8"/>
  <c r="M7" i="8"/>
  <c r="L7" i="8"/>
  <c r="R3" i="8"/>
  <c r="O3" i="8"/>
  <c r="M3" i="8"/>
  <c r="L3" i="8"/>
  <c r="R33" i="2"/>
  <c r="Q33" i="2"/>
  <c r="O33" i="2"/>
  <c r="M33" i="2"/>
  <c r="L33" i="2"/>
  <c r="C7" i="5"/>
  <c r="R27" i="2"/>
  <c r="Q27" i="2"/>
  <c r="O27" i="2"/>
  <c r="M27" i="2"/>
  <c r="L27" i="2"/>
  <c r="N22" i="2" l="1"/>
  <c r="P22" i="2" s="1"/>
  <c r="T22" i="2" s="1"/>
  <c r="N7" i="8"/>
  <c r="P7" i="8" s="1"/>
  <c r="T7" i="8" s="1"/>
  <c r="N20" i="2"/>
  <c r="P20" i="2" s="1"/>
  <c r="T20" i="2" s="1"/>
  <c r="S20" i="2"/>
  <c r="S22" i="2"/>
  <c r="N18" i="2"/>
  <c r="P18" i="2" s="1"/>
  <c r="T18" i="2" s="1"/>
  <c r="N16" i="2"/>
  <c r="P16" i="2" s="1"/>
  <c r="S18" i="2"/>
  <c r="T16" i="2"/>
  <c r="N14" i="2"/>
  <c r="P14" i="2" s="1"/>
  <c r="T14" i="2" s="1"/>
  <c r="S16" i="2"/>
  <c r="S10" i="2"/>
  <c r="N12" i="2"/>
  <c r="P12" i="2" s="1"/>
  <c r="T12" i="2" s="1"/>
  <c r="S14" i="2"/>
  <c r="N10" i="2"/>
  <c r="P10" i="2" s="1"/>
  <c r="T10" i="2" s="1"/>
  <c r="S12" i="2"/>
  <c r="N27" i="2"/>
  <c r="P27" i="2" s="1"/>
  <c r="N8" i="2"/>
  <c r="P8" i="2" s="1"/>
  <c r="T8" i="2" s="1"/>
  <c r="S8" i="2"/>
  <c r="T1028" i="8"/>
  <c r="S1028" i="8"/>
  <c r="T180" i="8"/>
  <c r="S567" i="8"/>
  <c r="T567" i="8"/>
  <c r="S826" i="8"/>
  <c r="S861" i="8"/>
  <c r="S1167" i="8"/>
  <c r="T1283" i="8"/>
  <c r="S1283" i="8"/>
  <c r="S1507" i="8"/>
  <c r="S295" i="8"/>
  <c r="T295" i="8"/>
  <c r="S358" i="8"/>
  <c r="S788" i="8"/>
  <c r="S1120" i="8"/>
  <c r="T1127" i="8"/>
  <c r="S1127" i="8"/>
  <c r="S1133" i="8"/>
  <c r="S1349" i="8"/>
  <c r="S1395" i="8"/>
  <c r="T1443" i="8"/>
  <c r="S1443" i="8"/>
  <c r="S1488" i="8"/>
  <c r="T1498" i="8"/>
  <c r="S1498" i="8"/>
  <c r="S1633" i="8"/>
  <c r="S109" i="8"/>
  <c r="T127" i="8"/>
  <c r="S1263" i="8"/>
  <c r="T1263" i="8"/>
  <c r="T1371" i="8"/>
  <c r="T1385" i="8"/>
  <c r="T1457" i="8"/>
  <c r="S1457" i="8"/>
  <c r="T120" i="8"/>
  <c r="T160" i="8"/>
  <c r="S177" i="8"/>
  <c r="T544" i="8"/>
  <c r="T547" i="8"/>
  <c r="T644" i="8"/>
  <c r="S661" i="8"/>
  <c r="S823" i="8"/>
  <c r="S858" i="8"/>
  <c r="S1007" i="8"/>
  <c r="T1143" i="8"/>
  <c r="S1164" i="8"/>
  <c r="S1392" i="8"/>
  <c r="S1409" i="8"/>
  <c r="S1615" i="8"/>
  <c r="S1453" i="8"/>
  <c r="T1453" i="8"/>
  <c r="S170" i="8"/>
  <c r="S347" i="8"/>
  <c r="T347" i="8"/>
  <c r="S541" i="8"/>
  <c r="T563" i="8"/>
  <c r="S563" i="8"/>
  <c r="S1136" i="8"/>
  <c r="T1345" i="8"/>
  <c r="T1405" i="8"/>
  <c r="T1491" i="8"/>
  <c r="S1491" i="8"/>
  <c r="T594" i="8"/>
  <c r="T637" i="8"/>
  <c r="S883" i="8"/>
  <c r="T1242" i="8"/>
  <c r="T1360" i="8"/>
  <c r="T475" i="8"/>
  <c r="S475" i="8"/>
  <c r="T678" i="8"/>
  <c r="S869" i="8"/>
  <c r="T975" i="8"/>
  <c r="S975" i="8"/>
  <c r="S1478" i="8"/>
  <c r="T49" i="8"/>
  <c r="S49" i="8"/>
  <c r="S85" i="8"/>
  <c r="T167" i="8"/>
  <c r="T844" i="8"/>
  <c r="S961" i="8"/>
  <c r="S979" i="8"/>
  <c r="T1089" i="8"/>
  <c r="S1089" i="8"/>
  <c r="S1429" i="8"/>
  <c r="T1429" i="8"/>
  <c r="T1147" i="8"/>
  <c r="S1147" i="8"/>
  <c r="T483" i="8"/>
  <c r="S483" i="8"/>
  <c r="S1236" i="8"/>
  <c r="T1329" i="8"/>
  <c r="S1329" i="8"/>
  <c r="T28" i="8"/>
  <c r="S89" i="8"/>
  <c r="T157" i="8"/>
  <c r="T171" i="8"/>
  <c r="S171" i="8"/>
  <c r="S226" i="8"/>
  <c r="T310" i="8"/>
  <c r="T320" i="8"/>
  <c r="S359" i="8"/>
  <c r="T518" i="8"/>
  <c r="S535" i="8"/>
  <c r="S761" i="8"/>
  <c r="S951" i="8"/>
  <c r="S1061" i="8"/>
  <c r="S1072" i="8"/>
  <c r="T1226" i="8"/>
  <c r="S1226" i="8"/>
  <c r="T1250" i="8"/>
  <c r="S1250" i="8"/>
  <c r="T1574" i="8"/>
  <c r="S1574" i="8"/>
  <c r="S1634" i="8"/>
  <c r="T103" i="8"/>
  <c r="T216" i="8"/>
  <c r="T352" i="8"/>
  <c r="S401" i="8"/>
  <c r="T404" i="8"/>
  <c r="S733" i="8"/>
  <c r="T754" i="8"/>
  <c r="S789" i="8"/>
  <c r="T987" i="8"/>
  <c r="S987" i="8"/>
  <c r="S1598" i="8"/>
  <c r="S161" i="8"/>
  <c r="S236" i="8"/>
  <c r="S307" i="8"/>
  <c r="S387" i="8"/>
  <c r="S929" i="8"/>
  <c r="T944" i="8"/>
  <c r="S944" i="8"/>
  <c r="T1033" i="8"/>
  <c r="S1033" i="8"/>
  <c r="T1090" i="8"/>
  <c r="S1090" i="8"/>
  <c r="T1240" i="8"/>
  <c r="S1240" i="8"/>
  <c r="T1299" i="8"/>
  <c r="S1299" i="8"/>
  <c r="T1571" i="8"/>
  <c r="T1578" i="8"/>
  <c r="S1578" i="8"/>
  <c r="N3" i="8"/>
  <c r="P3" i="8" s="1"/>
  <c r="T3" i="8" s="1"/>
  <c r="S592" i="8"/>
  <c r="T592" i="8"/>
  <c r="T621" i="8"/>
  <c r="S635" i="8"/>
  <c r="S765" i="8"/>
  <c r="T779" i="8"/>
  <c r="S779" i="8"/>
  <c r="T926" i="8"/>
  <c r="S955" i="8"/>
  <c r="T1044" i="8"/>
  <c r="S1044" i="8"/>
  <c r="T1194" i="8"/>
  <c r="S1194" i="8"/>
  <c r="T1527" i="8"/>
  <c r="S1527" i="8"/>
  <c r="T1585" i="8"/>
  <c r="T106" i="8"/>
  <c r="S230" i="8"/>
  <c r="S314" i="8"/>
  <c r="T412" i="8"/>
  <c r="S412" i="8"/>
  <c r="S509" i="8"/>
  <c r="S58" i="8"/>
  <c r="S909" i="8"/>
  <c r="S140" i="8"/>
  <c r="T140" i="8"/>
  <c r="T217" i="8"/>
  <c r="S278" i="8"/>
  <c r="S513" i="8"/>
  <c r="T513" i="8"/>
  <c r="S569" i="8"/>
  <c r="T684" i="8"/>
  <c r="S727" i="8"/>
  <c r="T1009" i="8"/>
  <c r="S1173" i="8"/>
  <c r="S1300" i="8"/>
  <c r="T1470" i="8"/>
  <c r="S1470" i="8"/>
  <c r="S1487" i="8"/>
  <c r="S1572" i="8"/>
  <c r="S588" i="8"/>
  <c r="T588" i="8"/>
  <c r="S100" i="8"/>
  <c r="T100" i="8"/>
  <c r="S297" i="8"/>
  <c r="S1037" i="8"/>
  <c r="S80" i="8"/>
  <c r="T80" i="8"/>
  <c r="S1303" i="8"/>
  <c r="S1513" i="8"/>
  <c r="T155" i="8"/>
  <c r="S200" i="8"/>
  <c r="S392" i="8"/>
  <c r="T392" i="8"/>
  <c r="T492" i="8"/>
  <c r="T506" i="8"/>
  <c r="T892" i="8"/>
  <c r="S899" i="8"/>
  <c r="T906" i="8"/>
  <c r="S1442" i="8"/>
  <c r="T1423" i="8"/>
  <c r="S1423" i="8"/>
  <c r="T239" i="8"/>
  <c r="S772" i="8"/>
  <c r="T772" i="8"/>
  <c r="T189" i="8"/>
  <c r="T370" i="8"/>
  <c r="S1568" i="8"/>
  <c r="S129" i="8"/>
  <c r="T488" i="8"/>
  <c r="S488" i="8"/>
  <c r="S1554" i="8"/>
  <c r="T1582" i="8"/>
  <c r="S353" i="8"/>
  <c r="S214" i="8"/>
  <c r="T214" i="8"/>
  <c r="S343" i="8"/>
  <c r="T343" i="8"/>
  <c r="T615" i="8"/>
  <c r="S615" i="8"/>
  <c r="T681" i="8"/>
  <c r="S681" i="8"/>
  <c r="T1177" i="8"/>
  <c r="S1177" i="8"/>
  <c r="S1255" i="8"/>
  <c r="T1255" i="8"/>
  <c r="S947" i="8"/>
  <c r="T947" i="8"/>
  <c r="T1357" i="8"/>
  <c r="S1357" i="8"/>
  <c r="T253" i="8"/>
  <c r="S65" i="8"/>
  <c r="T220" i="8"/>
  <c r="S151" i="8"/>
  <c r="T1209" i="8"/>
  <c r="S1209" i="8"/>
  <c r="S262" i="8"/>
  <c r="T378" i="8"/>
  <c r="S843" i="8"/>
  <c r="S889" i="8"/>
  <c r="T1024" i="8"/>
  <c r="S1024" i="8"/>
  <c r="T1153" i="8"/>
  <c r="S1153" i="8"/>
  <c r="T1415" i="8"/>
  <c r="S921" i="8"/>
  <c r="S1247" i="8"/>
  <c r="S1420" i="8"/>
  <c r="T1420" i="8"/>
  <c r="S1185" i="8"/>
  <c r="T1185" i="8"/>
  <c r="S460" i="8"/>
  <c r="T77" i="8"/>
  <c r="S372" i="8"/>
  <c r="S813" i="8"/>
  <c r="T949" i="8"/>
  <c r="S949" i="8"/>
  <c r="T956" i="8"/>
  <c r="T967" i="8"/>
  <c r="S967" i="8"/>
  <c r="S994" i="8"/>
  <c r="S1073" i="8"/>
  <c r="T1108" i="8"/>
  <c r="S1108" i="8"/>
  <c r="T1260" i="8"/>
  <c r="S1323" i="8"/>
  <c r="T1511" i="8"/>
  <c r="S1511" i="8"/>
  <c r="S1583" i="8"/>
  <c r="S1624" i="8"/>
  <c r="S63" i="8"/>
  <c r="T117" i="8"/>
  <c r="S149" i="8"/>
  <c r="T165" i="8"/>
  <c r="S191" i="8"/>
  <c r="S285" i="8"/>
  <c r="T285" i="8"/>
  <c r="S369" i="8"/>
  <c r="S440" i="8"/>
  <c r="T450" i="8"/>
  <c r="S583" i="8"/>
  <c r="S745" i="8"/>
  <c r="S793" i="8"/>
  <c r="S877" i="8"/>
  <c r="T877" i="8"/>
  <c r="S1098" i="8"/>
  <c r="S1118" i="8"/>
  <c r="S1224" i="8"/>
  <c r="S1294" i="8"/>
  <c r="T1403" i="8"/>
  <c r="T1458" i="8"/>
  <c r="S1458" i="8"/>
  <c r="S1508" i="8"/>
  <c r="S60" i="8"/>
  <c r="T60" i="8"/>
  <c r="T221" i="8"/>
  <c r="S247" i="8"/>
  <c r="T299" i="8"/>
  <c r="T363" i="8"/>
  <c r="T474" i="8"/>
  <c r="T493" i="8"/>
  <c r="T626" i="8"/>
  <c r="S728" i="8"/>
  <c r="S852" i="8"/>
  <c r="T852" i="8"/>
  <c r="T859" i="8"/>
  <c r="S859" i="8"/>
  <c r="S884" i="8"/>
  <c r="T884" i="8"/>
  <c r="T911" i="8"/>
  <c r="S911" i="8"/>
  <c r="T1330" i="8"/>
  <c r="S1330" i="8"/>
  <c r="T1362" i="8"/>
  <c r="S1362" i="8"/>
  <c r="S599" i="8"/>
  <c r="S1038" i="8"/>
  <c r="T1440" i="8"/>
  <c r="S1440" i="8"/>
  <c r="T1492" i="8"/>
  <c r="S1492" i="8"/>
  <c r="T107" i="8"/>
  <c r="S629" i="8"/>
  <c r="S1526" i="8"/>
  <c r="T1526" i="8"/>
  <c r="S156" i="8"/>
  <c r="S1015" i="8"/>
  <c r="T1053" i="8"/>
  <c r="S1053" i="8"/>
  <c r="S1175" i="8"/>
  <c r="T1604" i="8"/>
  <c r="S1604" i="8"/>
  <c r="T1614" i="8"/>
  <c r="T43" i="8"/>
  <c r="S111" i="8"/>
  <c r="T169" i="8"/>
  <c r="T175" i="8"/>
  <c r="T231" i="8"/>
  <c r="S254" i="8"/>
  <c r="T306" i="8"/>
  <c r="T315" i="8"/>
  <c r="T328" i="8"/>
  <c r="T335" i="8"/>
  <c r="S348" i="8"/>
  <c r="S427" i="8"/>
  <c r="T464" i="8"/>
  <c r="S481" i="8"/>
  <c r="S484" i="8"/>
  <c r="T540" i="8"/>
  <c r="S555" i="8"/>
  <c r="S571" i="8"/>
  <c r="T587" i="8"/>
  <c r="T613" i="8"/>
  <c r="T616" i="8"/>
  <c r="T623" i="8"/>
  <c r="S623" i="8"/>
  <c r="T676" i="8"/>
  <c r="T701" i="8"/>
  <c r="S701" i="8"/>
  <c r="S908" i="8"/>
  <c r="T935" i="8"/>
  <c r="S1046" i="8"/>
  <c r="T1081" i="8"/>
  <c r="S1081" i="8"/>
  <c r="S1095" i="8"/>
  <c r="T1095" i="8"/>
  <c r="T1162" i="8"/>
  <c r="S1172" i="8"/>
  <c r="T1207" i="8"/>
  <c r="S1314" i="8"/>
  <c r="S1327" i="8"/>
  <c r="S1427" i="8"/>
  <c r="S1625" i="8"/>
  <c r="T1625" i="8"/>
  <c r="T1174" i="8"/>
  <c r="S1174" i="8"/>
  <c r="S423" i="8"/>
  <c r="T423" i="8"/>
  <c r="S755" i="8"/>
  <c r="T855" i="8"/>
  <c r="S1052" i="8"/>
  <c r="T1171" i="8"/>
  <c r="S1213" i="8"/>
  <c r="T1227" i="8"/>
  <c r="S1227" i="8"/>
  <c r="S1237" i="8"/>
  <c r="S1326" i="8"/>
  <c r="S1586" i="8"/>
  <c r="S503" i="8"/>
  <c r="T529" i="8"/>
  <c r="T866" i="8"/>
  <c r="S866" i="8"/>
  <c r="S946" i="8"/>
  <c r="T946" i="8"/>
  <c r="S1600" i="8"/>
  <c r="T1600" i="8"/>
  <c r="S84" i="8"/>
  <c r="S251" i="8"/>
  <c r="T251" i="8"/>
  <c r="T606" i="8"/>
  <c r="T756" i="8"/>
  <c r="S756" i="8"/>
  <c r="T881" i="8"/>
  <c r="S881" i="8"/>
  <c r="S925" i="8"/>
  <c r="S1039" i="8"/>
  <c r="T1039" i="8"/>
  <c r="S1570" i="8"/>
  <c r="T1632" i="8"/>
  <c r="S1632" i="8"/>
  <c r="S78" i="8"/>
  <c r="T663" i="8"/>
  <c r="S663" i="8"/>
  <c r="S898" i="8"/>
  <c r="T898" i="8"/>
  <c r="T1071" i="8"/>
  <c r="S1071" i="8"/>
  <c r="T1341" i="8"/>
  <c r="S1341" i="8"/>
  <c r="S1512" i="8"/>
  <c r="S763" i="8"/>
  <c r="T821" i="8"/>
  <c r="S821" i="8"/>
  <c r="T960" i="8"/>
  <c r="T985" i="8"/>
  <c r="T1533" i="8"/>
  <c r="T166" i="8"/>
  <c r="S274" i="8"/>
  <c r="S383" i="8"/>
  <c r="T383" i="8"/>
  <c r="S565" i="8"/>
  <c r="S584" i="8"/>
  <c r="T597" i="8"/>
  <c r="T603" i="8"/>
  <c r="S603" i="8"/>
  <c r="T653" i="8"/>
  <c r="T694" i="8"/>
  <c r="T853" i="8"/>
  <c r="S853" i="8"/>
  <c r="T943" i="8"/>
  <c r="S943" i="8"/>
  <c r="T1331" i="8"/>
  <c r="S1331" i="8"/>
  <c r="T913" i="8"/>
  <c r="S913" i="8"/>
  <c r="T969" i="8"/>
  <c r="S969" i="8"/>
  <c r="S1043" i="8"/>
  <c r="T1043" i="8"/>
  <c r="T1410" i="8"/>
  <c r="S1410" i="8"/>
  <c r="T1464" i="8"/>
  <c r="S1464" i="8"/>
  <c r="T1471" i="8"/>
  <c r="S1471" i="8"/>
  <c r="T1528" i="8"/>
  <c r="S1528" i="8"/>
  <c r="T990" i="8"/>
  <c r="S990" i="8"/>
  <c r="S1088" i="8"/>
  <c r="T1088" i="8"/>
  <c r="T1454" i="8"/>
  <c r="S1454" i="8"/>
  <c r="T709" i="8"/>
  <c r="S709" i="8"/>
  <c r="T910" i="8"/>
  <c r="S910" i="8"/>
  <c r="T966" i="8"/>
  <c r="S966" i="8"/>
  <c r="T1040" i="8"/>
  <c r="S1040" i="8"/>
  <c r="S1057" i="8"/>
  <c r="T1057" i="8"/>
  <c r="T1092" i="8"/>
  <c r="S1092" i="8"/>
  <c r="T1223" i="8"/>
  <c r="S1223" i="8"/>
  <c r="T1424" i="8"/>
  <c r="S1424" i="8"/>
  <c r="T473" i="8"/>
  <c r="S511" i="8"/>
  <c r="S685" i="8"/>
  <c r="T863" i="8"/>
  <c r="S863" i="8"/>
  <c r="T1472" i="8"/>
  <c r="S1472" i="8"/>
  <c r="S784" i="8"/>
  <c r="T800" i="8"/>
  <c r="S809" i="8"/>
  <c r="T912" i="8"/>
  <c r="S915" i="8"/>
  <c r="S996" i="8"/>
  <c r="S1045" i="8"/>
  <c r="S1086" i="8"/>
  <c r="S1159" i="8"/>
  <c r="S1219" i="8"/>
  <c r="S1231" i="8"/>
  <c r="S1271" i="8"/>
  <c r="S1333" i="8"/>
  <c r="S1460" i="8"/>
  <c r="T1525" i="8"/>
  <c r="T1565" i="8"/>
  <c r="S1611" i="8"/>
  <c r="T706" i="8"/>
  <c r="T747" i="8"/>
  <c r="T775" i="8"/>
  <c r="S878" i="8"/>
  <c r="S999" i="8"/>
  <c r="S1627" i="8"/>
  <c r="T832" i="8"/>
  <c r="S997" i="8"/>
  <c r="S1087" i="8"/>
  <c r="T1199" i="8"/>
  <c r="T1272" i="8"/>
  <c r="T1305" i="8"/>
  <c r="T1398" i="8"/>
  <c r="T1473" i="8"/>
  <c r="T1332" i="8"/>
  <c r="S1422" i="8"/>
  <c r="T1437" i="8"/>
  <c r="S1494" i="8"/>
  <c r="S1514" i="8"/>
  <c r="S1524" i="8"/>
  <c r="S1546" i="8"/>
  <c r="S646" i="8"/>
  <c r="T674" i="8"/>
  <c r="S689" i="8"/>
  <c r="S749" i="8"/>
  <c r="T1183" i="8"/>
  <c r="S1221" i="8"/>
  <c r="T1270" i="8"/>
  <c r="T1273" i="8"/>
  <c r="T1306" i="8"/>
  <c r="S1309" i="8"/>
  <c r="T1312" i="8"/>
  <c r="S1543" i="8"/>
  <c r="S1552" i="8"/>
  <c r="S1610" i="8"/>
  <c r="S683" i="8"/>
  <c r="S718" i="8"/>
  <c r="T724" i="8"/>
  <c r="T740" i="8"/>
  <c r="T840" i="8"/>
  <c r="S871" i="8"/>
  <c r="S998" i="8"/>
  <c r="S1110" i="8"/>
  <c r="T1122" i="8"/>
  <c r="T1200" i="8"/>
  <c r="T1203" i="8"/>
  <c r="T1267" i="8"/>
  <c r="T1282" i="8"/>
  <c r="T1285" i="8"/>
  <c r="S1462" i="8"/>
  <c r="T1465" i="8"/>
  <c r="T1521" i="8"/>
  <c r="T1537" i="8"/>
  <c r="S1592" i="8"/>
  <c r="T716" i="8"/>
  <c r="S716" i="8"/>
  <c r="T1018" i="8"/>
  <c r="S1018" i="8"/>
  <c r="T595" i="8"/>
  <c r="S595" i="8"/>
  <c r="T95" i="8"/>
  <c r="S95" i="8"/>
  <c r="S510" i="8"/>
  <c r="T510" i="8"/>
  <c r="S92" i="8"/>
  <c r="S504" i="8"/>
  <c r="S824" i="8"/>
  <c r="T824" i="8"/>
  <c r="S864" i="8"/>
  <c r="S422" i="8"/>
  <c r="T52" i="8"/>
  <c r="S698" i="8"/>
  <c r="S81" i="8"/>
  <c r="S139" i="8"/>
  <c r="S326" i="8"/>
  <c r="S350" i="8"/>
  <c r="T445" i="8"/>
  <c r="S445" i="8"/>
  <c r="T1084" i="8"/>
  <c r="S1084" i="8"/>
  <c r="S1103" i="8"/>
  <c r="T1103" i="8"/>
  <c r="T1493" i="8"/>
  <c r="S118" i="8"/>
  <c r="T384" i="8"/>
  <c r="S384" i="8"/>
  <c r="T413" i="8"/>
  <c r="T572" i="8"/>
  <c r="T87" i="8"/>
  <c r="S87" i="8"/>
  <c r="S121" i="8"/>
  <c r="S530" i="8"/>
  <c r="T530" i="8"/>
  <c r="T917" i="8"/>
  <c r="S917" i="8"/>
  <c r="S1065" i="8"/>
  <c r="T1065" i="8"/>
  <c r="S1205" i="8"/>
  <c r="T1205" i="8"/>
  <c r="S1449" i="8"/>
  <c r="T1449" i="8"/>
  <c r="S291" i="8"/>
  <c r="T291" i="8"/>
  <c r="T334" i="8"/>
  <c r="S334" i="8"/>
  <c r="T507" i="8"/>
  <c r="T68" i="8"/>
  <c r="T355" i="8"/>
  <c r="S470" i="8"/>
  <c r="T760" i="8"/>
  <c r="S34" i="8"/>
  <c r="S105" i="8"/>
  <c r="T664" i="8"/>
  <c r="T419" i="8"/>
  <c r="S265" i="8"/>
  <c r="S818" i="8"/>
  <c r="T188" i="8"/>
  <c r="S893" i="8"/>
  <c r="T893" i="8"/>
  <c r="T1100" i="8"/>
  <c r="S1100" i="8"/>
  <c r="T1196" i="8"/>
  <c r="S1196" i="8"/>
  <c r="S26" i="8"/>
  <c r="S204" i="8"/>
  <c r="S223" i="8"/>
  <c r="T223" i="8"/>
  <c r="S339" i="8"/>
  <c r="S407" i="8"/>
  <c r="S527" i="8"/>
  <c r="T527" i="8"/>
  <c r="T730" i="8"/>
  <c r="T1069" i="8"/>
  <c r="S1069" i="8"/>
  <c r="T1404" i="8"/>
  <c r="S1404" i="8"/>
  <c r="S47" i="8"/>
  <c r="S50" i="8"/>
  <c r="T50" i="8"/>
  <c r="S76" i="8"/>
  <c r="S152" i="8"/>
  <c r="S201" i="8"/>
  <c r="S238" i="8"/>
  <c r="T1041" i="8"/>
  <c r="T1062" i="8"/>
  <c r="S1062" i="8"/>
  <c r="T1059" i="8"/>
  <c r="S1059" i="8"/>
  <c r="T1370" i="8"/>
  <c r="S1370" i="8"/>
  <c r="S178" i="8"/>
  <c r="S215" i="8"/>
  <c r="T331" i="8"/>
  <c r="S305" i="8"/>
  <c r="T390" i="8"/>
  <c r="S390" i="8"/>
  <c r="T667" i="8"/>
  <c r="S710" i="8"/>
  <c r="T710" i="8"/>
  <c r="T566" i="8"/>
  <c r="S416" i="8"/>
  <c r="T442" i="8"/>
  <c r="S442" i="8"/>
  <c r="S499" i="8"/>
  <c r="T499" i="8"/>
  <c r="S168" i="8"/>
  <c r="T168" i="8"/>
  <c r="S183" i="8"/>
  <c r="S260" i="8"/>
  <c r="T260" i="8"/>
  <c r="S318" i="8"/>
  <c r="S433" i="8"/>
  <c r="T459" i="8"/>
  <c r="S459" i="8"/>
  <c r="S490" i="8"/>
  <c r="T490" i="8"/>
  <c r="T795" i="8"/>
  <c r="S795" i="8"/>
  <c r="S897" i="8"/>
  <c r="T897" i="8"/>
  <c r="S144" i="8"/>
  <c r="T123" i="8"/>
  <c r="S108" i="8"/>
  <c r="T108" i="8"/>
  <c r="S448" i="8"/>
  <c r="T448" i="8"/>
  <c r="S618" i="8"/>
  <c r="T739" i="8"/>
  <c r="S739" i="8"/>
  <c r="T79" i="8"/>
  <c r="S79" i="8"/>
  <c r="S116" i="8"/>
  <c r="S257" i="8"/>
  <c r="S366" i="8"/>
  <c r="T366" i="8"/>
  <c r="T430" i="8"/>
  <c r="S430" i="8"/>
  <c r="S515" i="8"/>
  <c r="S389" i="8"/>
  <c r="T389" i="8"/>
  <c r="T24" i="8"/>
  <c r="S24" i="8"/>
  <c r="T586" i="8"/>
  <c r="S870" i="8"/>
  <c r="T243" i="8"/>
  <c r="S55" i="8"/>
  <c r="S612" i="8"/>
  <c r="T612" i="8"/>
  <c r="S757" i="8"/>
  <c r="T173" i="8"/>
  <c r="S173" i="8"/>
  <c r="T113" i="8"/>
  <c r="S113" i="8"/>
  <c r="S134" i="8"/>
  <c r="S147" i="8"/>
  <c r="S839" i="8"/>
  <c r="S1047" i="8"/>
  <c r="S193" i="8"/>
  <c r="T193" i="8"/>
  <c r="S39" i="8"/>
  <c r="T456" i="8"/>
  <c r="T74" i="8"/>
  <c r="S74" i="8"/>
  <c r="S126" i="8"/>
  <c r="S228" i="8"/>
  <c r="S249" i="8"/>
  <c r="S704" i="8"/>
  <c r="T704" i="8"/>
  <c r="T110" i="8"/>
  <c r="S110" i="8"/>
  <c r="T294" i="8"/>
  <c r="S294" i="8"/>
  <c r="S598" i="8"/>
  <c r="T598" i="8"/>
  <c r="S1361" i="8"/>
  <c r="T1361" i="8"/>
  <c r="T337" i="8"/>
  <c r="S337" i="8"/>
  <c r="T1367" i="8"/>
  <c r="S1367" i="8"/>
  <c r="S53" i="8"/>
  <c r="T53" i="8"/>
  <c r="T268" i="8"/>
  <c r="S268" i="8"/>
  <c r="S289" i="8"/>
  <c r="T316" i="8"/>
  <c r="S316" i="8"/>
  <c r="S324" i="8"/>
  <c r="S345" i="8"/>
  <c r="T399" i="8"/>
  <c r="S476" i="8"/>
  <c r="T496" i="8"/>
  <c r="S496" i="8"/>
  <c r="T524" i="8"/>
  <c r="S578" i="8"/>
  <c r="S693" i="8"/>
  <c r="T693" i="8"/>
  <c r="T696" i="8"/>
  <c r="S696" i="8"/>
  <c r="T699" i="8"/>
  <c r="S699" i="8"/>
  <c r="S722" i="8"/>
  <c r="S827" i="8"/>
  <c r="T873" i="8"/>
  <c r="T891" i="8"/>
  <c r="S891" i="8"/>
  <c r="T964" i="8"/>
  <c r="S964" i="8"/>
  <c r="T1197" i="8"/>
  <c r="S1197" i="8"/>
  <c r="T1336" i="8"/>
  <c r="S1336" i="8"/>
  <c r="T1342" i="8"/>
  <c r="S1342" i="8"/>
  <c r="S1364" i="8"/>
  <c r="S1380" i="8"/>
  <c r="T1380" i="8"/>
  <c r="T1566" i="8"/>
  <c r="S1566" i="8"/>
  <c r="S45" i="8"/>
  <c r="S66" i="8"/>
  <c r="S158" i="8"/>
  <c r="S163" i="8"/>
  <c r="S176" i="8"/>
  <c r="S181" i="8"/>
  <c r="S186" i="8"/>
  <c r="S194" i="8"/>
  <c r="S199" i="8"/>
  <c r="S207" i="8"/>
  <c r="T207" i="8"/>
  <c r="S308" i="8"/>
  <c r="S319" i="8"/>
  <c r="S329" i="8"/>
  <c r="T396" i="8"/>
  <c r="S396" i="8"/>
  <c r="T425" i="8"/>
  <c r="S425" i="8"/>
  <c r="S428" i="8"/>
  <c r="T428" i="8"/>
  <c r="T468" i="8"/>
  <c r="S471" i="8"/>
  <c r="S482" i="8"/>
  <c r="T550" i="8"/>
  <c r="S550" i="8"/>
  <c r="S564" i="8"/>
  <c r="T731" i="8"/>
  <c r="S731" i="8"/>
  <c r="S766" i="8"/>
  <c r="S851" i="8"/>
  <c r="T862" i="8"/>
  <c r="S862" i="8"/>
  <c r="S882" i="8"/>
  <c r="T938" i="8"/>
  <c r="S938" i="8"/>
  <c r="T1004" i="8"/>
  <c r="S1257" i="8"/>
  <c r="S1289" i="8"/>
  <c r="T1289" i="8"/>
  <c r="T1456" i="8"/>
  <c r="S1456" i="8"/>
  <c r="S1479" i="8"/>
  <c r="T1479" i="8"/>
  <c r="T1575" i="8"/>
  <c r="S1575" i="8"/>
  <c r="T1612" i="8"/>
  <c r="S1612" i="8"/>
  <c r="S27" i="8"/>
  <c r="S32" i="8"/>
  <c r="S61" i="8"/>
  <c r="S132" i="8"/>
  <c r="T153" i="8"/>
  <c r="S153" i="8"/>
  <c r="S233" i="8"/>
  <c r="S244" i="8"/>
  <c r="S393" i="8"/>
  <c r="S437" i="8"/>
  <c r="S553" i="8"/>
  <c r="T650" i="8"/>
  <c r="S650" i="8"/>
  <c r="S679" i="8"/>
  <c r="S746" i="8"/>
  <c r="S752" i="8"/>
  <c r="T752" i="8"/>
  <c r="S876" i="8"/>
  <c r="S918" i="8"/>
  <c r="S1070" i="8"/>
  <c r="S1094" i="8"/>
  <c r="S1181" i="8"/>
  <c r="T1181" i="8"/>
  <c r="T1339" i="8"/>
  <c r="S1339" i="8"/>
  <c r="T1355" i="8"/>
  <c r="S1355" i="8"/>
  <c r="S1517" i="8"/>
  <c r="T1517" i="8"/>
  <c r="S1560" i="8"/>
  <c r="T1631" i="8"/>
  <c r="S1631" i="8"/>
  <c r="S56" i="8"/>
  <c r="S90" i="8"/>
  <c r="T90" i="8"/>
  <c r="S124" i="8"/>
  <c r="S210" i="8"/>
  <c r="S255" i="8"/>
  <c r="T255" i="8"/>
  <c r="S298" i="8"/>
  <c r="T303" i="8"/>
  <c r="S408" i="8"/>
  <c r="T411" i="8"/>
  <c r="S502" i="8"/>
  <c r="T519" i="8"/>
  <c r="S519" i="8"/>
  <c r="S590" i="8"/>
  <c r="S619" i="8"/>
  <c r="S633" i="8"/>
  <c r="T665" i="8"/>
  <c r="S665" i="8"/>
  <c r="T705" i="8"/>
  <c r="S705" i="8"/>
  <c r="S865" i="8"/>
  <c r="T868" i="8"/>
  <c r="T995" i="8"/>
  <c r="S1010" i="8"/>
  <c r="S1025" i="8"/>
  <c r="T1051" i="8"/>
  <c r="T1054" i="8"/>
  <c r="S1054" i="8"/>
  <c r="T1060" i="8"/>
  <c r="T1269" i="8"/>
  <c r="S35" i="8"/>
  <c r="T48" i="8"/>
  <c r="S93" i="8"/>
  <c r="T93" i="8"/>
  <c r="S119" i="8"/>
  <c r="T148" i="8"/>
  <c r="T311" i="8"/>
  <c r="S376" i="8"/>
  <c r="T385" i="8"/>
  <c r="S385" i="8"/>
  <c r="S457" i="8"/>
  <c r="T505" i="8"/>
  <c r="S505" i="8"/>
  <c r="T508" i="8"/>
  <c r="S508" i="8"/>
  <c r="S516" i="8"/>
  <c r="S573" i="8"/>
  <c r="T573" i="8"/>
  <c r="S656" i="8"/>
  <c r="S708" i="8"/>
  <c r="T714" i="8"/>
  <c r="T819" i="8"/>
  <c r="T822" i="8"/>
  <c r="S822" i="8"/>
  <c r="S857" i="8"/>
  <c r="T1019" i="8"/>
  <c r="T1157" i="8"/>
  <c r="S1157" i="8"/>
  <c r="S1188" i="8"/>
  <c r="T1188" i="8"/>
  <c r="S1278" i="8"/>
  <c r="T1459" i="8"/>
  <c r="T361" i="8"/>
  <c r="S361" i="8"/>
  <c r="T382" i="8"/>
  <c r="S382" i="8"/>
  <c r="T639" i="8"/>
  <c r="S639" i="8"/>
  <c r="T711" i="8"/>
  <c r="S711" i="8"/>
  <c r="T953" i="8"/>
  <c r="S953" i="8"/>
  <c r="T1530" i="8"/>
  <c r="S1530" i="8"/>
  <c r="S330" i="8"/>
  <c r="T330" i="8"/>
  <c r="S924" i="8"/>
  <c r="S950" i="8"/>
  <c r="T968" i="8"/>
  <c r="S968" i="8"/>
  <c r="S25" i="8"/>
  <c r="S64" i="8"/>
  <c r="S205" i="8"/>
  <c r="S338" i="8"/>
  <c r="S562" i="8"/>
  <c r="S688" i="8"/>
  <c r="S96" i="8"/>
  <c r="T143" i="8"/>
  <c r="S224" i="8"/>
  <c r="S242" i="8"/>
  <c r="S261" i="8"/>
  <c r="S301" i="8"/>
  <c r="S642" i="8"/>
  <c r="S735" i="8"/>
  <c r="S939" i="8"/>
  <c r="S33" i="8"/>
  <c r="T33" i="8"/>
  <c r="S54" i="8"/>
  <c r="S59" i="8"/>
  <c r="S67" i="8"/>
  <c r="S75" i="8"/>
  <c r="T88" i="8"/>
  <c r="T138" i="8"/>
  <c r="S187" i="8"/>
  <c r="S277" i="8"/>
  <c r="T325" i="8"/>
  <c r="T397" i="8"/>
  <c r="S397" i="8"/>
  <c r="T429" i="8"/>
  <c r="S435" i="8"/>
  <c r="T435" i="8"/>
  <c r="S438" i="8"/>
  <c r="T469" i="8"/>
  <c r="T497" i="8"/>
  <c r="S602" i="8"/>
  <c r="T602" i="8"/>
  <c r="S296" i="8"/>
  <c r="S304" i="8"/>
  <c r="T368" i="8"/>
  <c r="T455" i="8"/>
  <c r="S486" i="8"/>
  <c r="T634" i="8"/>
  <c r="S657" i="8"/>
  <c r="T750" i="8"/>
  <c r="S750" i="8"/>
  <c r="T811" i="8"/>
  <c r="S811" i="8"/>
  <c r="S922" i="8"/>
  <c r="T1131" i="8"/>
  <c r="T1297" i="8"/>
  <c r="S1297" i="8"/>
  <c r="S528" i="8"/>
  <c r="T528" i="8"/>
  <c r="S266" i="8"/>
  <c r="S388" i="8"/>
  <c r="S579" i="8"/>
  <c r="S250" i="8"/>
  <c r="S290" i="8"/>
  <c r="T290" i="8"/>
  <c r="T466" i="8"/>
  <c r="S466" i="8"/>
  <c r="T614" i="8"/>
  <c r="T628" i="8"/>
  <c r="S195" i="8"/>
  <c r="S346" i="8"/>
  <c r="T636" i="8"/>
  <c r="T697" i="8"/>
  <c r="T808" i="8"/>
  <c r="S880" i="8"/>
  <c r="T880" i="8"/>
  <c r="S936" i="8"/>
  <c r="S942" i="8"/>
  <c r="S962" i="8"/>
  <c r="S1195" i="8"/>
  <c r="S1397" i="8"/>
  <c r="T1397" i="8"/>
  <c r="S3" i="8"/>
  <c r="S46" i="8"/>
  <c r="S125" i="8"/>
  <c r="T125" i="8"/>
  <c r="S133" i="8"/>
  <c r="T133" i="8"/>
  <c r="T208" i="8"/>
  <c r="T234" i="8"/>
  <c r="S234" i="8"/>
  <c r="S293" i="8"/>
  <c r="S421" i="8"/>
  <c r="S554" i="8"/>
  <c r="T554" i="8"/>
  <c r="T631" i="8"/>
  <c r="S631" i="8"/>
  <c r="T680" i="8"/>
  <c r="S797" i="8"/>
  <c r="S41" i="8"/>
  <c r="S104" i="8"/>
  <c r="S237" i="8"/>
  <c r="S365" i="8"/>
  <c r="T617" i="8"/>
  <c r="S36" i="8"/>
  <c r="T70" i="8"/>
  <c r="S70" i="8"/>
  <c r="S112" i="8"/>
  <c r="T128" i="8"/>
  <c r="S136" i="8"/>
  <c r="S141" i="8"/>
  <c r="T154" i="8"/>
  <c r="T172" i="8"/>
  <c r="S172" i="8"/>
  <c r="S190" i="8"/>
  <c r="S203" i="8"/>
  <c r="S211" i="8"/>
  <c r="T211" i="8"/>
  <c r="T256" i="8"/>
  <c r="S264" i="8"/>
  <c r="T282" i="8"/>
  <c r="S336" i="8"/>
  <c r="T341" i="8"/>
  <c r="T357" i="8"/>
  <c r="T371" i="8"/>
  <c r="S377" i="8"/>
  <c r="S444" i="8"/>
  <c r="S447" i="8"/>
  <c r="S759" i="8"/>
  <c r="T773" i="8"/>
  <c r="S776" i="8"/>
  <c r="T782" i="8"/>
  <c r="S782" i="8"/>
  <c r="S902" i="8"/>
  <c r="T948" i="8"/>
  <c r="S948" i="8"/>
  <c r="T1017" i="8"/>
  <c r="S1017" i="8"/>
  <c r="S1077" i="8"/>
  <c r="T1077" i="8"/>
  <c r="S1126" i="8"/>
  <c r="T1179" i="8"/>
  <c r="S1179" i="8"/>
  <c r="S1276" i="8"/>
  <c r="S607" i="8"/>
  <c r="T607" i="8"/>
  <c r="S734" i="8"/>
  <c r="T734" i="8"/>
  <c r="S258" i="8"/>
  <c r="T258" i="8"/>
  <c r="S373" i="8"/>
  <c r="T373" i="8"/>
  <c r="T904" i="8"/>
  <c r="S904" i="8"/>
  <c r="S30" i="8"/>
  <c r="S72" i="8"/>
  <c r="S101" i="8"/>
  <c r="S179" i="8"/>
  <c r="S184" i="8"/>
  <c r="S351" i="8"/>
  <c r="T351" i="8"/>
  <c r="S391" i="8"/>
  <c r="T391" i="8"/>
  <c r="S611" i="8"/>
  <c r="T622" i="8"/>
  <c r="S805" i="8"/>
  <c r="S846" i="8"/>
  <c r="T971" i="8"/>
  <c r="S971" i="8"/>
  <c r="S1119" i="8"/>
  <c r="T1119" i="8"/>
  <c r="S1160" i="8"/>
  <c r="T1178" i="8"/>
  <c r="S1178" i="8"/>
  <c r="S1198" i="8"/>
  <c r="T1252" i="8"/>
  <c r="S1359" i="8"/>
  <c r="T1368" i="8"/>
  <c r="T1451" i="8"/>
  <c r="T287" i="8"/>
  <c r="T317" i="8"/>
  <c r="S317" i="8"/>
  <c r="S362" i="8"/>
  <c r="S500" i="8"/>
  <c r="T500" i="8"/>
  <c r="S537" i="8"/>
  <c r="T559" i="8"/>
  <c r="T645" i="8"/>
  <c r="S645" i="8"/>
  <c r="T700" i="8"/>
  <c r="S828" i="8"/>
  <c r="S1340" i="8"/>
  <c r="T1340" i="8"/>
  <c r="T1356" i="8"/>
  <c r="S1356" i="8"/>
  <c r="S1506" i="8"/>
  <c r="S1540" i="8"/>
  <c r="T1635" i="8"/>
  <c r="S146" i="8"/>
  <c r="S333" i="8"/>
  <c r="T785" i="8"/>
  <c r="S785" i="8"/>
  <c r="T794" i="8"/>
  <c r="S794" i="8"/>
  <c r="S930" i="8"/>
  <c r="T1102" i="8"/>
  <c r="S1102" i="8"/>
  <c r="S159" i="8"/>
  <c r="S164" i="8"/>
  <c r="S219" i="8"/>
  <c r="S73" i="8"/>
  <c r="T73" i="8"/>
  <c r="S99" i="8"/>
  <c r="T115" i="8"/>
  <c r="S115" i="8"/>
  <c r="S227" i="8"/>
  <c r="S344" i="8"/>
  <c r="T344" i="8"/>
  <c r="T386" i="8"/>
  <c r="S458" i="8"/>
  <c r="T489" i="8"/>
  <c r="S489" i="8"/>
  <c r="T577" i="8"/>
  <c r="S577" i="8"/>
  <c r="T580" i="8"/>
  <c r="S762" i="8"/>
  <c r="S817" i="8"/>
  <c r="T817" i="8"/>
  <c r="S988" i="8"/>
  <c r="T988" i="8"/>
  <c r="S1074" i="8"/>
  <c r="S1099" i="8"/>
  <c r="T1099" i="8"/>
  <c r="T1155" i="8"/>
  <c r="S1155" i="8"/>
  <c r="S610" i="8"/>
  <c r="T672" i="8"/>
  <c r="T715" i="8"/>
  <c r="S715" i="8"/>
  <c r="T1080" i="8"/>
  <c r="S1080" i="8"/>
  <c r="S145" i="8"/>
  <c r="S240" i="8"/>
  <c r="T245" i="8"/>
  <c r="T263" i="8"/>
  <c r="S375" i="8"/>
  <c r="S398" i="8"/>
  <c r="S406" i="8"/>
  <c r="T593" i="8"/>
  <c r="S790" i="8"/>
  <c r="T1130" i="8"/>
  <c r="T1344" i="8"/>
  <c r="S1344" i="8"/>
  <c r="T1135" i="8"/>
  <c r="S1135" i="8"/>
  <c r="T1463" i="8"/>
  <c r="S1463" i="8"/>
  <c r="T1469" i="8"/>
  <c r="S1469" i="8"/>
  <c r="T1601" i="8"/>
  <c r="S1601" i="8"/>
  <c r="S202" i="8"/>
  <c r="T202" i="8"/>
  <c r="S712" i="8"/>
  <c r="T712" i="8"/>
  <c r="T874" i="8"/>
  <c r="S874" i="8"/>
  <c r="S937" i="8"/>
  <c r="S1138" i="8"/>
  <c r="T1150" i="8"/>
  <c r="S1150" i="8"/>
  <c r="T1193" i="8"/>
  <c r="T1238" i="8"/>
  <c r="S1238" i="8"/>
  <c r="T1369" i="8"/>
  <c r="S1369" i="8"/>
  <c r="S130" i="8"/>
  <c r="S135" i="8"/>
  <c r="S192" i="8"/>
  <c r="S212" i="8"/>
  <c r="S286" i="8"/>
  <c r="S322" i="8"/>
  <c r="S498" i="8"/>
  <c r="S585" i="8"/>
  <c r="T604" i="8"/>
  <c r="T652" i="8"/>
  <c r="S981" i="8"/>
  <c r="S7" i="8"/>
  <c r="S235" i="8"/>
  <c r="S271" i="8"/>
  <c r="S356" i="8"/>
  <c r="T395" i="8"/>
  <c r="S415" i="8"/>
  <c r="T415" i="8"/>
  <c r="S465" i="8"/>
  <c r="S495" i="8"/>
  <c r="S526" i="8"/>
  <c r="T638" i="8"/>
  <c r="S638" i="8"/>
  <c r="S692" i="8"/>
  <c r="T692" i="8"/>
  <c r="S738" i="8"/>
  <c r="T778" i="8"/>
  <c r="T972" i="8"/>
  <c r="T1083" i="8"/>
  <c r="S1101" i="8"/>
  <c r="S1379" i="8"/>
  <c r="T1379" i="8"/>
  <c r="T1522" i="8"/>
  <c r="S1522" i="8"/>
  <c r="T1626" i="8"/>
  <c r="S1626" i="8"/>
  <c r="T1014" i="8"/>
  <c r="S1014" i="8"/>
  <c r="T1068" i="8"/>
  <c r="S1068" i="8"/>
  <c r="T1184" i="8"/>
  <c r="S1184" i="8"/>
  <c r="S1233" i="8"/>
  <c r="T1233" i="8"/>
  <c r="T1315" i="8"/>
  <c r="T1335" i="8"/>
  <c r="S1335" i="8"/>
  <c r="T1541" i="8"/>
  <c r="T1547" i="8"/>
  <c r="S1547" i="8"/>
  <c r="T814" i="8"/>
  <c r="S814" i="8"/>
  <c r="T931" i="8"/>
  <c r="S931" i="8"/>
  <c r="T1290" i="8"/>
  <c r="S1290" i="8"/>
  <c r="T1576" i="8"/>
  <c r="S1576" i="8"/>
  <c r="T596" i="8"/>
  <c r="S596" i="8"/>
  <c r="T677" i="8"/>
  <c r="S677" i="8"/>
  <c r="S830" i="8"/>
  <c r="T860" i="8"/>
  <c r="S885" i="8"/>
  <c r="T934" i="8"/>
  <c r="S934" i="8"/>
  <c r="S965" i="8"/>
  <c r="T965" i="8"/>
  <c r="S1066" i="8"/>
  <c r="T1066" i="8"/>
  <c r="S1075" i="8"/>
  <c r="T1078" i="8"/>
  <c r="S1244" i="8"/>
  <c r="T1284" i="8"/>
  <c r="S1579" i="8"/>
  <c r="T1579" i="8"/>
  <c r="T451" i="8"/>
  <c r="S451" i="8"/>
  <c r="T485" i="8"/>
  <c r="S485" i="8"/>
  <c r="T777" i="8"/>
  <c r="S777" i="8"/>
  <c r="S1535" i="8"/>
  <c r="T1535" i="8"/>
  <c r="T1580" i="8"/>
  <c r="S1580" i="8"/>
  <c r="S42" i="8"/>
  <c r="S62" i="8"/>
  <c r="S82" i="8"/>
  <c r="S102" i="8"/>
  <c r="S122" i="8"/>
  <c r="S142" i="8"/>
  <c r="S162" i="8"/>
  <c r="S182" i="8"/>
  <c r="S218" i="8"/>
  <c r="S225" i="8"/>
  <c r="S241" i="8"/>
  <c r="S248" i="8"/>
  <c r="T276" i="8"/>
  <c r="T283" i="8"/>
  <c r="S309" i="8"/>
  <c r="T323" i="8"/>
  <c r="T379" i="8"/>
  <c r="S402" i="8"/>
  <c r="S410" i="8"/>
  <c r="S441" i="8"/>
  <c r="S446" i="8"/>
  <c r="S472" i="8"/>
  <c r="T472" i="8"/>
  <c r="S477" i="8"/>
  <c r="S707" i="8"/>
  <c r="S726" i="8"/>
  <c r="S753" i="8"/>
  <c r="S796" i="8"/>
  <c r="T799" i="8"/>
  <c r="S799" i="8"/>
  <c r="T834" i="8"/>
  <c r="S834" i="8"/>
  <c r="S974" i="8"/>
  <c r="T991" i="8"/>
  <c r="S991" i="8"/>
  <c r="S1003" i="8"/>
  <c r="T1003" i="8"/>
  <c r="T1035" i="8"/>
  <c r="S1035" i="8"/>
  <c r="S1067" i="8"/>
  <c r="S1079" i="8"/>
  <c r="S1156" i="8"/>
  <c r="T1210" i="8"/>
  <c r="S1210" i="8"/>
  <c r="S1245" i="8"/>
  <c r="T1245" i="8"/>
  <c r="T1347" i="8"/>
  <c r="S1347" i="8"/>
  <c r="S1350" i="8"/>
  <c r="T1350" i="8"/>
  <c r="S1617" i="8"/>
  <c r="T1617" i="8"/>
  <c r="T1620" i="8"/>
  <c r="S1620" i="8"/>
  <c r="T954" i="8"/>
  <c r="S954" i="8"/>
  <c r="T1125" i="8"/>
  <c r="S1125" i="8"/>
  <c r="T1577" i="8"/>
  <c r="S1577" i="8"/>
  <c r="S51" i="8"/>
  <c r="S71" i="8"/>
  <c r="S91" i="8"/>
  <c r="S436" i="8"/>
  <c r="T454" i="8"/>
  <c r="S462" i="8"/>
  <c r="S467" i="8"/>
  <c r="T605" i="8"/>
  <c r="S605" i="8"/>
  <c r="T845" i="8"/>
  <c r="S845" i="8"/>
  <c r="T1000" i="8"/>
  <c r="S1000" i="8"/>
  <c r="S1064" i="8"/>
  <c r="T1064" i="8"/>
  <c r="T1476" i="8"/>
  <c r="S1476" i="8"/>
  <c r="S1599" i="8"/>
  <c r="T1599" i="8"/>
  <c r="T831" i="8"/>
  <c r="S831" i="8"/>
  <c r="T1026" i="8"/>
  <c r="S1026" i="8"/>
  <c r="T1093" i="8"/>
  <c r="S1093" i="8"/>
  <c r="S269" i="8"/>
  <c r="T405" i="8"/>
  <c r="S405" i="8"/>
  <c r="T418" i="8"/>
  <c r="T431" i="8"/>
  <c r="S512" i="8"/>
  <c r="T512" i="8"/>
  <c r="T531" i="8"/>
  <c r="S531" i="8"/>
  <c r="T539" i="8"/>
  <c r="S539" i="8"/>
  <c r="T560" i="8"/>
  <c r="S608" i="8"/>
  <c r="T624" i="8"/>
  <c r="T686" i="8"/>
  <c r="S691" i="8"/>
  <c r="T786" i="8"/>
  <c r="S786" i="8"/>
  <c r="T837" i="8"/>
  <c r="T886" i="8"/>
  <c r="S900" i="8"/>
  <c r="T900" i="8"/>
  <c r="S977" i="8"/>
  <c r="T980" i="8"/>
  <c r="S1049" i="8"/>
  <c r="S1085" i="8"/>
  <c r="T1085" i="8"/>
  <c r="S1151" i="8"/>
  <c r="T1151" i="8"/>
  <c r="T1165" i="8"/>
  <c r="T1222" i="8"/>
  <c r="T1411" i="8"/>
  <c r="S1411" i="8"/>
  <c r="T1556" i="8"/>
  <c r="S1556" i="8"/>
  <c r="T894" i="8"/>
  <c r="S894" i="8"/>
  <c r="T1001" i="8"/>
  <c r="S1001" i="8"/>
  <c r="S1063" i="8"/>
  <c r="T1063" i="8"/>
  <c r="T1109" i="8"/>
  <c r="S1109" i="8"/>
  <c r="S1145" i="8"/>
  <c r="T1145" i="8"/>
  <c r="T1148" i="8"/>
  <c r="S1148" i="8"/>
  <c r="T1292" i="8"/>
  <c r="S1292" i="8"/>
  <c r="T354" i="8"/>
  <c r="S354" i="8"/>
  <c r="T879" i="8"/>
  <c r="S879" i="8"/>
  <c r="T963" i="8"/>
  <c r="S963" i="8"/>
  <c r="S1002" i="8"/>
  <c r="T1002" i="8"/>
  <c r="S1230" i="8"/>
  <c r="T1230" i="8"/>
  <c r="T1373" i="8"/>
  <c r="S1373" i="8"/>
  <c r="T1496" i="8"/>
  <c r="S1496" i="8"/>
  <c r="S1519" i="8"/>
  <c r="T1519" i="8"/>
  <c r="T1595" i="8"/>
  <c r="S1595" i="8"/>
  <c r="S1619" i="8"/>
  <c r="T1619" i="8"/>
  <c r="T1141" i="8"/>
  <c r="S1141" i="8"/>
  <c r="T1187" i="8"/>
  <c r="S1187" i="8"/>
  <c r="S1225" i="8"/>
  <c r="T1225" i="8"/>
  <c r="T1346" i="8"/>
  <c r="S1346" i="8"/>
  <c r="T1377" i="8"/>
  <c r="S1377" i="8"/>
  <c r="S820" i="8"/>
  <c r="T820" i="8"/>
  <c r="T914" i="8"/>
  <c r="S914" i="8"/>
  <c r="T940" i="8"/>
  <c r="S945" i="8"/>
  <c r="S978" i="8"/>
  <c r="T978" i="8"/>
  <c r="T1042" i="8"/>
  <c r="S1042" i="8"/>
  <c r="S1097" i="8"/>
  <c r="T1097" i="8"/>
  <c r="S1144" i="8"/>
  <c r="S1251" i="8"/>
  <c r="T1251" i="8"/>
  <c r="S1291" i="8"/>
  <c r="T1311" i="8"/>
  <c r="S1311" i="8"/>
  <c r="T774" i="8"/>
  <c r="S774" i="8"/>
  <c r="T854" i="8"/>
  <c r="S854" i="8"/>
  <c r="T1320" i="8"/>
  <c r="S1320" i="8"/>
  <c r="T1569" i="8"/>
  <c r="S1569" i="8"/>
  <c r="T1596" i="8"/>
  <c r="S1596" i="8"/>
  <c r="T1602" i="8"/>
  <c r="S1602" i="8"/>
  <c r="T1287" i="8"/>
  <c r="S1287" i="8"/>
  <c r="T1304" i="8"/>
  <c r="S1304" i="8"/>
  <c r="T1378" i="8"/>
  <c r="S1378" i="8"/>
  <c r="S1390" i="8"/>
  <c r="S1393" i="8"/>
  <c r="S1401" i="8"/>
  <c r="S1561" i="8"/>
  <c r="T1567" i="8"/>
  <c r="S1567" i="8"/>
  <c r="S1597" i="8"/>
  <c r="T1597" i="8"/>
  <c r="S374" i="8"/>
  <c r="S394" i="8"/>
  <c r="S414" i="8"/>
  <c r="S434" i="8"/>
  <c r="S480" i="8"/>
  <c r="S487" i="8"/>
  <c r="T520" i="8"/>
  <c r="S558" i="8"/>
  <c r="S570" i="8"/>
  <c r="S582" i="8"/>
  <c r="T620" i="8"/>
  <c r="S658" i="8"/>
  <c r="S670" i="8"/>
  <c r="S682" i="8"/>
  <c r="T720" i="8"/>
  <c r="S758" i="8"/>
  <c r="S770" i="8"/>
  <c r="S787" i="8"/>
  <c r="S816" i="8"/>
  <c r="S833" i="8"/>
  <c r="S850" i="8"/>
  <c r="S867" i="8"/>
  <c r="S896" i="8"/>
  <c r="T958" i="8"/>
  <c r="S976" i="8"/>
  <c r="T1013" i="8"/>
  <c r="S1013" i="8"/>
  <c r="S1021" i="8"/>
  <c r="S1034" i="8"/>
  <c r="S1058" i="8"/>
  <c r="S1096" i="8"/>
  <c r="S1121" i="8"/>
  <c r="S1161" i="8"/>
  <c r="T1166" i="8"/>
  <c r="T1180" i="8"/>
  <c r="S1201" i="8"/>
  <c r="T1201" i="8"/>
  <c r="S1293" i="8"/>
  <c r="T1372" i="8"/>
  <c r="S1372" i="8"/>
  <c r="S1406" i="8"/>
  <c r="T1406" i="8"/>
  <c r="S1441" i="8"/>
  <c r="S1481" i="8"/>
  <c r="T1481" i="8"/>
  <c r="S1564" i="8"/>
  <c r="T1564" i="8"/>
  <c r="T452" i="8"/>
  <c r="S525" i="8"/>
  <c r="T532" i="8"/>
  <c r="S551" i="8"/>
  <c r="S625" i="8"/>
  <c r="T632" i="8"/>
  <c r="S651" i="8"/>
  <c r="S725" i="8"/>
  <c r="T732" i="8"/>
  <c r="S751" i="8"/>
  <c r="S984" i="8"/>
  <c r="T1029" i="8"/>
  <c r="T1186" i="8"/>
  <c r="S1186" i="8"/>
  <c r="S1215" i="8"/>
  <c r="T1215" i="8"/>
  <c r="T1218" i="8"/>
  <c r="S1218" i="8"/>
  <c r="S1229" i="8"/>
  <c r="S1232" i="8"/>
  <c r="T1396" i="8"/>
  <c r="S1396" i="8"/>
  <c r="S1550" i="8"/>
  <c r="T1555" i="8"/>
  <c r="T1353" i="8"/>
  <c r="S1353" i="8"/>
  <c r="T1431" i="8"/>
  <c r="S1431" i="8"/>
  <c r="T1091" i="8"/>
  <c r="S1091" i="8"/>
  <c r="T1216" i="8"/>
  <c r="S1216" i="8"/>
  <c r="T1447" i="8"/>
  <c r="S1447" i="8"/>
  <c r="S1497" i="8"/>
  <c r="T1497" i="8"/>
  <c r="S1123" i="8"/>
  <c r="T1123" i="8"/>
  <c r="S1023" i="8"/>
  <c r="T1023" i="8"/>
  <c r="T1189" i="8"/>
  <c r="S1208" i="8"/>
  <c r="T1264" i="8"/>
  <c r="S1387" i="8"/>
  <c r="T1433" i="8"/>
  <c r="T1439" i="8"/>
  <c r="T1489" i="8"/>
  <c r="S1531" i="8"/>
  <c r="T1587" i="8"/>
  <c r="S1587" i="8"/>
  <c r="S1607" i="8"/>
  <c r="T1630" i="8"/>
  <c r="S1630" i="8"/>
  <c r="T1190" i="8"/>
  <c r="S1190" i="8"/>
  <c r="T1328" i="8"/>
  <c r="S1328" i="8"/>
  <c r="T1176" i="8"/>
  <c r="S1176" i="8"/>
  <c r="T1241" i="8"/>
  <c r="S1241" i="8"/>
  <c r="T1256" i="8"/>
  <c r="S1256" i="8"/>
  <c r="T1279" i="8"/>
  <c r="S1279" i="8"/>
  <c r="T1348" i="8"/>
  <c r="S1348" i="8"/>
  <c r="T1116" i="8"/>
  <c r="S1116" i="8"/>
  <c r="T1384" i="8"/>
  <c r="S1407" i="8"/>
  <c r="S1450" i="8"/>
  <c r="T1622" i="8"/>
  <c r="S1419" i="8"/>
  <c r="T1419" i="8"/>
  <c r="T1467" i="8"/>
  <c r="S1467" i="8"/>
  <c r="T1316" i="8"/>
  <c r="S1316" i="8"/>
  <c r="S1343" i="8"/>
  <c r="S1358" i="8"/>
  <c r="S1363" i="8"/>
  <c r="T1435" i="8"/>
  <c r="T1455" i="8"/>
  <c r="T1500" i="8"/>
  <c r="S1515" i="8"/>
  <c r="S1520" i="8"/>
  <c r="S1321" i="8"/>
  <c r="S1338" i="8"/>
  <c r="S1386" i="8"/>
  <c r="S1430" i="8"/>
  <c r="S1480" i="8"/>
  <c r="S1495" i="8"/>
  <c r="S1558" i="8"/>
  <c r="S1603" i="8"/>
  <c r="S1613" i="8"/>
  <c r="T1280" i="8"/>
  <c r="T1376" i="8"/>
  <c r="S1376" i="8"/>
  <c r="T1381" i="8"/>
  <c r="T1391" i="8"/>
  <c r="S1438" i="8"/>
  <c r="T1593" i="8"/>
  <c r="S1623" i="8"/>
  <c r="T1416" i="8"/>
  <c r="S1416" i="8"/>
  <c r="T1516" i="8"/>
  <c r="S1516" i="8"/>
  <c r="T1616" i="8"/>
  <c r="S1616" i="8"/>
  <c r="T1436" i="8"/>
  <c r="S1436" i="8"/>
  <c r="T1536" i="8"/>
  <c r="S1536" i="8"/>
  <c r="T1636" i="8"/>
  <c r="S1636" i="8"/>
  <c r="N33" i="2"/>
  <c r="P33" i="2" s="1"/>
  <c r="S33" i="2"/>
  <c r="S27" i="2"/>
  <c r="C18" i="1" l="1"/>
  <c r="D8" i="5"/>
  <c r="B8" i="5"/>
  <c r="D6" i="5" s="1"/>
  <c r="B7" i="5"/>
  <c r="C6" i="5" s="1"/>
  <c r="B25" i="1"/>
  <c r="B24" i="1"/>
  <c r="F8" i="5" l="1"/>
  <c r="E8" i="5"/>
  <c r="G6" i="1"/>
  <c r="G4" i="1"/>
  <c r="C8" i="5"/>
  <c r="D7" i="5"/>
  <c r="D9" i="5" s="1"/>
  <c r="G10" i="1" s="1"/>
  <c r="G5" i="1"/>
  <c r="L9" i="5"/>
  <c r="G13" i="1" s="1"/>
  <c r="L8" i="5"/>
  <c r="L7" i="5"/>
  <c r="M7" i="5"/>
  <c r="H8" i="5"/>
  <c r="I7" i="5"/>
  <c r="J7" i="5" s="1"/>
  <c r="K7" i="5" s="1"/>
  <c r="I8" i="5"/>
  <c r="M8" i="5" l="1"/>
  <c r="O8" i="5" s="1"/>
  <c r="J8" i="5"/>
  <c r="K8" i="5" s="1"/>
  <c r="F7" i="5"/>
  <c r="F9" i="5" s="1"/>
  <c r="G12" i="1" s="1"/>
  <c r="E7" i="5"/>
  <c r="I9" i="5"/>
  <c r="O7" i="5"/>
  <c r="N7" i="5"/>
  <c r="C9" i="5"/>
  <c r="M9" i="5" s="1"/>
  <c r="H7" i="5"/>
  <c r="H9" i="5" s="1"/>
  <c r="G8" i="1" s="1"/>
  <c r="C25" i="1"/>
  <c r="J9" i="5" l="1"/>
  <c r="G9" i="1" s="1"/>
  <c r="N8" i="5"/>
  <c r="G14" i="1"/>
  <c r="O9" i="5"/>
  <c r="H15" i="1" s="1"/>
  <c r="N9" i="5"/>
  <c r="G15" i="1" s="1"/>
  <c r="K9" i="5"/>
  <c r="E7" i="3" l="1"/>
  <c r="I7" i="3" s="1"/>
  <c r="D10" i="4"/>
  <c r="D8" i="4"/>
  <c r="D7" i="4"/>
  <c r="D6" i="4"/>
  <c r="D5" i="4"/>
  <c r="L45" i="2"/>
  <c r="N45" i="2" s="1"/>
  <c r="P45" i="2" s="1"/>
  <c r="M45" i="2"/>
  <c r="O45" i="2"/>
  <c r="Q45" i="2"/>
  <c r="R45" i="2"/>
  <c r="R1646" i="2"/>
  <c r="Q1646" i="2"/>
  <c r="O1646" i="2"/>
  <c r="M1646" i="2"/>
  <c r="L1646" i="2"/>
  <c r="N1646" i="2" s="1"/>
  <c r="P1646" i="2" s="1"/>
  <c r="R1645" i="2"/>
  <c r="S1645" i="2" s="1"/>
  <c r="Q1645" i="2"/>
  <c r="O1645" i="2"/>
  <c r="M1645" i="2"/>
  <c r="L1645" i="2"/>
  <c r="R1644" i="2"/>
  <c r="S1644" i="2" s="1"/>
  <c r="Q1644" i="2"/>
  <c r="O1644" i="2"/>
  <c r="M1644" i="2"/>
  <c r="L1644" i="2"/>
  <c r="N1644" i="2" s="1"/>
  <c r="P1644" i="2" s="1"/>
  <c r="R1643" i="2"/>
  <c r="S1643" i="2" s="1"/>
  <c r="Q1643" i="2"/>
  <c r="O1643" i="2"/>
  <c r="M1643" i="2"/>
  <c r="L1643" i="2"/>
  <c r="N1643" i="2" s="1"/>
  <c r="P1643" i="2" s="1"/>
  <c r="R1642" i="2"/>
  <c r="S1642" i="2" s="1"/>
  <c r="Q1642" i="2"/>
  <c r="O1642" i="2"/>
  <c r="M1642" i="2"/>
  <c r="L1642" i="2"/>
  <c r="R1641" i="2"/>
  <c r="S1641" i="2" s="1"/>
  <c r="Q1641" i="2"/>
  <c r="O1641" i="2"/>
  <c r="M1641" i="2"/>
  <c r="L1641" i="2"/>
  <c r="R1640" i="2"/>
  <c r="S1640" i="2" s="1"/>
  <c r="Q1640" i="2"/>
  <c r="O1640" i="2"/>
  <c r="M1640" i="2"/>
  <c r="L1640" i="2"/>
  <c r="R1639" i="2"/>
  <c r="S1639" i="2" s="1"/>
  <c r="Q1639" i="2"/>
  <c r="O1639" i="2"/>
  <c r="M1639" i="2"/>
  <c r="L1639" i="2"/>
  <c r="N1639" i="2" s="1"/>
  <c r="P1639" i="2" s="1"/>
  <c r="R1638" i="2"/>
  <c r="S1638" i="2" s="1"/>
  <c r="Q1638" i="2"/>
  <c r="O1638" i="2"/>
  <c r="M1638" i="2"/>
  <c r="L1638" i="2"/>
  <c r="N1638" i="2" s="1"/>
  <c r="P1638" i="2" s="1"/>
  <c r="R1637" i="2"/>
  <c r="S1637" i="2" s="1"/>
  <c r="Q1637" i="2"/>
  <c r="O1637" i="2"/>
  <c r="M1637" i="2"/>
  <c r="L1637" i="2"/>
  <c r="N1637" i="2" s="1"/>
  <c r="P1637" i="2" s="1"/>
  <c r="R1636" i="2"/>
  <c r="S1636" i="2" s="1"/>
  <c r="Q1636" i="2"/>
  <c r="O1636" i="2"/>
  <c r="M1636" i="2"/>
  <c r="L1636" i="2"/>
  <c r="N1636" i="2" s="1"/>
  <c r="P1636" i="2" s="1"/>
  <c r="R1635" i="2"/>
  <c r="S1635" i="2" s="1"/>
  <c r="Q1635" i="2"/>
  <c r="O1635" i="2"/>
  <c r="M1635" i="2"/>
  <c r="L1635" i="2"/>
  <c r="N1635" i="2" s="1"/>
  <c r="P1635" i="2" s="1"/>
  <c r="R1634" i="2"/>
  <c r="Q1634" i="2"/>
  <c r="O1634" i="2"/>
  <c r="M1634" i="2"/>
  <c r="L1634" i="2"/>
  <c r="R1633" i="2"/>
  <c r="S1633" i="2" s="1"/>
  <c r="Q1633" i="2"/>
  <c r="O1633" i="2"/>
  <c r="M1633" i="2"/>
  <c r="L1633" i="2"/>
  <c r="R1632" i="2"/>
  <c r="S1632" i="2" s="1"/>
  <c r="Q1632" i="2"/>
  <c r="O1632" i="2"/>
  <c r="M1632" i="2"/>
  <c r="L1632" i="2"/>
  <c r="R1631" i="2"/>
  <c r="S1631" i="2" s="1"/>
  <c r="Q1631" i="2"/>
  <c r="O1631" i="2"/>
  <c r="M1631" i="2"/>
  <c r="L1631" i="2"/>
  <c r="N1631" i="2" s="1"/>
  <c r="P1631" i="2" s="1"/>
  <c r="R1630" i="2"/>
  <c r="Q1630" i="2"/>
  <c r="O1630" i="2"/>
  <c r="M1630" i="2"/>
  <c r="L1630" i="2"/>
  <c r="N1630" i="2" s="1"/>
  <c r="P1630" i="2" s="1"/>
  <c r="R1629" i="2"/>
  <c r="S1629" i="2" s="1"/>
  <c r="Q1629" i="2"/>
  <c r="O1629" i="2"/>
  <c r="M1629" i="2"/>
  <c r="L1629" i="2"/>
  <c r="N1629" i="2" s="1"/>
  <c r="P1629" i="2" s="1"/>
  <c r="R1628" i="2"/>
  <c r="S1628" i="2" s="1"/>
  <c r="Q1628" i="2"/>
  <c r="O1628" i="2"/>
  <c r="M1628" i="2"/>
  <c r="L1628" i="2"/>
  <c r="N1628" i="2" s="1"/>
  <c r="P1628" i="2" s="1"/>
  <c r="R1627" i="2"/>
  <c r="S1627" i="2" s="1"/>
  <c r="Q1627" i="2"/>
  <c r="O1627" i="2"/>
  <c r="M1627" i="2"/>
  <c r="L1627" i="2"/>
  <c r="N1627" i="2" s="1"/>
  <c r="P1627" i="2" s="1"/>
  <c r="R1626" i="2"/>
  <c r="Q1626" i="2"/>
  <c r="O1626" i="2"/>
  <c r="M1626" i="2"/>
  <c r="L1626" i="2"/>
  <c r="R1625" i="2"/>
  <c r="S1625" i="2" s="1"/>
  <c r="Q1625" i="2"/>
  <c r="O1625" i="2"/>
  <c r="M1625" i="2"/>
  <c r="L1625" i="2"/>
  <c r="R1624" i="2"/>
  <c r="S1624" i="2" s="1"/>
  <c r="Q1624" i="2"/>
  <c r="O1624" i="2"/>
  <c r="M1624" i="2"/>
  <c r="L1624" i="2"/>
  <c r="R1623" i="2"/>
  <c r="S1623" i="2" s="1"/>
  <c r="Q1623" i="2"/>
  <c r="O1623" i="2"/>
  <c r="M1623" i="2"/>
  <c r="L1623" i="2"/>
  <c r="N1623" i="2" s="1"/>
  <c r="P1623" i="2" s="1"/>
  <c r="R1622" i="2"/>
  <c r="S1622" i="2" s="1"/>
  <c r="Q1622" i="2"/>
  <c r="O1622" i="2"/>
  <c r="M1622" i="2"/>
  <c r="L1622" i="2"/>
  <c r="N1622" i="2" s="1"/>
  <c r="P1622" i="2" s="1"/>
  <c r="R1621" i="2"/>
  <c r="S1621" i="2" s="1"/>
  <c r="Q1621" i="2"/>
  <c r="O1621" i="2"/>
  <c r="M1621" i="2"/>
  <c r="L1621" i="2"/>
  <c r="N1621" i="2" s="1"/>
  <c r="P1621" i="2" s="1"/>
  <c r="R1620" i="2"/>
  <c r="S1620" i="2" s="1"/>
  <c r="Q1620" i="2"/>
  <c r="O1620" i="2"/>
  <c r="M1620" i="2"/>
  <c r="L1620" i="2"/>
  <c r="N1620" i="2" s="1"/>
  <c r="P1620" i="2" s="1"/>
  <c r="R1619" i="2"/>
  <c r="S1619" i="2" s="1"/>
  <c r="Q1619" i="2"/>
  <c r="O1619" i="2"/>
  <c r="M1619" i="2"/>
  <c r="L1619" i="2"/>
  <c r="N1619" i="2" s="1"/>
  <c r="P1619" i="2" s="1"/>
  <c r="R1618" i="2"/>
  <c r="S1618" i="2" s="1"/>
  <c r="Q1618" i="2"/>
  <c r="O1618" i="2"/>
  <c r="M1618" i="2"/>
  <c r="L1618" i="2"/>
  <c r="R1617" i="2"/>
  <c r="S1617" i="2" s="1"/>
  <c r="Q1617" i="2"/>
  <c r="O1617" i="2"/>
  <c r="M1617" i="2"/>
  <c r="L1617" i="2"/>
  <c r="R1616" i="2"/>
  <c r="S1616" i="2" s="1"/>
  <c r="Q1616" i="2"/>
  <c r="O1616" i="2"/>
  <c r="M1616" i="2"/>
  <c r="L1616" i="2"/>
  <c r="R1615" i="2"/>
  <c r="S1615" i="2" s="1"/>
  <c r="Q1615" i="2"/>
  <c r="O1615" i="2"/>
  <c r="M1615" i="2"/>
  <c r="L1615" i="2"/>
  <c r="N1615" i="2" s="1"/>
  <c r="P1615" i="2" s="1"/>
  <c r="R1614" i="2"/>
  <c r="Q1614" i="2"/>
  <c r="O1614" i="2"/>
  <c r="M1614" i="2"/>
  <c r="L1614" i="2"/>
  <c r="N1614" i="2" s="1"/>
  <c r="P1614" i="2" s="1"/>
  <c r="R1613" i="2"/>
  <c r="S1613" i="2" s="1"/>
  <c r="Q1613" i="2"/>
  <c r="O1613" i="2"/>
  <c r="M1613" i="2"/>
  <c r="L1613" i="2"/>
  <c r="N1613" i="2" s="1"/>
  <c r="P1613" i="2" s="1"/>
  <c r="R1612" i="2"/>
  <c r="S1612" i="2" s="1"/>
  <c r="Q1612" i="2"/>
  <c r="O1612" i="2"/>
  <c r="M1612" i="2"/>
  <c r="L1612" i="2"/>
  <c r="N1612" i="2" s="1"/>
  <c r="P1612" i="2" s="1"/>
  <c r="R1611" i="2"/>
  <c r="S1611" i="2" s="1"/>
  <c r="Q1611" i="2"/>
  <c r="O1611" i="2"/>
  <c r="M1611" i="2"/>
  <c r="L1611" i="2"/>
  <c r="N1611" i="2" s="1"/>
  <c r="P1611" i="2" s="1"/>
  <c r="R1610" i="2"/>
  <c r="Q1610" i="2"/>
  <c r="O1610" i="2"/>
  <c r="M1610" i="2"/>
  <c r="L1610" i="2"/>
  <c r="R1609" i="2"/>
  <c r="S1609" i="2" s="1"/>
  <c r="Q1609" i="2"/>
  <c r="O1609" i="2"/>
  <c r="M1609" i="2"/>
  <c r="L1609" i="2"/>
  <c r="R1608" i="2"/>
  <c r="S1608" i="2" s="1"/>
  <c r="Q1608" i="2"/>
  <c r="O1608" i="2"/>
  <c r="M1608" i="2"/>
  <c r="L1608" i="2"/>
  <c r="R1607" i="2"/>
  <c r="S1607" i="2" s="1"/>
  <c r="Q1607" i="2"/>
  <c r="O1607" i="2"/>
  <c r="M1607" i="2"/>
  <c r="L1607" i="2"/>
  <c r="N1607" i="2" s="1"/>
  <c r="P1607" i="2" s="1"/>
  <c r="R1606" i="2"/>
  <c r="Q1606" i="2"/>
  <c r="O1606" i="2"/>
  <c r="M1606" i="2"/>
  <c r="L1606" i="2"/>
  <c r="N1606" i="2" s="1"/>
  <c r="P1606" i="2" s="1"/>
  <c r="R1605" i="2"/>
  <c r="S1605" i="2" s="1"/>
  <c r="Q1605" i="2"/>
  <c r="O1605" i="2"/>
  <c r="M1605" i="2"/>
  <c r="L1605" i="2"/>
  <c r="N1605" i="2" s="1"/>
  <c r="P1605" i="2" s="1"/>
  <c r="R1604" i="2"/>
  <c r="S1604" i="2" s="1"/>
  <c r="Q1604" i="2"/>
  <c r="O1604" i="2"/>
  <c r="M1604" i="2"/>
  <c r="L1604" i="2"/>
  <c r="N1604" i="2" s="1"/>
  <c r="P1604" i="2" s="1"/>
  <c r="R1603" i="2"/>
  <c r="S1603" i="2" s="1"/>
  <c r="Q1603" i="2"/>
  <c r="O1603" i="2"/>
  <c r="M1603" i="2"/>
  <c r="L1603" i="2"/>
  <c r="N1603" i="2" s="1"/>
  <c r="P1603" i="2" s="1"/>
  <c r="R1602" i="2"/>
  <c r="S1602" i="2" s="1"/>
  <c r="Q1602" i="2"/>
  <c r="O1602" i="2"/>
  <c r="M1602" i="2"/>
  <c r="L1602" i="2"/>
  <c r="R1601" i="2"/>
  <c r="S1601" i="2" s="1"/>
  <c r="Q1601" i="2"/>
  <c r="O1601" i="2"/>
  <c r="M1601" i="2"/>
  <c r="L1601" i="2"/>
  <c r="R1600" i="2"/>
  <c r="T1600" i="2" s="1"/>
  <c r="Q1600" i="2"/>
  <c r="O1600" i="2"/>
  <c r="M1600" i="2"/>
  <c r="L1600" i="2"/>
  <c r="R1599" i="2"/>
  <c r="T1599" i="2" s="1"/>
  <c r="Q1599" i="2"/>
  <c r="O1599" i="2"/>
  <c r="M1599" i="2"/>
  <c r="L1599" i="2"/>
  <c r="N1599" i="2" s="1"/>
  <c r="P1599" i="2" s="1"/>
  <c r="R1598" i="2"/>
  <c r="T1598" i="2" s="1"/>
  <c r="Q1598" i="2"/>
  <c r="O1598" i="2"/>
  <c r="M1598" i="2"/>
  <c r="L1598" i="2"/>
  <c r="N1598" i="2" s="1"/>
  <c r="P1598" i="2" s="1"/>
  <c r="R1597" i="2"/>
  <c r="T1597" i="2" s="1"/>
  <c r="Q1597" i="2"/>
  <c r="O1597" i="2"/>
  <c r="M1597" i="2"/>
  <c r="L1597" i="2"/>
  <c r="N1597" i="2" s="1"/>
  <c r="P1597" i="2" s="1"/>
  <c r="R1596" i="2"/>
  <c r="T1596" i="2" s="1"/>
  <c r="Q1596" i="2"/>
  <c r="O1596" i="2"/>
  <c r="M1596" i="2"/>
  <c r="L1596" i="2"/>
  <c r="N1596" i="2" s="1"/>
  <c r="P1596" i="2" s="1"/>
  <c r="R1595" i="2"/>
  <c r="S1595" i="2" s="1"/>
  <c r="Q1595" i="2"/>
  <c r="O1595" i="2"/>
  <c r="M1595" i="2"/>
  <c r="L1595" i="2"/>
  <c r="N1595" i="2" s="1"/>
  <c r="P1595" i="2" s="1"/>
  <c r="R1594" i="2"/>
  <c r="Q1594" i="2"/>
  <c r="O1594" i="2"/>
  <c r="M1594" i="2"/>
  <c r="L1594" i="2"/>
  <c r="R1593" i="2"/>
  <c r="S1593" i="2" s="1"/>
  <c r="Q1593" i="2"/>
  <c r="O1593" i="2"/>
  <c r="M1593" i="2"/>
  <c r="L1593" i="2"/>
  <c r="R1592" i="2"/>
  <c r="T1592" i="2" s="1"/>
  <c r="Q1592" i="2"/>
  <c r="O1592" i="2"/>
  <c r="M1592" i="2"/>
  <c r="L1592" i="2"/>
  <c r="R1591" i="2"/>
  <c r="T1591" i="2" s="1"/>
  <c r="Q1591" i="2"/>
  <c r="O1591" i="2"/>
  <c r="M1591" i="2"/>
  <c r="L1591" i="2"/>
  <c r="N1591" i="2" s="1"/>
  <c r="P1591" i="2" s="1"/>
  <c r="R1590" i="2"/>
  <c r="T1590" i="2" s="1"/>
  <c r="Q1590" i="2"/>
  <c r="O1590" i="2"/>
  <c r="M1590" i="2"/>
  <c r="L1590" i="2"/>
  <c r="N1590" i="2" s="1"/>
  <c r="P1590" i="2" s="1"/>
  <c r="R1589" i="2"/>
  <c r="T1589" i="2" s="1"/>
  <c r="Q1589" i="2"/>
  <c r="O1589" i="2"/>
  <c r="M1589" i="2"/>
  <c r="L1589" i="2"/>
  <c r="N1589" i="2" s="1"/>
  <c r="P1589" i="2" s="1"/>
  <c r="R1588" i="2"/>
  <c r="T1588" i="2" s="1"/>
  <c r="Q1588" i="2"/>
  <c r="O1588" i="2"/>
  <c r="M1588" i="2"/>
  <c r="L1588" i="2"/>
  <c r="N1588" i="2" s="1"/>
  <c r="P1588" i="2" s="1"/>
  <c r="R1587" i="2"/>
  <c r="S1587" i="2" s="1"/>
  <c r="Q1587" i="2"/>
  <c r="O1587" i="2"/>
  <c r="M1587" i="2"/>
  <c r="L1587" i="2"/>
  <c r="N1587" i="2" s="1"/>
  <c r="P1587" i="2" s="1"/>
  <c r="R1586" i="2"/>
  <c r="Q1586" i="2"/>
  <c r="O1586" i="2"/>
  <c r="M1586" i="2"/>
  <c r="L1586" i="2"/>
  <c r="R1585" i="2"/>
  <c r="S1585" i="2" s="1"/>
  <c r="Q1585" i="2"/>
  <c r="O1585" i="2"/>
  <c r="M1585" i="2"/>
  <c r="L1585" i="2"/>
  <c r="R1584" i="2"/>
  <c r="T1584" i="2" s="1"/>
  <c r="Q1584" i="2"/>
  <c r="O1584" i="2"/>
  <c r="M1584" i="2"/>
  <c r="L1584" i="2"/>
  <c r="N1584" i="2" s="1"/>
  <c r="P1584" i="2" s="1"/>
  <c r="R1583" i="2"/>
  <c r="S1583" i="2" s="1"/>
  <c r="Q1583" i="2"/>
  <c r="O1583" i="2"/>
  <c r="M1583" i="2"/>
  <c r="L1583" i="2"/>
  <c r="N1583" i="2" s="1"/>
  <c r="P1583" i="2" s="1"/>
  <c r="R1582" i="2"/>
  <c r="T1582" i="2" s="1"/>
  <c r="Q1582" i="2"/>
  <c r="O1582" i="2"/>
  <c r="M1582" i="2"/>
  <c r="L1582" i="2"/>
  <c r="N1582" i="2" s="1"/>
  <c r="P1582" i="2" s="1"/>
  <c r="R1581" i="2"/>
  <c r="T1581" i="2" s="1"/>
  <c r="Q1581" i="2"/>
  <c r="O1581" i="2"/>
  <c r="M1581" i="2"/>
  <c r="L1581" i="2"/>
  <c r="R1580" i="2"/>
  <c r="S1580" i="2" s="1"/>
  <c r="Q1580" i="2"/>
  <c r="O1580" i="2"/>
  <c r="M1580" i="2"/>
  <c r="L1580" i="2"/>
  <c r="N1580" i="2" s="1"/>
  <c r="P1580" i="2" s="1"/>
  <c r="R1579" i="2"/>
  <c r="S1579" i="2" s="1"/>
  <c r="Q1579" i="2"/>
  <c r="O1579" i="2"/>
  <c r="M1579" i="2"/>
  <c r="L1579" i="2"/>
  <c r="N1579" i="2" s="1"/>
  <c r="P1579" i="2" s="1"/>
  <c r="R1578" i="2"/>
  <c r="T1578" i="2" s="1"/>
  <c r="Q1578" i="2"/>
  <c r="O1578" i="2"/>
  <c r="M1578" i="2"/>
  <c r="L1578" i="2"/>
  <c r="N1578" i="2" s="1"/>
  <c r="P1578" i="2" s="1"/>
  <c r="R1577" i="2"/>
  <c r="T1577" i="2" s="1"/>
  <c r="Q1577" i="2"/>
  <c r="O1577" i="2"/>
  <c r="M1577" i="2"/>
  <c r="L1577" i="2"/>
  <c r="R1576" i="2"/>
  <c r="S1576" i="2" s="1"/>
  <c r="Q1576" i="2"/>
  <c r="O1576" i="2"/>
  <c r="M1576" i="2"/>
  <c r="L1576" i="2"/>
  <c r="N1576" i="2" s="1"/>
  <c r="P1576" i="2" s="1"/>
  <c r="R1575" i="2"/>
  <c r="S1575" i="2" s="1"/>
  <c r="Q1575" i="2"/>
  <c r="O1575" i="2"/>
  <c r="M1575" i="2"/>
  <c r="L1575" i="2"/>
  <c r="N1575" i="2" s="1"/>
  <c r="P1575" i="2" s="1"/>
  <c r="R1574" i="2"/>
  <c r="T1574" i="2" s="1"/>
  <c r="Q1574" i="2"/>
  <c r="O1574" i="2"/>
  <c r="M1574" i="2"/>
  <c r="L1574" i="2"/>
  <c r="R1573" i="2"/>
  <c r="T1573" i="2" s="1"/>
  <c r="Q1573" i="2"/>
  <c r="O1573" i="2"/>
  <c r="M1573" i="2"/>
  <c r="L1573" i="2"/>
  <c r="R1572" i="2"/>
  <c r="T1572" i="2" s="1"/>
  <c r="Q1572" i="2"/>
  <c r="O1572" i="2"/>
  <c r="M1572" i="2"/>
  <c r="L1572" i="2"/>
  <c r="N1572" i="2" s="1"/>
  <c r="P1572" i="2" s="1"/>
  <c r="R1571" i="2"/>
  <c r="Q1571" i="2"/>
  <c r="O1571" i="2"/>
  <c r="M1571" i="2"/>
  <c r="L1571" i="2"/>
  <c r="N1571" i="2" s="1"/>
  <c r="P1571" i="2" s="1"/>
  <c r="R1570" i="2"/>
  <c r="T1570" i="2" s="1"/>
  <c r="Q1570" i="2"/>
  <c r="O1570" i="2"/>
  <c r="M1570" i="2"/>
  <c r="L1570" i="2"/>
  <c r="R1569" i="2"/>
  <c r="T1569" i="2" s="1"/>
  <c r="Q1569" i="2"/>
  <c r="O1569" i="2"/>
  <c r="M1569" i="2"/>
  <c r="L1569" i="2"/>
  <c r="R1568" i="2"/>
  <c r="T1568" i="2" s="1"/>
  <c r="Q1568" i="2"/>
  <c r="O1568" i="2"/>
  <c r="M1568" i="2"/>
  <c r="L1568" i="2"/>
  <c r="N1568" i="2" s="1"/>
  <c r="P1568" i="2" s="1"/>
  <c r="R1567" i="2"/>
  <c r="S1567" i="2" s="1"/>
  <c r="Q1567" i="2"/>
  <c r="O1567" i="2"/>
  <c r="M1567" i="2"/>
  <c r="L1567" i="2"/>
  <c r="N1567" i="2" s="1"/>
  <c r="P1567" i="2" s="1"/>
  <c r="R1566" i="2"/>
  <c r="T1566" i="2" s="1"/>
  <c r="Q1566" i="2"/>
  <c r="O1566" i="2"/>
  <c r="M1566" i="2"/>
  <c r="L1566" i="2"/>
  <c r="N1566" i="2" s="1"/>
  <c r="P1566" i="2" s="1"/>
  <c r="R1565" i="2"/>
  <c r="T1565" i="2" s="1"/>
  <c r="Q1565" i="2"/>
  <c r="O1565" i="2"/>
  <c r="M1565" i="2"/>
  <c r="L1565" i="2"/>
  <c r="R1564" i="2"/>
  <c r="S1564" i="2" s="1"/>
  <c r="Q1564" i="2"/>
  <c r="O1564" i="2"/>
  <c r="M1564" i="2"/>
  <c r="L1564" i="2"/>
  <c r="N1564" i="2" s="1"/>
  <c r="P1564" i="2" s="1"/>
  <c r="R1563" i="2"/>
  <c r="S1563" i="2" s="1"/>
  <c r="Q1563" i="2"/>
  <c r="O1563" i="2"/>
  <c r="M1563" i="2"/>
  <c r="L1563" i="2"/>
  <c r="N1563" i="2" s="1"/>
  <c r="P1563" i="2" s="1"/>
  <c r="R1562" i="2"/>
  <c r="T1562" i="2" s="1"/>
  <c r="Q1562" i="2"/>
  <c r="O1562" i="2"/>
  <c r="M1562" i="2"/>
  <c r="L1562" i="2"/>
  <c r="N1562" i="2" s="1"/>
  <c r="P1562" i="2" s="1"/>
  <c r="R1561" i="2"/>
  <c r="S1561" i="2" s="1"/>
  <c r="Q1561" i="2"/>
  <c r="O1561" i="2"/>
  <c r="M1561" i="2"/>
  <c r="L1561" i="2"/>
  <c r="N1561" i="2" s="1"/>
  <c r="P1561" i="2" s="1"/>
  <c r="R1560" i="2"/>
  <c r="S1560" i="2" s="1"/>
  <c r="Q1560" i="2"/>
  <c r="O1560" i="2"/>
  <c r="M1560" i="2"/>
  <c r="L1560" i="2"/>
  <c r="N1560" i="2" s="1"/>
  <c r="P1560" i="2" s="1"/>
  <c r="R1559" i="2"/>
  <c r="S1559" i="2" s="1"/>
  <c r="Q1559" i="2"/>
  <c r="O1559" i="2"/>
  <c r="M1559" i="2"/>
  <c r="L1559" i="2"/>
  <c r="R1558" i="2"/>
  <c r="S1558" i="2" s="1"/>
  <c r="Q1558" i="2"/>
  <c r="O1558" i="2"/>
  <c r="M1558" i="2"/>
  <c r="L1558" i="2"/>
  <c r="R1557" i="2"/>
  <c r="Q1557" i="2"/>
  <c r="O1557" i="2"/>
  <c r="M1557" i="2"/>
  <c r="L1557" i="2"/>
  <c r="R1556" i="2"/>
  <c r="S1556" i="2" s="1"/>
  <c r="Q1556" i="2"/>
  <c r="O1556" i="2"/>
  <c r="M1556" i="2"/>
  <c r="L1556" i="2"/>
  <c r="R1555" i="2"/>
  <c r="S1555" i="2" s="1"/>
  <c r="Q1555" i="2"/>
  <c r="O1555" i="2"/>
  <c r="M1555" i="2"/>
  <c r="L1555" i="2"/>
  <c r="N1555" i="2" s="1"/>
  <c r="P1555" i="2" s="1"/>
  <c r="R1554" i="2"/>
  <c r="Q1554" i="2"/>
  <c r="O1554" i="2"/>
  <c r="M1554" i="2"/>
  <c r="L1554" i="2"/>
  <c r="N1554" i="2" s="1"/>
  <c r="P1554" i="2" s="1"/>
  <c r="R1553" i="2"/>
  <c r="S1553" i="2" s="1"/>
  <c r="Q1553" i="2"/>
  <c r="O1553" i="2"/>
  <c r="M1553" i="2"/>
  <c r="L1553" i="2"/>
  <c r="N1553" i="2" s="1"/>
  <c r="P1553" i="2" s="1"/>
  <c r="R1552" i="2"/>
  <c r="S1552" i="2" s="1"/>
  <c r="Q1552" i="2"/>
  <c r="O1552" i="2"/>
  <c r="M1552" i="2"/>
  <c r="L1552" i="2"/>
  <c r="N1552" i="2" s="1"/>
  <c r="P1552" i="2" s="1"/>
  <c r="R1551" i="2"/>
  <c r="Q1551" i="2"/>
  <c r="O1551" i="2"/>
  <c r="M1551" i="2"/>
  <c r="L1551" i="2"/>
  <c r="R1550" i="2"/>
  <c r="Q1550" i="2"/>
  <c r="O1550" i="2"/>
  <c r="M1550" i="2"/>
  <c r="L1550" i="2"/>
  <c r="R1549" i="2"/>
  <c r="Q1549" i="2"/>
  <c r="O1549" i="2"/>
  <c r="M1549" i="2"/>
  <c r="L1549" i="2"/>
  <c r="R1548" i="2"/>
  <c r="S1548" i="2" s="1"/>
  <c r="Q1548" i="2"/>
  <c r="O1548" i="2"/>
  <c r="M1548" i="2"/>
  <c r="L1548" i="2"/>
  <c r="R1547" i="2"/>
  <c r="S1547" i="2" s="1"/>
  <c r="Q1547" i="2"/>
  <c r="O1547" i="2"/>
  <c r="M1547" i="2"/>
  <c r="L1547" i="2"/>
  <c r="N1547" i="2" s="1"/>
  <c r="P1547" i="2" s="1"/>
  <c r="R1546" i="2"/>
  <c r="Q1546" i="2"/>
  <c r="O1546" i="2"/>
  <c r="M1546" i="2"/>
  <c r="L1546" i="2"/>
  <c r="N1546" i="2" s="1"/>
  <c r="P1546" i="2" s="1"/>
  <c r="R1545" i="2"/>
  <c r="Q1545" i="2"/>
  <c r="O1545" i="2"/>
  <c r="M1545" i="2"/>
  <c r="L1545" i="2"/>
  <c r="N1545" i="2" s="1"/>
  <c r="P1545" i="2" s="1"/>
  <c r="R1544" i="2"/>
  <c r="S1544" i="2" s="1"/>
  <c r="Q1544" i="2"/>
  <c r="O1544" i="2"/>
  <c r="M1544" i="2"/>
  <c r="L1544" i="2"/>
  <c r="N1544" i="2" s="1"/>
  <c r="P1544" i="2" s="1"/>
  <c r="R1543" i="2"/>
  <c r="S1543" i="2" s="1"/>
  <c r="Q1543" i="2"/>
  <c r="O1543" i="2"/>
  <c r="M1543" i="2"/>
  <c r="L1543" i="2"/>
  <c r="R1542" i="2"/>
  <c r="S1542" i="2" s="1"/>
  <c r="Q1542" i="2"/>
  <c r="O1542" i="2"/>
  <c r="M1542" i="2"/>
  <c r="L1542" i="2"/>
  <c r="R1541" i="2"/>
  <c r="Q1541" i="2"/>
  <c r="O1541" i="2"/>
  <c r="M1541" i="2"/>
  <c r="L1541" i="2"/>
  <c r="R1540" i="2"/>
  <c r="S1540" i="2" s="1"/>
  <c r="Q1540" i="2"/>
  <c r="O1540" i="2"/>
  <c r="M1540" i="2"/>
  <c r="L1540" i="2"/>
  <c r="R1539" i="2"/>
  <c r="S1539" i="2" s="1"/>
  <c r="Q1539" i="2"/>
  <c r="O1539" i="2"/>
  <c r="M1539" i="2"/>
  <c r="L1539" i="2"/>
  <c r="N1539" i="2" s="1"/>
  <c r="P1539" i="2" s="1"/>
  <c r="R1538" i="2"/>
  <c r="S1538" i="2" s="1"/>
  <c r="Q1538" i="2"/>
  <c r="O1538" i="2"/>
  <c r="M1538" i="2"/>
  <c r="L1538" i="2"/>
  <c r="N1538" i="2" s="1"/>
  <c r="P1538" i="2" s="1"/>
  <c r="R1537" i="2"/>
  <c r="Q1537" i="2"/>
  <c r="O1537" i="2"/>
  <c r="M1537" i="2"/>
  <c r="L1537" i="2"/>
  <c r="N1537" i="2" s="1"/>
  <c r="P1537" i="2" s="1"/>
  <c r="R1536" i="2"/>
  <c r="S1536" i="2" s="1"/>
  <c r="Q1536" i="2"/>
  <c r="O1536" i="2"/>
  <c r="M1536" i="2"/>
  <c r="L1536" i="2"/>
  <c r="N1536" i="2" s="1"/>
  <c r="P1536" i="2" s="1"/>
  <c r="R1535" i="2"/>
  <c r="S1535" i="2" s="1"/>
  <c r="Q1535" i="2"/>
  <c r="O1535" i="2"/>
  <c r="M1535" i="2"/>
  <c r="L1535" i="2"/>
  <c r="R1534" i="2"/>
  <c r="Q1534" i="2"/>
  <c r="O1534" i="2"/>
  <c r="M1534" i="2"/>
  <c r="L1534" i="2"/>
  <c r="R1533" i="2"/>
  <c r="Q1533" i="2"/>
  <c r="O1533" i="2"/>
  <c r="M1533" i="2"/>
  <c r="L1533" i="2"/>
  <c r="R1532" i="2"/>
  <c r="T1532" i="2" s="1"/>
  <c r="Q1532" i="2"/>
  <c r="O1532" i="2"/>
  <c r="M1532" i="2"/>
  <c r="L1532" i="2"/>
  <c r="R1531" i="2"/>
  <c r="T1531" i="2" s="1"/>
  <c r="Q1531" i="2"/>
  <c r="O1531" i="2"/>
  <c r="M1531" i="2"/>
  <c r="L1531" i="2"/>
  <c r="N1531" i="2" s="1"/>
  <c r="P1531" i="2" s="1"/>
  <c r="R1530" i="2"/>
  <c r="T1530" i="2" s="1"/>
  <c r="Q1530" i="2"/>
  <c r="O1530" i="2"/>
  <c r="M1530" i="2"/>
  <c r="L1530" i="2"/>
  <c r="N1530" i="2" s="1"/>
  <c r="P1530" i="2" s="1"/>
  <c r="R1529" i="2"/>
  <c r="T1529" i="2" s="1"/>
  <c r="Q1529" i="2"/>
  <c r="O1529" i="2"/>
  <c r="M1529" i="2"/>
  <c r="L1529" i="2"/>
  <c r="N1529" i="2" s="1"/>
  <c r="P1529" i="2" s="1"/>
  <c r="R1528" i="2"/>
  <c r="S1528" i="2" s="1"/>
  <c r="Q1528" i="2"/>
  <c r="O1528" i="2"/>
  <c r="M1528" i="2"/>
  <c r="L1528" i="2"/>
  <c r="N1528" i="2" s="1"/>
  <c r="P1528" i="2" s="1"/>
  <c r="R1527" i="2"/>
  <c r="S1527" i="2" s="1"/>
  <c r="Q1527" i="2"/>
  <c r="O1527" i="2"/>
  <c r="M1527" i="2"/>
  <c r="L1527" i="2"/>
  <c r="R1526" i="2"/>
  <c r="Q1526" i="2"/>
  <c r="O1526" i="2"/>
  <c r="M1526" i="2"/>
  <c r="L1526" i="2"/>
  <c r="R1525" i="2"/>
  <c r="Q1525" i="2"/>
  <c r="O1525" i="2"/>
  <c r="M1525" i="2"/>
  <c r="L1525" i="2"/>
  <c r="R1524" i="2"/>
  <c r="T1524" i="2" s="1"/>
  <c r="Q1524" i="2"/>
  <c r="O1524" i="2"/>
  <c r="M1524" i="2"/>
  <c r="L1524" i="2"/>
  <c r="R1523" i="2"/>
  <c r="T1523" i="2" s="1"/>
  <c r="Q1523" i="2"/>
  <c r="O1523" i="2"/>
  <c r="M1523" i="2"/>
  <c r="L1523" i="2"/>
  <c r="N1523" i="2" s="1"/>
  <c r="P1523" i="2" s="1"/>
  <c r="R1522" i="2"/>
  <c r="T1522" i="2" s="1"/>
  <c r="Q1522" i="2"/>
  <c r="O1522" i="2"/>
  <c r="M1522" i="2"/>
  <c r="L1522" i="2"/>
  <c r="N1522" i="2" s="1"/>
  <c r="P1522" i="2" s="1"/>
  <c r="R1521" i="2"/>
  <c r="T1521" i="2" s="1"/>
  <c r="Q1521" i="2"/>
  <c r="O1521" i="2"/>
  <c r="M1521" i="2"/>
  <c r="L1521" i="2"/>
  <c r="N1521" i="2" s="1"/>
  <c r="P1521" i="2" s="1"/>
  <c r="R1520" i="2"/>
  <c r="S1520" i="2" s="1"/>
  <c r="Q1520" i="2"/>
  <c r="O1520" i="2"/>
  <c r="M1520" i="2"/>
  <c r="L1520" i="2"/>
  <c r="N1520" i="2" s="1"/>
  <c r="P1520" i="2" s="1"/>
  <c r="R1519" i="2"/>
  <c r="S1519" i="2" s="1"/>
  <c r="Q1519" i="2"/>
  <c r="O1519" i="2"/>
  <c r="M1519" i="2"/>
  <c r="L1519" i="2"/>
  <c r="N1519" i="2" s="1"/>
  <c r="P1519" i="2" s="1"/>
  <c r="R1518" i="2"/>
  <c r="T1518" i="2" s="1"/>
  <c r="Q1518" i="2"/>
  <c r="O1518" i="2"/>
  <c r="M1518" i="2"/>
  <c r="L1518" i="2"/>
  <c r="R1517" i="2"/>
  <c r="T1517" i="2" s="1"/>
  <c r="Q1517" i="2"/>
  <c r="O1517" i="2"/>
  <c r="M1517" i="2"/>
  <c r="L1517" i="2"/>
  <c r="R1516" i="2"/>
  <c r="S1516" i="2" s="1"/>
  <c r="Q1516" i="2"/>
  <c r="O1516" i="2"/>
  <c r="M1516" i="2"/>
  <c r="L1516" i="2"/>
  <c r="N1516" i="2" s="1"/>
  <c r="P1516" i="2" s="1"/>
  <c r="R1515" i="2"/>
  <c r="S1515" i="2" s="1"/>
  <c r="Q1515" i="2"/>
  <c r="O1515" i="2"/>
  <c r="M1515" i="2"/>
  <c r="L1515" i="2"/>
  <c r="N1515" i="2" s="1"/>
  <c r="P1515" i="2" s="1"/>
  <c r="R1514" i="2"/>
  <c r="T1514" i="2" s="1"/>
  <c r="Q1514" i="2"/>
  <c r="O1514" i="2"/>
  <c r="M1514" i="2"/>
  <c r="L1514" i="2"/>
  <c r="N1514" i="2" s="1"/>
  <c r="P1514" i="2" s="1"/>
  <c r="R1513" i="2"/>
  <c r="T1513" i="2" s="1"/>
  <c r="Q1513" i="2"/>
  <c r="O1513" i="2"/>
  <c r="M1513" i="2"/>
  <c r="L1513" i="2"/>
  <c r="R1512" i="2"/>
  <c r="T1512" i="2" s="1"/>
  <c r="Q1512" i="2"/>
  <c r="O1512" i="2"/>
  <c r="M1512" i="2"/>
  <c r="L1512" i="2"/>
  <c r="N1512" i="2" s="1"/>
  <c r="P1512" i="2" s="1"/>
  <c r="R1511" i="2"/>
  <c r="Q1511" i="2"/>
  <c r="O1511" i="2"/>
  <c r="M1511" i="2"/>
  <c r="L1511" i="2"/>
  <c r="N1511" i="2" s="1"/>
  <c r="P1511" i="2" s="1"/>
  <c r="R1510" i="2"/>
  <c r="T1510" i="2" s="1"/>
  <c r="Q1510" i="2"/>
  <c r="O1510" i="2"/>
  <c r="M1510" i="2"/>
  <c r="L1510" i="2"/>
  <c r="N1510" i="2" s="1"/>
  <c r="P1510" i="2" s="1"/>
  <c r="R1509" i="2"/>
  <c r="T1509" i="2" s="1"/>
  <c r="Q1509" i="2"/>
  <c r="O1509" i="2"/>
  <c r="M1509" i="2"/>
  <c r="L1509" i="2"/>
  <c r="R1508" i="2"/>
  <c r="T1508" i="2" s="1"/>
  <c r="Q1508" i="2"/>
  <c r="O1508" i="2"/>
  <c r="M1508" i="2"/>
  <c r="L1508" i="2"/>
  <c r="N1508" i="2" s="1"/>
  <c r="P1508" i="2" s="1"/>
  <c r="R1507" i="2"/>
  <c r="S1507" i="2" s="1"/>
  <c r="Q1507" i="2"/>
  <c r="O1507" i="2"/>
  <c r="M1507" i="2"/>
  <c r="L1507" i="2"/>
  <c r="N1507" i="2" s="1"/>
  <c r="P1507" i="2" s="1"/>
  <c r="R1506" i="2"/>
  <c r="T1506" i="2" s="1"/>
  <c r="Q1506" i="2"/>
  <c r="O1506" i="2"/>
  <c r="M1506" i="2"/>
  <c r="L1506" i="2"/>
  <c r="N1506" i="2" s="1"/>
  <c r="P1506" i="2" s="1"/>
  <c r="R1505" i="2"/>
  <c r="T1505" i="2" s="1"/>
  <c r="Q1505" i="2"/>
  <c r="O1505" i="2"/>
  <c r="M1505" i="2"/>
  <c r="L1505" i="2"/>
  <c r="R1504" i="2"/>
  <c r="T1504" i="2" s="1"/>
  <c r="Q1504" i="2"/>
  <c r="O1504" i="2"/>
  <c r="M1504" i="2"/>
  <c r="L1504" i="2"/>
  <c r="N1504" i="2" s="1"/>
  <c r="P1504" i="2" s="1"/>
  <c r="R1503" i="2"/>
  <c r="S1503" i="2" s="1"/>
  <c r="Q1503" i="2"/>
  <c r="O1503" i="2"/>
  <c r="M1503" i="2"/>
  <c r="L1503" i="2"/>
  <c r="N1503" i="2" s="1"/>
  <c r="P1503" i="2" s="1"/>
  <c r="R1502" i="2"/>
  <c r="T1502" i="2" s="1"/>
  <c r="Q1502" i="2"/>
  <c r="O1502" i="2"/>
  <c r="M1502" i="2"/>
  <c r="L1502" i="2"/>
  <c r="N1502" i="2" s="1"/>
  <c r="P1502" i="2" s="1"/>
  <c r="R1501" i="2"/>
  <c r="T1501" i="2" s="1"/>
  <c r="Q1501" i="2"/>
  <c r="O1501" i="2"/>
  <c r="M1501" i="2"/>
  <c r="L1501" i="2"/>
  <c r="R1500" i="2"/>
  <c r="T1500" i="2" s="1"/>
  <c r="Q1500" i="2"/>
  <c r="O1500" i="2"/>
  <c r="M1500" i="2"/>
  <c r="L1500" i="2"/>
  <c r="N1500" i="2" s="1"/>
  <c r="P1500" i="2" s="1"/>
  <c r="R1499" i="2"/>
  <c r="S1499" i="2" s="1"/>
  <c r="Q1499" i="2"/>
  <c r="O1499" i="2"/>
  <c r="M1499" i="2"/>
  <c r="L1499" i="2"/>
  <c r="N1499" i="2" s="1"/>
  <c r="P1499" i="2" s="1"/>
  <c r="R1498" i="2"/>
  <c r="T1498" i="2" s="1"/>
  <c r="Q1498" i="2"/>
  <c r="O1498" i="2"/>
  <c r="M1498" i="2"/>
  <c r="L1498" i="2"/>
  <c r="N1498" i="2" s="1"/>
  <c r="P1498" i="2" s="1"/>
  <c r="R1497" i="2"/>
  <c r="T1497" i="2" s="1"/>
  <c r="Q1497" i="2"/>
  <c r="O1497" i="2"/>
  <c r="M1497" i="2"/>
  <c r="L1497" i="2"/>
  <c r="R1496" i="2"/>
  <c r="T1496" i="2" s="1"/>
  <c r="Q1496" i="2"/>
  <c r="O1496" i="2"/>
  <c r="M1496" i="2"/>
  <c r="L1496" i="2"/>
  <c r="N1496" i="2" s="1"/>
  <c r="P1496" i="2" s="1"/>
  <c r="R1495" i="2"/>
  <c r="S1495" i="2" s="1"/>
  <c r="Q1495" i="2"/>
  <c r="O1495" i="2"/>
  <c r="M1495" i="2"/>
  <c r="L1495" i="2"/>
  <c r="N1495" i="2" s="1"/>
  <c r="P1495" i="2" s="1"/>
  <c r="R1494" i="2"/>
  <c r="T1494" i="2" s="1"/>
  <c r="Q1494" i="2"/>
  <c r="O1494" i="2"/>
  <c r="M1494" i="2"/>
  <c r="L1494" i="2"/>
  <c r="N1494" i="2" s="1"/>
  <c r="P1494" i="2" s="1"/>
  <c r="R1493" i="2"/>
  <c r="T1493" i="2" s="1"/>
  <c r="Q1493" i="2"/>
  <c r="O1493" i="2"/>
  <c r="M1493" i="2"/>
  <c r="L1493" i="2"/>
  <c r="R1492" i="2"/>
  <c r="T1492" i="2" s="1"/>
  <c r="Q1492" i="2"/>
  <c r="O1492" i="2"/>
  <c r="M1492" i="2"/>
  <c r="L1492" i="2"/>
  <c r="N1492" i="2" s="1"/>
  <c r="P1492" i="2" s="1"/>
  <c r="R1491" i="2"/>
  <c r="T1491" i="2" s="1"/>
  <c r="Q1491" i="2"/>
  <c r="O1491" i="2"/>
  <c r="M1491" i="2"/>
  <c r="L1491" i="2"/>
  <c r="N1491" i="2" s="1"/>
  <c r="P1491" i="2" s="1"/>
  <c r="R1490" i="2"/>
  <c r="Q1490" i="2"/>
  <c r="O1490" i="2"/>
  <c r="M1490" i="2"/>
  <c r="L1490" i="2"/>
  <c r="N1490" i="2" s="1"/>
  <c r="P1490" i="2" s="1"/>
  <c r="R1489" i="2"/>
  <c r="T1489" i="2" s="1"/>
  <c r="Q1489" i="2"/>
  <c r="O1489" i="2"/>
  <c r="M1489" i="2"/>
  <c r="L1489" i="2"/>
  <c r="N1489" i="2" s="1"/>
  <c r="P1489" i="2" s="1"/>
  <c r="R1488" i="2"/>
  <c r="T1488" i="2" s="1"/>
  <c r="Q1488" i="2"/>
  <c r="O1488" i="2"/>
  <c r="M1488" i="2"/>
  <c r="L1488" i="2"/>
  <c r="R1487" i="2"/>
  <c r="S1487" i="2" s="1"/>
  <c r="Q1487" i="2"/>
  <c r="O1487" i="2"/>
  <c r="M1487" i="2"/>
  <c r="L1487" i="2"/>
  <c r="N1487" i="2" s="1"/>
  <c r="P1487" i="2" s="1"/>
  <c r="R1486" i="2"/>
  <c r="T1486" i="2" s="1"/>
  <c r="Q1486" i="2"/>
  <c r="O1486" i="2"/>
  <c r="M1486" i="2"/>
  <c r="L1486" i="2"/>
  <c r="N1486" i="2" s="1"/>
  <c r="P1486" i="2" s="1"/>
  <c r="R1485" i="2"/>
  <c r="Q1485" i="2"/>
  <c r="O1485" i="2"/>
  <c r="M1485" i="2"/>
  <c r="L1485" i="2"/>
  <c r="R1484" i="2"/>
  <c r="T1484" i="2" s="1"/>
  <c r="Q1484" i="2"/>
  <c r="O1484" i="2"/>
  <c r="M1484" i="2"/>
  <c r="L1484" i="2"/>
  <c r="N1484" i="2" s="1"/>
  <c r="P1484" i="2" s="1"/>
  <c r="R1483" i="2"/>
  <c r="T1483" i="2" s="1"/>
  <c r="Q1483" i="2"/>
  <c r="O1483" i="2"/>
  <c r="M1483" i="2"/>
  <c r="L1483" i="2"/>
  <c r="N1483" i="2" s="1"/>
  <c r="P1483" i="2" s="1"/>
  <c r="R1482" i="2"/>
  <c r="S1482" i="2" s="1"/>
  <c r="Q1482" i="2"/>
  <c r="O1482" i="2"/>
  <c r="M1482" i="2"/>
  <c r="L1482" i="2"/>
  <c r="R1481" i="2"/>
  <c r="T1481" i="2" s="1"/>
  <c r="Q1481" i="2"/>
  <c r="O1481" i="2"/>
  <c r="M1481" i="2"/>
  <c r="L1481" i="2"/>
  <c r="N1481" i="2" s="1"/>
  <c r="P1481" i="2" s="1"/>
  <c r="R1480" i="2"/>
  <c r="T1480" i="2" s="1"/>
  <c r="Q1480" i="2"/>
  <c r="O1480" i="2"/>
  <c r="M1480" i="2"/>
  <c r="L1480" i="2"/>
  <c r="R1479" i="2"/>
  <c r="S1479" i="2" s="1"/>
  <c r="Q1479" i="2"/>
  <c r="O1479" i="2"/>
  <c r="M1479" i="2"/>
  <c r="L1479" i="2"/>
  <c r="N1479" i="2" s="1"/>
  <c r="P1479" i="2" s="1"/>
  <c r="R1478" i="2"/>
  <c r="S1478" i="2" s="1"/>
  <c r="Q1478" i="2"/>
  <c r="O1478" i="2"/>
  <c r="M1478" i="2"/>
  <c r="L1478" i="2"/>
  <c r="N1478" i="2" s="1"/>
  <c r="P1478" i="2" s="1"/>
  <c r="R1477" i="2"/>
  <c r="S1477" i="2" s="1"/>
  <c r="Q1477" i="2"/>
  <c r="O1477" i="2"/>
  <c r="M1477" i="2"/>
  <c r="L1477" i="2"/>
  <c r="N1477" i="2" s="1"/>
  <c r="P1477" i="2" s="1"/>
  <c r="R1476" i="2"/>
  <c r="S1476" i="2" s="1"/>
  <c r="Q1476" i="2"/>
  <c r="O1476" i="2"/>
  <c r="M1476" i="2"/>
  <c r="L1476" i="2"/>
  <c r="N1476" i="2" s="1"/>
  <c r="P1476" i="2" s="1"/>
  <c r="R1475" i="2"/>
  <c r="S1475" i="2" s="1"/>
  <c r="Q1475" i="2"/>
  <c r="O1475" i="2"/>
  <c r="M1475" i="2"/>
  <c r="L1475" i="2"/>
  <c r="N1475" i="2" s="1"/>
  <c r="P1475" i="2" s="1"/>
  <c r="R1474" i="2"/>
  <c r="Q1474" i="2"/>
  <c r="O1474" i="2"/>
  <c r="M1474" i="2"/>
  <c r="L1474" i="2"/>
  <c r="N1474" i="2" s="1"/>
  <c r="P1474" i="2" s="1"/>
  <c r="R1473" i="2"/>
  <c r="S1473" i="2" s="1"/>
  <c r="Q1473" i="2"/>
  <c r="O1473" i="2"/>
  <c r="M1473" i="2"/>
  <c r="L1473" i="2"/>
  <c r="N1473" i="2" s="1"/>
  <c r="P1473" i="2" s="1"/>
  <c r="R1472" i="2"/>
  <c r="Q1472" i="2"/>
  <c r="O1472" i="2"/>
  <c r="M1472" i="2"/>
  <c r="L1472" i="2"/>
  <c r="N1472" i="2" s="1"/>
  <c r="P1472" i="2" s="1"/>
  <c r="R1471" i="2"/>
  <c r="Q1471" i="2"/>
  <c r="O1471" i="2"/>
  <c r="M1471" i="2"/>
  <c r="L1471" i="2"/>
  <c r="N1471" i="2" s="1"/>
  <c r="P1471" i="2" s="1"/>
  <c r="R1470" i="2"/>
  <c r="Q1470" i="2"/>
  <c r="O1470" i="2"/>
  <c r="M1470" i="2"/>
  <c r="L1470" i="2"/>
  <c r="N1470" i="2" s="1"/>
  <c r="P1470" i="2" s="1"/>
  <c r="R1469" i="2"/>
  <c r="S1469" i="2" s="1"/>
  <c r="Q1469" i="2"/>
  <c r="O1469" i="2"/>
  <c r="M1469" i="2"/>
  <c r="L1469" i="2"/>
  <c r="N1469" i="2" s="1"/>
  <c r="P1469" i="2" s="1"/>
  <c r="R1468" i="2"/>
  <c r="Q1468" i="2"/>
  <c r="O1468" i="2"/>
  <c r="M1468" i="2"/>
  <c r="L1468" i="2"/>
  <c r="N1468" i="2" s="1"/>
  <c r="P1468" i="2" s="1"/>
  <c r="R1467" i="2"/>
  <c r="Q1467" i="2"/>
  <c r="O1467" i="2"/>
  <c r="M1467" i="2"/>
  <c r="L1467" i="2"/>
  <c r="N1467" i="2" s="1"/>
  <c r="P1467" i="2" s="1"/>
  <c r="R1466" i="2"/>
  <c r="Q1466" i="2"/>
  <c r="O1466" i="2"/>
  <c r="M1466" i="2"/>
  <c r="L1466" i="2"/>
  <c r="N1466" i="2" s="1"/>
  <c r="P1466" i="2" s="1"/>
  <c r="R1465" i="2"/>
  <c r="S1465" i="2" s="1"/>
  <c r="Q1465" i="2"/>
  <c r="O1465" i="2"/>
  <c r="M1465" i="2"/>
  <c r="L1465" i="2"/>
  <c r="N1465" i="2" s="1"/>
  <c r="P1465" i="2" s="1"/>
  <c r="R1464" i="2"/>
  <c r="Q1464" i="2"/>
  <c r="O1464" i="2"/>
  <c r="M1464" i="2"/>
  <c r="L1464" i="2"/>
  <c r="N1464" i="2" s="1"/>
  <c r="P1464" i="2" s="1"/>
  <c r="R1463" i="2"/>
  <c r="Q1463" i="2"/>
  <c r="O1463" i="2"/>
  <c r="M1463" i="2"/>
  <c r="L1463" i="2"/>
  <c r="N1463" i="2" s="1"/>
  <c r="P1463" i="2" s="1"/>
  <c r="R1462" i="2"/>
  <c r="S1462" i="2" s="1"/>
  <c r="Q1462" i="2"/>
  <c r="O1462" i="2"/>
  <c r="M1462" i="2"/>
  <c r="L1462" i="2"/>
  <c r="N1462" i="2" s="1"/>
  <c r="P1462" i="2" s="1"/>
  <c r="R1461" i="2"/>
  <c r="S1461" i="2" s="1"/>
  <c r="Q1461" i="2"/>
  <c r="O1461" i="2"/>
  <c r="M1461" i="2"/>
  <c r="L1461" i="2"/>
  <c r="N1461" i="2" s="1"/>
  <c r="P1461" i="2" s="1"/>
  <c r="R1460" i="2"/>
  <c r="Q1460" i="2"/>
  <c r="O1460" i="2"/>
  <c r="M1460" i="2"/>
  <c r="L1460" i="2"/>
  <c r="N1460" i="2" s="1"/>
  <c r="P1460" i="2" s="1"/>
  <c r="R1459" i="2"/>
  <c r="Q1459" i="2"/>
  <c r="O1459" i="2"/>
  <c r="M1459" i="2"/>
  <c r="L1459" i="2"/>
  <c r="N1459" i="2" s="1"/>
  <c r="P1459" i="2" s="1"/>
  <c r="R1458" i="2"/>
  <c r="S1458" i="2" s="1"/>
  <c r="Q1458" i="2"/>
  <c r="O1458" i="2"/>
  <c r="M1458" i="2"/>
  <c r="L1458" i="2"/>
  <c r="N1458" i="2" s="1"/>
  <c r="P1458" i="2" s="1"/>
  <c r="R1457" i="2"/>
  <c r="S1457" i="2" s="1"/>
  <c r="Q1457" i="2"/>
  <c r="O1457" i="2"/>
  <c r="M1457" i="2"/>
  <c r="L1457" i="2"/>
  <c r="N1457" i="2" s="1"/>
  <c r="P1457" i="2" s="1"/>
  <c r="R1456" i="2"/>
  <c r="Q1456" i="2"/>
  <c r="O1456" i="2"/>
  <c r="M1456" i="2"/>
  <c r="L1456" i="2"/>
  <c r="N1456" i="2" s="1"/>
  <c r="P1456" i="2" s="1"/>
  <c r="R1455" i="2"/>
  <c r="Q1455" i="2"/>
  <c r="O1455" i="2"/>
  <c r="M1455" i="2"/>
  <c r="L1455" i="2"/>
  <c r="N1455" i="2" s="1"/>
  <c r="P1455" i="2" s="1"/>
  <c r="R1454" i="2"/>
  <c r="Q1454" i="2"/>
  <c r="O1454" i="2"/>
  <c r="M1454" i="2"/>
  <c r="L1454" i="2"/>
  <c r="N1454" i="2" s="1"/>
  <c r="P1454" i="2" s="1"/>
  <c r="R1453" i="2"/>
  <c r="S1453" i="2" s="1"/>
  <c r="Q1453" i="2"/>
  <c r="O1453" i="2"/>
  <c r="M1453" i="2"/>
  <c r="L1453" i="2"/>
  <c r="N1453" i="2" s="1"/>
  <c r="P1453" i="2" s="1"/>
  <c r="R1452" i="2"/>
  <c r="Q1452" i="2"/>
  <c r="O1452" i="2"/>
  <c r="M1452" i="2"/>
  <c r="L1452" i="2"/>
  <c r="N1452" i="2" s="1"/>
  <c r="P1452" i="2" s="1"/>
  <c r="R1451" i="2"/>
  <c r="Q1451" i="2"/>
  <c r="O1451" i="2"/>
  <c r="M1451" i="2"/>
  <c r="L1451" i="2"/>
  <c r="N1451" i="2" s="1"/>
  <c r="P1451" i="2" s="1"/>
  <c r="R1450" i="2"/>
  <c r="Q1450" i="2"/>
  <c r="O1450" i="2"/>
  <c r="M1450" i="2"/>
  <c r="L1450" i="2"/>
  <c r="N1450" i="2" s="1"/>
  <c r="P1450" i="2" s="1"/>
  <c r="R1449" i="2"/>
  <c r="S1449" i="2" s="1"/>
  <c r="Q1449" i="2"/>
  <c r="O1449" i="2"/>
  <c r="M1449" i="2"/>
  <c r="L1449" i="2"/>
  <c r="N1449" i="2" s="1"/>
  <c r="P1449" i="2" s="1"/>
  <c r="R1448" i="2"/>
  <c r="Q1448" i="2"/>
  <c r="O1448" i="2"/>
  <c r="M1448" i="2"/>
  <c r="L1448" i="2"/>
  <c r="N1448" i="2" s="1"/>
  <c r="P1448" i="2" s="1"/>
  <c r="R1447" i="2"/>
  <c r="S1447" i="2" s="1"/>
  <c r="Q1447" i="2"/>
  <c r="O1447" i="2"/>
  <c r="M1447" i="2"/>
  <c r="L1447" i="2"/>
  <c r="N1447" i="2" s="1"/>
  <c r="P1447" i="2" s="1"/>
  <c r="R1446" i="2"/>
  <c r="Q1446" i="2"/>
  <c r="O1446" i="2"/>
  <c r="M1446" i="2"/>
  <c r="L1446" i="2"/>
  <c r="N1446" i="2" s="1"/>
  <c r="P1446" i="2" s="1"/>
  <c r="R1445" i="2"/>
  <c r="S1445" i="2" s="1"/>
  <c r="Q1445" i="2"/>
  <c r="O1445" i="2"/>
  <c r="M1445" i="2"/>
  <c r="L1445" i="2"/>
  <c r="N1445" i="2" s="1"/>
  <c r="P1445" i="2" s="1"/>
  <c r="R1444" i="2"/>
  <c r="Q1444" i="2"/>
  <c r="O1444" i="2"/>
  <c r="M1444" i="2"/>
  <c r="L1444" i="2"/>
  <c r="N1444" i="2" s="1"/>
  <c r="P1444" i="2" s="1"/>
  <c r="R1443" i="2"/>
  <c r="S1443" i="2" s="1"/>
  <c r="Q1443" i="2"/>
  <c r="O1443" i="2"/>
  <c r="M1443" i="2"/>
  <c r="L1443" i="2"/>
  <c r="N1443" i="2" s="1"/>
  <c r="P1443" i="2" s="1"/>
  <c r="R1442" i="2"/>
  <c r="S1442" i="2" s="1"/>
  <c r="Q1442" i="2"/>
  <c r="O1442" i="2"/>
  <c r="M1442" i="2"/>
  <c r="L1442" i="2"/>
  <c r="N1442" i="2" s="1"/>
  <c r="P1442" i="2" s="1"/>
  <c r="R1441" i="2"/>
  <c r="S1441" i="2" s="1"/>
  <c r="Q1441" i="2"/>
  <c r="O1441" i="2"/>
  <c r="M1441" i="2"/>
  <c r="L1441" i="2"/>
  <c r="N1441" i="2" s="1"/>
  <c r="P1441" i="2" s="1"/>
  <c r="R1440" i="2"/>
  <c r="S1440" i="2" s="1"/>
  <c r="Q1440" i="2"/>
  <c r="O1440" i="2"/>
  <c r="M1440" i="2"/>
  <c r="L1440" i="2"/>
  <c r="N1440" i="2" s="1"/>
  <c r="P1440" i="2" s="1"/>
  <c r="R1439" i="2"/>
  <c r="Q1439" i="2"/>
  <c r="O1439" i="2"/>
  <c r="M1439" i="2"/>
  <c r="L1439" i="2"/>
  <c r="N1439" i="2" s="1"/>
  <c r="P1439" i="2" s="1"/>
  <c r="R1438" i="2"/>
  <c r="S1438" i="2" s="1"/>
  <c r="Q1438" i="2"/>
  <c r="O1438" i="2"/>
  <c r="M1438" i="2"/>
  <c r="L1438" i="2"/>
  <c r="N1438" i="2" s="1"/>
  <c r="P1438" i="2" s="1"/>
  <c r="R1437" i="2"/>
  <c r="S1437" i="2" s="1"/>
  <c r="Q1437" i="2"/>
  <c r="O1437" i="2"/>
  <c r="M1437" i="2"/>
  <c r="L1437" i="2"/>
  <c r="N1437" i="2" s="1"/>
  <c r="P1437" i="2" s="1"/>
  <c r="R1436" i="2"/>
  <c r="S1436" i="2" s="1"/>
  <c r="Q1436" i="2"/>
  <c r="O1436" i="2"/>
  <c r="M1436" i="2"/>
  <c r="L1436" i="2"/>
  <c r="N1436" i="2" s="1"/>
  <c r="P1436" i="2" s="1"/>
  <c r="R1435" i="2"/>
  <c r="Q1435" i="2"/>
  <c r="O1435" i="2"/>
  <c r="M1435" i="2"/>
  <c r="L1435" i="2"/>
  <c r="N1435" i="2" s="1"/>
  <c r="P1435" i="2" s="1"/>
  <c r="R1434" i="2"/>
  <c r="Q1434" i="2"/>
  <c r="O1434" i="2"/>
  <c r="M1434" i="2"/>
  <c r="L1434" i="2"/>
  <c r="N1434" i="2" s="1"/>
  <c r="P1434" i="2" s="1"/>
  <c r="R1433" i="2"/>
  <c r="S1433" i="2" s="1"/>
  <c r="Q1433" i="2"/>
  <c r="O1433" i="2"/>
  <c r="M1433" i="2"/>
  <c r="L1433" i="2"/>
  <c r="N1433" i="2" s="1"/>
  <c r="P1433" i="2" s="1"/>
  <c r="R1432" i="2"/>
  <c r="Q1432" i="2"/>
  <c r="O1432" i="2"/>
  <c r="M1432" i="2"/>
  <c r="L1432" i="2"/>
  <c r="N1432" i="2" s="1"/>
  <c r="P1432" i="2" s="1"/>
  <c r="R1431" i="2"/>
  <c r="Q1431" i="2"/>
  <c r="O1431" i="2"/>
  <c r="M1431" i="2"/>
  <c r="L1431" i="2"/>
  <c r="N1431" i="2" s="1"/>
  <c r="P1431" i="2" s="1"/>
  <c r="R1430" i="2"/>
  <c r="T1430" i="2" s="1"/>
  <c r="Q1430" i="2"/>
  <c r="O1430" i="2"/>
  <c r="M1430" i="2"/>
  <c r="L1430" i="2"/>
  <c r="N1430" i="2" s="1"/>
  <c r="P1430" i="2" s="1"/>
  <c r="R1429" i="2"/>
  <c r="T1429" i="2" s="1"/>
  <c r="Q1429" i="2"/>
  <c r="O1429" i="2"/>
  <c r="M1429" i="2"/>
  <c r="L1429" i="2"/>
  <c r="N1429" i="2" s="1"/>
  <c r="P1429" i="2" s="1"/>
  <c r="R1428" i="2"/>
  <c r="T1428" i="2" s="1"/>
  <c r="Q1428" i="2"/>
  <c r="O1428" i="2"/>
  <c r="M1428" i="2"/>
  <c r="L1428" i="2"/>
  <c r="N1428" i="2" s="1"/>
  <c r="P1428" i="2" s="1"/>
  <c r="R1427" i="2"/>
  <c r="Q1427" i="2"/>
  <c r="O1427" i="2"/>
  <c r="M1427" i="2"/>
  <c r="L1427" i="2"/>
  <c r="N1427" i="2" s="1"/>
  <c r="P1427" i="2" s="1"/>
  <c r="R1426" i="2"/>
  <c r="Q1426" i="2"/>
  <c r="O1426" i="2"/>
  <c r="M1426" i="2"/>
  <c r="L1426" i="2"/>
  <c r="N1426" i="2" s="1"/>
  <c r="P1426" i="2" s="1"/>
  <c r="R1425" i="2"/>
  <c r="S1425" i="2" s="1"/>
  <c r="Q1425" i="2"/>
  <c r="O1425" i="2"/>
  <c r="M1425" i="2"/>
  <c r="L1425" i="2"/>
  <c r="N1425" i="2" s="1"/>
  <c r="P1425" i="2" s="1"/>
  <c r="R1424" i="2"/>
  <c r="Q1424" i="2"/>
  <c r="O1424" i="2"/>
  <c r="M1424" i="2"/>
  <c r="L1424" i="2"/>
  <c r="N1424" i="2" s="1"/>
  <c r="P1424" i="2" s="1"/>
  <c r="R1423" i="2"/>
  <c r="Q1423" i="2"/>
  <c r="O1423" i="2"/>
  <c r="M1423" i="2"/>
  <c r="L1423" i="2"/>
  <c r="N1423" i="2" s="1"/>
  <c r="P1423" i="2" s="1"/>
  <c r="R1422" i="2"/>
  <c r="T1422" i="2" s="1"/>
  <c r="Q1422" i="2"/>
  <c r="O1422" i="2"/>
  <c r="M1422" i="2"/>
  <c r="L1422" i="2"/>
  <c r="N1422" i="2" s="1"/>
  <c r="P1422" i="2" s="1"/>
  <c r="R1421" i="2"/>
  <c r="T1421" i="2" s="1"/>
  <c r="Q1421" i="2"/>
  <c r="O1421" i="2"/>
  <c r="M1421" i="2"/>
  <c r="L1421" i="2"/>
  <c r="N1421" i="2" s="1"/>
  <c r="P1421" i="2" s="1"/>
  <c r="R1420" i="2"/>
  <c r="T1420" i="2" s="1"/>
  <c r="Q1420" i="2"/>
  <c r="O1420" i="2"/>
  <c r="M1420" i="2"/>
  <c r="L1420" i="2"/>
  <c r="N1420" i="2" s="1"/>
  <c r="P1420" i="2" s="1"/>
  <c r="R1419" i="2"/>
  <c r="Q1419" i="2"/>
  <c r="O1419" i="2"/>
  <c r="M1419" i="2"/>
  <c r="L1419" i="2"/>
  <c r="N1419" i="2" s="1"/>
  <c r="P1419" i="2" s="1"/>
  <c r="R1418" i="2"/>
  <c r="S1418" i="2" s="1"/>
  <c r="Q1418" i="2"/>
  <c r="O1418" i="2"/>
  <c r="M1418" i="2"/>
  <c r="L1418" i="2"/>
  <c r="N1418" i="2" s="1"/>
  <c r="P1418" i="2" s="1"/>
  <c r="R1417" i="2"/>
  <c r="S1417" i="2" s="1"/>
  <c r="Q1417" i="2"/>
  <c r="O1417" i="2"/>
  <c r="M1417" i="2"/>
  <c r="L1417" i="2"/>
  <c r="N1417" i="2" s="1"/>
  <c r="P1417" i="2" s="1"/>
  <c r="R1416" i="2"/>
  <c r="S1416" i="2" s="1"/>
  <c r="Q1416" i="2"/>
  <c r="O1416" i="2"/>
  <c r="M1416" i="2"/>
  <c r="L1416" i="2"/>
  <c r="N1416" i="2" s="1"/>
  <c r="P1416" i="2" s="1"/>
  <c r="R1415" i="2"/>
  <c r="S1415" i="2" s="1"/>
  <c r="Q1415" i="2"/>
  <c r="O1415" i="2"/>
  <c r="M1415" i="2"/>
  <c r="L1415" i="2"/>
  <c r="N1415" i="2" s="1"/>
  <c r="P1415" i="2" s="1"/>
  <c r="R1414" i="2"/>
  <c r="T1414" i="2" s="1"/>
  <c r="Q1414" i="2"/>
  <c r="O1414" i="2"/>
  <c r="M1414" i="2"/>
  <c r="L1414" i="2"/>
  <c r="N1414" i="2" s="1"/>
  <c r="P1414" i="2" s="1"/>
  <c r="R1413" i="2"/>
  <c r="T1413" i="2" s="1"/>
  <c r="Q1413" i="2"/>
  <c r="O1413" i="2"/>
  <c r="M1413" i="2"/>
  <c r="L1413" i="2"/>
  <c r="N1413" i="2" s="1"/>
  <c r="P1413" i="2" s="1"/>
  <c r="R1412" i="2"/>
  <c r="T1412" i="2" s="1"/>
  <c r="Q1412" i="2"/>
  <c r="O1412" i="2"/>
  <c r="M1412" i="2"/>
  <c r="L1412" i="2"/>
  <c r="N1412" i="2" s="1"/>
  <c r="P1412" i="2" s="1"/>
  <c r="R1411" i="2"/>
  <c r="Q1411" i="2"/>
  <c r="O1411" i="2"/>
  <c r="M1411" i="2"/>
  <c r="L1411" i="2"/>
  <c r="N1411" i="2" s="1"/>
  <c r="P1411" i="2" s="1"/>
  <c r="R1410" i="2"/>
  <c r="Q1410" i="2"/>
  <c r="O1410" i="2"/>
  <c r="M1410" i="2"/>
  <c r="L1410" i="2"/>
  <c r="N1410" i="2" s="1"/>
  <c r="P1410" i="2" s="1"/>
  <c r="R1409" i="2"/>
  <c r="S1409" i="2" s="1"/>
  <c r="Q1409" i="2"/>
  <c r="O1409" i="2"/>
  <c r="M1409" i="2"/>
  <c r="L1409" i="2"/>
  <c r="N1409" i="2" s="1"/>
  <c r="P1409" i="2" s="1"/>
  <c r="R1408" i="2"/>
  <c r="Q1408" i="2"/>
  <c r="O1408" i="2"/>
  <c r="M1408" i="2"/>
  <c r="L1408" i="2"/>
  <c r="N1408" i="2" s="1"/>
  <c r="P1408" i="2" s="1"/>
  <c r="R1407" i="2"/>
  <c r="S1407" i="2" s="1"/>
  <c r="Q1407" i="2"/>
  <c r="O1407" i="2"/>
  <c r="M1407" i="2"/>
  <c r="L1407" i="2"/>
  <c r="N1407" i="2" s="1"/>
  <c r="P1407" i="2" s="1"/>
  <c r="R1406" i="2"/>
  <c r="T1406" i="2" s="1"/>
  <c r="Q1406" i="2"/>
  <c r="O1406" i="2"/>
  <c r="M1406" i="2"/>
  <c r="L1406" i="2"/>
  <c r="N1406" i="2" s="1"/>
  <c r="P1406" i="2" s="1"/>
  <c r="R1405" i="2"/>
  <c r="T1405" i="2" s="1"/>
  <c r="Q1405" i="2"/>
  <c r="O1405" i="2"/>
  <c r="M1405" i="2"/>
  <c r="L1405" i="2"/>
  <c r="N1405" i="2" s="1"/>
  <c r="P1405" i="2" s="1"/>
  <c r="R1404" i="2"/>
  <c r="T1404" i="2" s="1"/>
  <c r="Q1404" i="2"/>
  <c r="O1404" i="2"/>
  <c r="M1404" i="2"/>
  <c r="L1404" i="2"/>
  <c r="R1403" i="2"/>
  <c r="T1403" i="2" s="1"/>
  <c r="Q1403" i="2"/>
  <c r="O1403" i="2"/>
  <c r="M1403" i="2"/>
  <c r="L1403" i="2"/>
  <c r="R1402" i="2"/>
  <c r="S1402" i="2" s="1"/>
  <c r="Q1402" i="2"/>
  <c r="O1402" i="2"/>
  <c r="M1402" i="2"/>
  <c r="L1402" i="2"/>
  <c r="N1402" i="2" s="1"/>
  <c r="P1402" i="2" s="1"/>
  <c r="R1401" i="2"/>
  <c r="S1401" i="2" s="1"/>
  <c r="Q1401" i="2"/>
  <c r="O1401" i="2"/>
  <c r="M1401" i="2"/>
  <c r="L1401" i="2"/>
  <c r="N1401" i="2" s="1"/>
  <c r="P1401" i="2" s="1"/>
  <c r="R1400" i="2"/>
  <c r="T1400" i="2" s="1"/>
  <c r="Q1400" i="2"/>
  <c r="O1400" i="2"/>
  <c r="M1400" i="2"/>
  <c r="L1400" i="2"/>
  <c r="R1399" i="2"/>
  <c r="T1399" i="2" s="1"/>
  <c r="Q1399" i="2"/>
  <c r="O1399" i="2"/>
  <c r="M1399" i="2"/>
  <c r="L1399" i="2"/>
  <c r="R1398" i="2"/>
  <c r="S1398" i="2" s="1"/>
  <c r="Q1398" i="2"/>
  <c r="O1398" i="2"/>
  <c r="M1398" i="2"/>
  <c r="L1398" i="2"/>
  <c r="N1398" i="2" s="1"/>
  <c r="P1398" i="2" s="1"/>
  <c r="R1397" i="2"/>
  <c r="S1397" i="2" s="1"/>
  <c r="Q1397" i="2"/>
  <c r="O1397" i="2"/>
  <c r="M1397" i="2"/>
  <c r="L1397" i="2"/>
  <c r="N1397" i="2" s="1"/>
  <c r="P1397" i="2" s="1"/>
  <c r="R1396" i="2"/>
  <c r="T1396" i="2" s="1"/>
  <c r="Q1396" i="2"/>
  <c r="O1396" i="2"/>
  <c r="M1396" i="2"/>
  <c r="L1396" i="2"/>
  <c r="R1395" i="2"/>
  <c r="T1395" i="2" s="1"/>
  <c r="Q1395" i="2"/>
  <c r="O1395" i="2"/>
  <c r="M1395" i="2"/>
  <c r="L1395" i="2"/>
  <c r="R1394" i="2"/>
  <c r="Q1394" i="2"/>
  <c r="O1394" i="2"/>
  <c r="M1394" i="2"/>
  <c r="L1394" i="2"/>
  <c r="N1394" i="2" s="1"/>
  <c r="P1394" i="2" s="1"/>
  <c r="R1393" i="2"/>
  <c r="S1393" i="2" s="1"/>
  <c r="Q1393" i="2"/>
  <c r="O1393" i="2"/>
  <c r="M1393" i="2"/>
  <c r="L1393" i="2"/>
  <c r="N1393" i="2" s="1"/>
  <c r="P1393" i="2" s="1"/>
  <c r="R1392" i="2"/>
  <c r="T1392" i="2" s="1"/>
  <c r="Q1392" i="2"/>
  <c r="O1392" i="2"/>
  <c r="M1392" i="2"/>
  <c r="L1392" i="2"/>
  <c r="R1391" i="2"/>
  <c r="T1391" i="2" s="1"/>
  <c r="Q1391" i="2"/>
  <c r="O1391" i="2"/>
  <c r="M1391" i="2"/>
  <c r="L1391" i="2"/>
  <c r="R1390" i="2"/>
  <c r="Q1390" i="2"/>
  <c r="O1390" i="2"/>
  <c r="M1390" i="2"/>
  <c r="L1390" i="2"/>
  <c r="N1390" i="2" s="1"/>
  <c r="P1390" i="2" s="1"/>
  <c r="R1389" i="2"/>
  <c r="S1389" i="2" s="1"/>
  <c r="Q1389" i="2"/>
  <c r="O1389" i="2"/>
  <c r="M1389" i="2"/>
  <c r="L1389" i="2"/>
  <c r="N1389" i="2" s="1"/>
  <c r="P1389" i="2" s="1"/>
  <c r="R1388" i="2"/>
  <c r="T1388" i="2" s="1"/>
  <c r="Q1388" i="2"/>
  <c r="O1388" i="2"/>
  <c r="M1388" i="2"/>
  <c r="L1388" i="2"/>
  <c r="R1387" i="2"/>
  <c r="T1387" i="2" s="1"/>
  <c r="Q1387" i="2"/>
  <c r="O1387" i="2"/>
  <c r="M1387" i="2"/>
  <c r="L1387" i="2"/>
  <c r="R1386" i="2"/>
  <c r="Q1386" i="2"/>
  <c r="O1386" i="2"/>
  <c r="M1386" i="2"/>
  <c r="L1386" i="2"/>
  <c r="N1386" i="2" s="1"/>
  <c r="P1386" i="2" s="1"/>
  <c r="R1385" i="2"/>
  <c r="S1385" i="2" s="1"/>
  <c r="Q1385" i="2"/>
  <c r="O1385" i="2"/>
  <c r="M1385" i="2"/>
  <c r="L1385" i="2"/>
  <c r="N1385" i="2" s="1"/>
  <c r="P1385" i="2" s="1"/>
  <c r="R1384" i="2"/>
  <c r="T1384" i="2" s="1"/>
  <c r="Q1384" i="2"/>
  <c r="O1384" i="2"/>
  <c r="M1384" i="2"/>
  <c r="L1384" i="2"/>
  <c r="R1383" i="2"/>
  <c r="T1383" i="2" s="1"/>
  <c r="Q1383" i="2"/>
  <c r="O1383" i="2"/>
  <c r="M1383" i="2"/>
  <c r="L1383" i="2"/>
  <c r="R1382" i="2"/>
  <c r="S1382" i="2" s="1"/>
  <c r="Q1382" i="2"/>
  <c r="O1382" i="2"/>
  <c r="M1382" i="2"/>
  <c r="L1382" i="2"/>
  <c r="N1382" i="2" s="1"/>
  <c r="P1382" i="2" s="1"/>
  <c r="R1381" i="2"/>
  <c r="S1381" i="2" s="1"/>
  <c r="Q1381" i="2"/>
  <c r="O1381" i="2"/>
  <c r="M1381" i="2"/>
  <c r="L1381" i="2"/>
  <c r="N1381" i="2" s="1"/>
  <c r="P1381" i="2" s="1"/>
  <c r="R1380" i="2"/>
  <c r="T1380" i="2" s="1"/>
  <c r="Q1380" i="2"/>
  <c r="O1380" i="2"/>
  <c r="M1380" i="2"/>
  <c r="L1380" i="2"/>
  <c r="R1379" i="2"/>
  <c r="T1379" i="2" s="1"/>
  <c r="Q1379" i="2"/>
  <c r="O1379" i="2"/>
  <c r="M1379" i="2"/>
  <c r="L1379" i="2"/>
  <c r="R1378" i="2"/>
  <c r="T1378" i="2" s="1"/>
  <c r="Q1378" i="2"/>
  <c r="O1378" i="2"/>
  <c r="M1378" i="2"/>
  <c r="L1378" i="2"/>
  <c r="N1378" i="2" s="1"/>
  <c r="P1378" i="2" s="1"/>
  <c r="R1377" i="2"/>
  <c r="S1377" i="2" s="1"/>
  <c r="Q1377" i="2"/>
  <c r="O1377" i="2"/>
  <c r="M1377" i="2"/>
  <c r="L1377" i="2"/>
  <c r="N1377" i="2" s="1"/>
  <c r="P1377" i="2" s="1"/>
  <c r="R1376" i="2"/>
  <c r="T1376" i="2" s="1"/>
  <c r="Q1376" i="2"/>
  <c r="O1376" i="2"/>
  <c r="M1376" i="2"/>
  <c r="L1376" i="2"/>
  <c r="N1376" i="2" s="1"/>
  <c r="P1376" i="2" s="1"/>
  <c r="R1375" i="2"/>
  <c r="T1375" i="2" s="1"/>
  <c r="Q1375" i="2"/>
  <c r="O1375" i="2"/>
  <c r="M1375" i="2"/>
  <c r="L1375" i="2"/>
  <c r="R1374" i="2"/>
  <c r="T1374" i="2" s="1"/>
  <c r="Q1374" i="2"/>
  <c r="O1374" i="2"/>
  <c r="M1374" i="2"/>
  <c r="L1374" i="2"/>
  <c r="N1374" i="2" s="1"/>
  <c r="P1374" i="2" s="1"/>
  <c r="R1373" i="2"/>
  <c r="S1373" i="2" s="1"/>
  <c r="Q1373" i="2"/>
  <c r="O1373" i="2"/>
  <c r="M1373" i="2"/>
  <c r="L1373" i="2"/>
  <c r="N1373" i="2" s="1"/>
  <c r="P1373" i="2" s="1"/>
  <c r="R1372" i="2"/>
  <c r="T1372" i="2" s="1"/>
  <c r="Q1372" i="2"/>
  <c r="O1372" i="2"/>
  <c r="M1372" i="2"/>
  <c r="L1372" i="2"/>
  <c r="N1372" i="2" s="1"/>
  <c r="P1372" i="2" s="1"/>
  <c r="R1371" i="2"/>
  <c r="T1371" i="2" s="1"/>
  <c r="Q1371" i="2"/>
  <c r="O1371" i="2"/>
  <c r="M1371" i="2"/>
  <c r="L1371" i="2"/>
  <c r="R1370" i="2"/>
  <c r="Q1370" i="2"/>
  <c r="O1370" i="2"/>
  <c r="M1370" i="2"/>
  <c r="L1370" i="2"/>
  <c r="N1370" i="2" s="1"/>
  <c r="P1370" i="2" s="1"/>
  <c r="R1369" i="2"/>
  <c r="S1369" i="2" s="1"/>
  <c r="Q1369" i="2"/>
  <c r="O1369" i="2"/>
  <c r="M1369" i="2"/>
  <c r="L1369" i="2"/>
  <c r="N1369" i="2" s="1"/>
  <c r="P1369" i="2" s="1"/>
  <c r="R1368" i="2"/>
  <c r="T1368" i="2" s="1"/>
  <c r="Q1368" i="2"/>
  <c r="O1368" i="2"/>
  <c r="M1368" i="2"/>
  <c r="L1368" i="2"/>
  <c r="N1368" i="2" s="1"/>
  <c r="P1368" i="2" s="1"/>
  <c r="R1367" i="2"/>
  <c r="T1367" i="2" s="1"/>
  <c r="Q1367" i="2"/>
  <c r="O1367" i="2"/>
  <c r="M1367" i="2"/>
  <c r="L1367" i="2"/>
  <c r="R1366" i="2"/>
  <c r="Q1366" i="2"/>
  <c r="O1366" i="2"/>
  <c r="M1366" i="2"/>
  <c r="L1366" i="2"/>
  <c r="N1366" i="2" s="1"/>
  <c r="P1366" i="2" s="1"/>
  <c r="R1365" i="2"/>
  <c r="S1365" i="2" s="1"/>
  <c r="Q1365" i="2"/>
  <c r="O1365" i="2"/>
  <c r="M1365" i="2"/>
  <c r="L1365" i="2"/>
  <c r="N1365" i="2" s="1"/>
  <c r="P1365" i="2" s="1"/>
  <c r="R1364" i="2"/>
  <c r="T1364" i="2" s="1"/>
  <c r="Q1364" i="2"/>
  <c r="O1364" i="2"/>
  <c r="M1364" i="2"/>
  <c r="L1364" i="2"/>
  <c r="N1364" i="2" s="1"/>
  <c r="P1364" i="2" s="1"/>
  <c r="R1363" i="2"/>
  <c r="T1363" i="2" s="1"/>
  <c r="Q1363" i="2"/>
  <c r="O1363" i="2"/>
  <c r="M1363" i="2"/>
  <c r="L1363" i="2"/>
  <c r="R1362" i="2"/>
  <c r="S1362" i="2" s="1"/>
  <c r="Q1362" i="2"/>
  <c r="O1362" i="2"/>
  <c r="M1362" i="2"/>
  <c r="L1362" i="2"/>
  <c r="N1362" i="2" s="1"/>
  <c r="P1362" i="2" s="1"/>
  <c r="R1361" i="2"/>
  <c r="S1361" i="2" s="1"/>
  <c r="Q1361" i="2"/>
  <c r="O1361" i="2"/>
  <c r="M1361" i="2"/>
  <c r="L1361" i="2"/>
  <c r="N1361" i="2" s="1"/>
  <c r="P1361" i="2" s="1"/>
  <c r="R1360" i="2"/>
  <c r="T1360" i="2" s="1"/>
  <c r="Q1360" i="2"/>
  <c r="O1360" i="2"/>
  <c r="M1360" i="2"/>
  <c r="L1360" i="2"/>
  <c r="R1359" i="2"/>
  <c r="T1359" i="2" s="1"/>
  <c r="Q1359" i="2"/>
  <c r="O1359" i="2"/>
  <c r="M1359" i="2"/>
  <c r="L1359" i="2"/>
  <c r="R1358" i="2"/>
  <c r="T1358" i="2" s="1"/>
  <c r="Q1358" i="2"/>
  <c r="O1358" i="2"/>
  <c r="M1358" i="2"/>
  <c r="L1358" i="2"/>
  <c r="N1358" i="2" s="1"/>
  <c r="P1358" i="2" s="1"/>
  <c r="R1357" i="2"/>
  <c r="S1357" i="2" s="1"/>
  <c r="Q1357" i="2"/>
  <c r="O1357" i="2"/>
  <c r="M1357" i="2"/>
  <c r="L1357" i="2"/>
  <c r="N1357" i="2" s="1"/>
  <c r="P1357" i="2" s="1"/>
  <c r="R1356" i="2"/>
  <c r="T1356" i="2" s="1"/>
  <c r="Q1356" i="2"/>
  <c r="O1356" i="2"/>
  <c r="M1356" i="2"/>
  <c r="L1356" i="2"/>
  <c r="R1355" i="2"/>
  <c r="T1355" i="2" s="1"/>
  <c r="Q1355" i="2"/>
  <c r="O1355" i="2"/>
  <c r="M1355" i="2"/>
  <c r="L1355" i="2"/>
  <c r="R1354" i="2"/>
  <c r="T1354" i="2" s="1"/>
  <c r="Q1354" i="2"/>
  <c r="O1354" i="2"/>
  <c r="M1354" i="2"/>
  <c r="L1354" i="2"/>
  <c r="N1354" i="2" s="1"/>
  <c r="P1354" i="2" s="1"/>
  <c r="R1353" i="2"/>
  <c r="S1353" i="2" s="1"/>
  <c r="Q1353" i="2"/>
  <c r="O1353" i="2"/>
  <c r="M1353" i="2"/>
  <c r="L1353" i="2"/>
  <c r="N1353" i="2" s="1"/>
  <c r="P1353" i="2" s="1"/>
  <c r="R1352" i="2"/>
  <c r="T1352" i="2" s="1"/>
  <c r="Q1352" i="2"/>
  <c r="O1352" i="2"/>
  <c r="M1352" i="2"/>
  <c r="L1352" i="2"/>
  <c r="R1351" i="2"/>
  <c r="T1351" i="2" s="1"/>
  <c r="Q1351" i="2"/>
  <c r="O1351" i="2"/>
  <c r="M1351" i="2"/>
  <c r="L1351" i="2"/>
  <c r="R1350" i="2"/>
  <c r="T1350" i="2" s="1"/>
  <c r="Q1350" i="2"/>
  <c r="O1350" i="2"/>
  <c r="M1350" i="2"/>
  <c r="L1350" i="2"/>
  <c r="N1350" i="2" s="1"/>
  <c r="P1350" i="2" s="1"/>
  <c r="R1349" i="2"/>
  <c r="S1349" i="2" s="1"/>
  <c r="Q1349" i="2"/>
  <c r="O1349" i="2"/>
  <c r="M1349" i="2"/>
  <c r="L1349" i="2"/>
  <c r="N1349" i="2" s="1"/>
  <c r="P1349" i="2" s="1"/>
  <c r="R1348" i="2"/>
  <c r="T1348" i="2" s="1"/>
  <c r="Q1348" i="2"/>
  <c r="O1348" i="2"/>
  <c r="M1348" i="2"/>
  <c r="L1348" i="2"/>
  <c r="N1348" i="2" s="1"/>
  <c r="P1348" i="2" s="1"/>
  <c r="R1347" i="2"/>
  <c r="T1347" i="2" s="1"/>
  <c r="Q1347" i="2"/>
  <c r="O1347" i="2"/>
  <c r="M1347" i="2"/>
  <c r="L1347" i="2"/>
  <c r="R1346" i="2"/>
  <c r="T1346" i="2" s="1"/>
  <c r="Q1346" i="2"/>
  <c r="O1346" i="2"/>
  <c r="M1346" i="2"/>
  <c r="L1346" i="2"/>
  <c r="N1346" i="2" s="1"/>
  <c r="P1346" i="2" s="1"/>
  <c r="R1345" i="2"/>
  <c r="S1345" i="2" s="1"/>
  <c r="Q1345" i="2"/>
  <c r="O1345" i="2"/>
  <c r="M1345" i="2"/>
  <c r="L1345" i="2"/>
  <c r="N1345" i="2" s="1"/>
  <c r="P1345" i="2" s="1"/>
  <c r="R1344" i="2"/>
  <c r="T1344" i="2" s="1"/>
  <c r="Q1344" i="2"/>
  <c r="O1344" i="2"/>
  <c r="M1344" i="2"/>
  <c r="L1344" i="2"/>
  <c r="N1344" i="2" s="1"/>
  <c r="P1344" i="2" s="1"/>
  <c r="R1343" i="2"/>
  <c r="T1343" i="2" s="1"/>
  <c r="Q1343" i="2"/>
  <c r="O1343" i="2"/>
  <c r="M1343" i="2"/>
  <c r="L1343" i="2"/>
  <c r="R1342" i="2"/>
  <c r="T1342" i="2" s="1"/>
  <c r="Q1342" i="2"/>
  <c r="O1342" i="2"/>
  <c r="M1342" i="2"/>
  <c r="L1342" i="2"/>
  <c r="N1342" i="2" s="1"/>
  <c r="P1342" i="2" s="1"/>
  <c r="R1341" i="2"/>
  <c r="T1341" i="2" s="1"/>
  <c r="Q1341" i="2"/>
  <c r="O1341" i="2"/>
  <c r="M1341" i="2"/>
  <c r="L1341" i="2"/>
  <c r="N1341" i="2" s="1"/>
  <c r="P1341" i="2" s="1"/>
  <c r="R1340" i="2"/>
  <c r="T1340" i="2" s="1"/>
  <c r="Q1340" i="2"/>
  <c r="O1340" i="2"/>
  <c r="M1340" i="2"/>
  <c r="L1340" i="2"/>
  <c r="N1340" i="2" s="1"/>
  <c r="P1340" i="2" s="1"/>
  <c r="R1339" i="2"/>
  <c r="T1339" i="2" s="1"/>
  <c r="Q1339" i="2"/>
  <c r="O1339" i="2"/>
  <c r="M1339" i="2"/>
  <c r="L1339" i="2"/>
  <c r="N1339" i="2" s="1"/>
  <c r="P1339" i="2" s="1"/>
  <c r="R1338" i="2"/>
  <c r="T1338" i="2" s="1"/>
  <c r="Q1338" i="2"/>
  <c r="O1338" i="2"/>
  <c r="M1338" i="2"/>
  <c r="L1338" i="2"/>
  <c r="N1338" i="2" s="1"/>
  <c r="P1338" i="2" s="1"/>
  <c r="R1337" i="2"/>
  <c r="T1337" i="2" s="1"/>
  <c r="Q1337" i="2"/>
  <c r="O1337" i="2"/>
  <c r="M1337" i="2"/>
  <c r="L1337" i="2"/>
  <c r="N1337" i="2" s="1"/>
  <c r="P1337" i="2" s="1"/>
  <c r="R1336" i="2"/>
  <c r="T1336" i="2" s="1"/>
  <c r="Q1336" i="2"/>
  <c r="O1336" i="2"/>
  <c r="M1336" i="2"/>
  <c r="L1336" i="2"/>
  <c r="N1336" i="2" s="1"/>
  <c r="P1336" i="2" s="1"/>
  <c r="R1335" i="2"/>
  <c r="T1335" i="2" s="1"/>
  <c r="Q1335" i="2"/>
  <c r="O1335" i="2"/>
  <c r="M1335" i="2"/>
  <c r="L1335" i="2"/>
  <c r="N1335" i="2" s="1"/>
  <c r="P1335" i="2" s="1"/>
  <c r="R1334" i="2"/>
  <c r="T1334" i="2" s="1"/>
  <c r="Q1334" i="2"/>
  <c r="O1334" i="2"/>
  <c r="M1334" i="2"/>
  <c r="L1334" i="2"/>
  <c r="N1334" i="2" s="1"/>
  <c r="P1334" i="2" s="1"/>
  <c r="R1333" i="2"/>
  <c r="T1333" i="2" s="1"/>
  <c r="Q1333" i="2"/>
  <c r="O1333" i="2"/>
  <c r="M1333" i="2"/>
  <c r="L1333" i="2"/>
  <c r="N1333" i="2" s="1"/>
  <c r="P1333" i="2" s="1"/>
  <c r="R1332" i="2"/>
  <c r="T1332" i="2" s="1"/>
  <c r="Q1332" i="2"/>
  <c r="O1332" i="2"/>
  <c r="M1332" i="2"/>
  <c r="L1332" i="2"/>
  <c r="N1332" i="2" s="1"/>
  <c r="P1332" i="2" s="1"/>
  <c r="R1331" i="2"/>
  <c r="T1331" i="2" s="1"/>
  <c r="Q1331" i="2"/>
  <c r="O1331" i="2"/>
  <c r="M1331" i="2"/>
  <c r="L1331" i="2"/>
  <c r="N1331" i="2" s="1"/>
  <c r="P1331" i="2" s="1"/>
  <c r="R1330" i="2"/>
  <c r="T1330" i="2" s="1"/>
  <c r="Q1330" i="2"/>
  <c r="O1330" i="2"/>
  <c r="M1330" i="2"/>
  <c r="L1330" i="2"/>
  <c r="N1330" i="2" s="1"/>
  <c r="P1330" i="2" s="1"/>
  <c r="R1329" i="2"/>
  <c r="T1329" i="2" s="1"/>
  <c r="Q1329" i="2"/>
  <c r="O1329" i="2"/>
  <c r="M1329" i="2"/>
  <c r="L1329" i="2"/>
  <c r="N1329" i="2" s="1"/>
  <c r="P1329" i="2" s="1"/>
  <c r="R1328" i="2"/>
  <c r="T1328" i="2" s="1"/>
  <c r="Q1328" i="2"/>
  <c r="O1328" i="2"/>
  <c r="M1328" i="2"/>
  <c r="L1328" i="2"/>
  <c r="N1328" i="2" s="1"/>
  <c r="P1328" i="2" s="1"/>
  <c r="R1327" i="2"/>
  <c r="T1327" i="2" s="1"/>
  <c r="Q1327" i="2"/>
  <c r="O1327" i="2"/>
  <c r="M1327" i="2"/>
  <c r="L1327" i="2"/>
  <c r="N1327" i="2" s="1"/>
  <c r="P1327" i="2" s="1"/>
  <c r="R1326" i="2"/>
  <c r="T1326" i="2" s="1"/>
  <c r="Q1326" i="2"/>
  <c r="O1326" i="2"/>
  <c r="M1326" i="2"/>
  <c r="L1326" i="2"/>
  <c r="N1326" i="2" s="1"/>
  <c r="P1326" i="2" s="1"/>
  <c r="R1325" i="2"/>
  <c r="T1325" i="2" s="1"/>
  <c r="Q1325" i="2"/>
  <c r="O1325" i="2"/>
  <c r="M1325" i="2"/>
  <c r="L1325" i="2"/>
  <c r="N1325" i="2" s="1"/>
  <c r="P1325" i="2" s="1"/>
  <c r="R1324" i="2"/>
  <c r="T1324" i="2" s="1"/>
  <c r="Q1324" i="2"/>
  <c r="O1324" i="2"/>
  <c r="M1324" i="2"/>
  <c r="L1324" i="2"/>
  <c r="N1324" i="2" s="1"/>
  <c r="P1324" i="2" s="1"/>
  <c r="R1323" i="2"/>
  <c r="T1323" i="2" s="1"/>
  <c r="Q1323" i="2"/>
  <c r="O1323" i="2"/>
  <c r="M1323" i="2"/>
  <c r="L1323" i="2"/>
  <c r="N1323" i="2" s="1"/>
  <c r="P1323" i="2" s="1"/>
  <c r="R1322" i="2"/>
  <c r="T1322" i="2" s="1"/>
  <c r="Q1322" i="2"/>
  <c r="O1322" i="2"/>
  <c r="M1322" i="2"/>
  <c r="L1322" i="2"/>
  <c r="N1322" i="2" s="1"/>
  <c r="P1322" i="2" s="1"/>
  <c r="R1321" i="2"/>
  <c r="T1321" i="2" s="1"/>
  <c r="Q1321" i="2"/>
  <c r="O1321" i="2"/>
  <c r="M1321" i="2"/>
  <c r="L1321" i="2"/>
  <c r="N1321" i="2" s="1"/>
  <c r="P1321" i="2" s="1"/>
  <c r="R1320" i="2"/>
  <c r="T1320" i="2" s="1"/>
  <c r="Q1320" i="2"/>
  <c r="O1320" i="2"/>
  <c r="M1320" i="2"/>
  <c r="L1320" i="2"/>
  <c r="N1320" i="2" s="1"/>
  <c r="P1320" i="2" s="1"/>
  <c r="R1319" i="2"/>
  <c r="T1319" i="2" s="1"/>
  <c r="Q1319" i="2"/>
  <c r="O1319" i="2"/>
  <c r="M1319" i="2"/>
  <c r="L1319" i="2"/>
  <c r="N1319" i="2" s="1"/>
  <c r="P1319" i="2" s="1"/>
  <c r="R1318" i="2"/>
  <c r="T1318" i="2" s="1"/>
  <c r="Q1318" i="2"/>
  <c r="O1318" i="2"/>
  <c r="M1318" i="2"/>
  <c r="L1318" i="2"/>
  <c r="N1318" i="2" s="1"/>
  <c r="P1318" i="2" s="1"/>
  <c r="R1317" i="2"/>
  <c r="T1317" i="2" s="1"/>
  <c r="Q1317" i="2"/>
  <c r="O1317" i="2"/>
  <c r="M1317" i="2"/>
  <c r="L1317" i="2"/>
  <c r="N1317" i="2" s="1"/>
  <c r="P1317" i="2" s="1"/>
  <c r="R1316" i="2"/>
  <c r="T1316" i="2" s="1"/>
  <c r="Q1316" i="2"/>
  <c r="O1316" i="2"/>
  <c r="M1316" i="2"/>
  <c r="L1316" i="2"/>
  <c r="N1316" i="2" s="1"/>
  <c r="P1316" i="2" s="1"/>
  <c r="R1315" i="2"/>
  <c r="T1315" i="2" s="1"/>
  <c r="Q1315" i="2"/>
  <c r="O1315" i="2"/>
  <c r="M1315" i="2"/>
  <c r="L1315" i="2"/>
  <c r="N1315" i="2" s="1"/>
  <c r="P1315" i="2" s="1"/>
  <c r="R1314" i="2"/>
  <c r="T1314" i="2" s="1"/>
  <c r="Q1314" i="2"/>
  <c r="O1314" i="2"/>
  <c r="M1314" i="2"/>
  <c r="L1314" i="2"/>
  <c r="N1314" i="2" s="1"/>
  <c r="P1314" i="2" s="1"/>
  <c r="R1313" i="2"/>
  <c r="T1313" i="2" s="1"/>
  <c r="Q1313" i="2"/>
  <c r="O1313" i="2"/>
  <c r="M1313" i="2"/>
  <c r="L1313" i="2"/>
  <c r="N1313" i="2" s="1"/>
  <c r="P1313" i="2" s="1"/>
  <c r="R1312" i="2"/>
  <c r="T1312" i="2" s="1"/>
  <c r="Q1312" i="2"/>
  <c r="O1312" i="2"/>
  <c r="M1312" i="2"/>
  <c r="L1312" i="2"/>
  <c r="N1312" i="2" s="1"/>
  <c r="P1312" i="2" s="1"/>
  <c r="R1311" i="2"/>
  <c r="T1311" i="2" s="1"/>
  <c r="Q1311" i="2"/>
  <c r="O1311" i="2"/>
  <c r="M1311" i="2"/>
  <c r="L1311" i="2"/>
  <c r="N1311" i="2" s="1"/>
  <c r="P1311" i="2" s="1"/>
  <c r="R1310" i="2"/>
  <c r="T1310" i="2" s="1"/>
  <c r="Q1310" i="2"/>
  <c r="O1310" i="2"/>
  <c r="M1310" i="2"/>
  <c r="L1310" i="2"/>
  <c r="N1310" i="2" s="1"/>
  <c r="P1310" i="2" s="1"/>
  <c r="R1309" i="2"/>
  <c r="T1309" i="2" s="1"/>
  <c r="Q1309" i="2"/>
  <c r="O1309" i="2"/>
  <c r="M1309" i="2"/>
  <c r="L1309" i="2"/>
  <c r="N1309" i="2" s="1"/>
  <c r="P1309" i="2" s="1"/>
  <c r="R1308" i="2"/>
  <c r="T1308" i="2" s="1"/>
  <c r="Q1308" i="2"/>
  <c r="O1308" i="2"/>
  <c r="M1308" i="2"/>
  <c r="L1308" i="2"/>
  <c r="N1308" i="2" s="1"/>
  <c r="P1308" i="2" s="1"/>
  <c r="R1307" i="2"/>
  <c r="T1307" i="2" s="1"/>
  <c r="Q1307" i="2"/>
  <c r="O1307" i="2"/>
  <c r="M1307" i="2"/>
  <c r="L1307" i="2"/>
  <c r="N1307" i="2" s="1"/>
  <c r="P1307" i="2" s="1"/>
  <c r="R1306" i="2"/>
  <c r="T1306" i="2" s="1"/>
  <c r="Q1306" i="2"/>
  <c r="O1306" i="2"/>
  <c r="M1306" i="2"/>
  <c r="L1306" i="2"/>
  <c r="N1306" i="2" s="1"/>
  <c r="P1306" i="2" s="1"/>
  <c r="R1305" i="2"/>
  <c r="T1305" i="2" s="1"/>
  <c r="Q1305" i="2"/>
  <c r="O1305" i="2"/>
  <c r="M1305" i="2"/>
  <c r="L1305" i="2"/>
  <c r="N1305" i="2" s="1"/>
  <c r="P1305" i="2" s="1"/>
  <c r="R1304" i="2"/>
  <c r="T1304" i="2" s="1"/>
  <c r="Q1304" i="2"/>
  <c r="O1304" i="2"/>
  <c r="M1304" i="2"/>
  <c r="L1304" i="2"/>
  <c r="N1304" i="2" s="1"/>
  <c r="P1304" i="2" s="1"/>
  <c r="R1303" i="2"/>
  <c r="T1303" i="2" s="1"/>
  <c r="Q1303" i="2"/>
  <c r="O1303" i="2"/>
  <c r="M1303" i="2"/>
  <c r="L1303" i="2"/>
  <c r="N1303" i="2" s="1"/>
  <c r="P1303" i="2" s="1"/>
  <c r="R1302" i="2"/>
  <c r="T1302" i="2" s="1"/>
  <c r="Q1302" i="2"/>
  <c r="O1302" i="2"/>
  <c r="M1302" i="2"/>
  <c r="L1302" i="2"/>
  <c r="N1302" i="2" s="1"/>
  <c r="P1302" i="2" s="1"/>
  <c r="R1301" i="2"/>
  <c r="T1301" i="2" s="1"/>
  <c r="Q1301" i="2"/>
  <c r="O1301" i="2"/>
  <c r="M1301" i="2"/>
  <c r="L1301" i="2"/>
  <c r="N1301" i="2" s="1"/>
  <c r="P1301" i="2" s="1"/>
  <c r="R1300" i="2"/>
  <c r="T1300" i="2" s="1"/>
  <c r="Q1300" i="2"/>
  <c r="O1300" i="2"/>
  <c r="M1300" i="2"/>
  <c r="L1300" i="2"/>
  <c r="N1300" i="2" s="1"/>
  <c r="P1300" i="2" s="1"/>
  <c r="R1299" i="2"/>
  <c r="T1299" i="2" s="1"/>
  <c r="Q1299" i="2"/>
  <c r="O1299" i="2"/>
  <c r="M1299" i="2"/>
  <c r="L1299" i="2"/>
  <c r="N1299" i="2" s="1"/>
  <c r="P1299" i="2" s="1"/>
  <c r="R1298" i="2"/>
  <c r="T1298" i="2" s="1"/>
  <c r="Q1298" i="2"/>
  <c r="O1298" i="2"/>
  <c r="M1298" i="2"/>
  <c r="L1298" i="2"/>
  <c r="N1298" i="2" s="1"/>
  <c r="P1298" i="2" s="1"/>
  <c r="R1297" i="2"/>
  <c r="T1297" i="2" s="1"/>
  <c r="Q1297" i="2"/>
  <c r="O1297" i="2"/>
  <c r="M1297" i="2"/>
  <c r="L1297" i="2"/>
  <c r="N1297" i="2" s="1"/>
  <c r="P1297" i="2" s="1"/>
  <c r="R1296" i="2"/>
  <c r="T1296" i="2" s="1"/>
  <c r="Q1296" i="2"/>
  <c r="O1296" i="2"/>
  <c r="M1296" i="2"/>
  <c r="L1296" i="2"/>
  <c r="N1296" i="2" s="1"/>
  <c r="P1296" i="2" s="1"/>
  <c r="R1295" i="2"/>
  <c r="T1295" i="2" s="1"/>
  <c r="Q1295" i="2"/>
  <c r="O1295" i="2"/>
  <c r="M1295" i="2"/>
  <c r="L1295" i="2"/>
  <c r="N1295" i="2" s="1"/>
  <c r="P1295" i="2" s="1"/>
  <c r="R1294" i="2"/>
  <c r="T1294" i="2" s="1"/>
  <c r="Q1294" i="2"/>
  <c r="O1294" i="2"/>
  <c r="M1294" i="2"/>
  <c r="L1294" i="2"/>
  <c r="N1294" i="2" s="1"/>
  <c r="P1294" i="2" s="1"/>
  <c r="R1293" i="2"/>
  <c r="T1293" i="2" s="1"/>
  <c r="Q1293" i="2"/>
  <c r="O1293" i="2"/>
  <c r="M1293" i="2"/>
  <c r="L1293" i="2"/>
  <c r="N1293" i="2" s="1"/>
  <c r="P1293" i="2" s="1"/>
  <c r="R1292" i="2"/>
  <c r="T1292" i="2" s="1"/>
  <c r="Q1292" i="2"/>
  <c r="O1292" i="2"/>
  <c r="M1292" i="2"/>
  <c r="L1292" i="2"/>
  <c r="N1292" i="2" s="1"/>
  <c r="P1292" i="2" s="1"/>
  <c r="R1291" i="2"/>
  <c r="T1291" i="2" s="1"/>
  <c r="Q1291" i="2"/>
  <c r="O1291" i="2"/>
  <c r="M1291" i="2"/>
  <c r="L1291" i="2"/>
  <c r="N1291" i="2" s="1"/>
  <c r="P1291" i="2" s="1"/>
  <c r="R1290" i="2"/>
  <c r="T1290" i="2" s="1"/>
  <c r="Q1290" i="2"/>
  <c r="O1290" i="2"/>
  <c r="M1290" i="2"/>
  <c r="L1290" i="2"/>
  <c r="N1290" i="2" s="1"/>
  <c r="P1290" i="2" s="1"/>
  <c r="R1289" i="2"/>
  <c r="T1289" i="2" s="1"/>
  <c r="Q1289" i="2"/>
  <c r="O1289" i="2"/>
  <c r="M1289" i="2"/>
  <c r="L1289" i="2"/>
  <c r="N1289" i="2" s="1"/>
  <c r="P1289" i="2" s="1"/>
  <c r="R1288" i="2"/>
  <c r="T1288" i="2" s="1"/>
  <c r="Q1288" i="2"/>
  <c r="O1288" i="2"/>
  <c r="M1288" i="2"/>
  <c r="L1288" i="2"/>
  <c r="N1288" i="2" s="1"/>
  <c r="P1288" i="2" s="1"/>
  <c r="R1287" i="2"/>
  <c r="T1287" i="2" s="1"/>
  <c r="Q1287" i="2"/>
  <c r="O1287" i="2"/>
  <c r="M1287" i="2"/>
  <c r="L1287" i="2"/>
  <c r="N1287" i="2" s="1"/>
  <c r="P1287" i="2" s="1"/>
  <c r="R1286" i="2"/>
  <c r="T1286" i="2" s="1"/>
  <c r="Q1286" i="2"/>
  <c r="O1286" i="2"/>
  <c r="M1286" i="2"/>
  <c r="L1286" i="2"/>
  <c r="N1286" i="2" s="1"/>
  <c r="P1286" i="2" s="1"/>
  <c r="R1285" i="2"/>
  <c r="T1285" i="2" s="1"/>
  <c r="Q1285" i="2"/>
  <c r="O1285" i="2"/>
  <c r="M1285" i="2"/>
  <c r="L1285" i="2"/>
  <c r="N1285" i="2" s="1"/>
  <c r="P1285" i="2" s="1"/>
  <c r="R1284" i="2"/>
  <c r="T1284" i="2" s="1"/>
  <c r="Q1284" i="2"/>
  <c r="O1284" i="2"/>
  <c r="M1284" i="2"/>
  <c r="L1284" i="2"/>
  <c r="N1284" i="2" s="1"/>
  <c r="P1284" i="2" s="1"/>
  <c r="R1283" i="2"/>
  <c r="T1283" i="2" s="1"/>
  <c r="Q1283" i="2"/>
  <c r="O1283" i="2"/>
  <c r="M1283" i="2"/>
  <c r="L1283" i="2"/>
  <c r="N1283" i="2" s="1"/>
  <c r="P1283" i="2" s="1"/>
  <c r="R1282" i="2"/>
  <c r="T1282" i="2" s="1"/>
  <c r="Q1282" i="2"/>
  <c r="O1282" i="2"/>
  <c r="M1282" i="2"/>
  <c r="L1282" i="2"/>
  <c r="N1282" i="2" s="1"/>
  <c r="P1282" i="2" s="1"/>
  <c r="R1281" i="2"/>
  <c r="T1281" i="2" s="1"/>
  <c r="Q1281" i="2"/>
  <c r="O1281" i="2"/>
  <c r="M1281" i="2"/>
  <c r="L1281" i="2"/>
  <c r="N1281" i="2" s="1"/>
  <c r="P1281" i="2" s="1"/>
  <c r="R1280" i="2"/>
  <c r="T1280" i="2" s="1"/>
  <c r="Q1280" i="2"/>
  <c r="O1280" i="2"/>
  <c r="M1280" i="2"/>
  <c r="L1280" i="2"/>
  <c r="N1280" i="2" s="1"/>
  <c r="P1280" i="2" s="1"/>
  <c r="R1279" i="2"/>
  <c r="T1279" i="2" s="1"/>
  <c r="Q1279" i="2"/>
  <c r="O1279" i="2"/>
  <c r="M1279" i="2"/>
  <c r="L1279" i="2"/>
  <c r="N1279" i="2" s="1"/>
  <c r="P1279" i="2" s="1"/>
  <c r="R1278" i="2"/>
  <c r="T1278" i="2" s="1"/>
  <c r="Q1278" i="2"/>
  <c r="O1278" i="2"/>
  <c r="M1278" i="2"/>
  <c r="L1278" i="2"/>
  <c r="N1278" i="2" s="1"/>
  <c r="P1278" i="2" s="1"/>
  <c r="R1277" i="2"/>
  <c r="T1277" i="2" s="1"/>
  <c r="Q1277" i="2"/>
  <c r="O1277" i="2"/>
  <c r="M1277" i="2"/>
  <c r="L1277" i="2"/>
  <c r="N1277" i="2" s="1"/>
  <c r="P1277" i="2" s="1"/>
  <c r="R1276" i="2"/>
  <c r="T1276" i="2" s="1"/>
  <c r="Q1276" i="2"/>
  <c r="O1276" i="2"/>
  <c r="M1276" i="2"/>
  <c r="L1276" i="2"/>
  <c r="N1276" i="2" s="1"/>
  <c r="P1276" i="2" s="1"/>
  <c r="R1275" i="2"/>
  <c r="T1275" i="2" s="1"/>
  <c r="Q1275" i="2"/>
  <c r="O1275" i="2"/>
  <c r="M1275" i="2"/>
  <c r="L1275" i="2"/>
  <c r="N1275" i="2" s="1"/>
  <c r="P1275" i="2" s="1"/>
  <c r="R1274" i="2"/>
  <c r="T1274" i="2" s="1"/>
  <c r="Q1274" i="2"/>
  <c r="O1274" i="2"/>
  <c r="M1274" i="2"/>
  <c r="L1274" i="2"/>
  <c r="N1274" i="2" s="1"/>
  <c r="P1274" i="2" s="1"/>
  <c r="R1273" i="2"/>
  <c r="T1273" i="2" s="1"/>
  <c r="Q1273" i="2"/>
  <c r="O1273" i="2"/>
  <c r="M1273" i="2"/>
  <c r="L1273" i="2"/>
  <c r="N1273" i="2" s="1"/>
  <c r="P1273" i="2" s="1"/>
  <c r="R1272" i="2"/>
  <c r="Q1272" i="2"/>
  <c r="O1272" i="2"/>
  <c r="M1272" i="2"/>
  <c r="L1272" i="2"/>
  <c r="N1272" i="2" s="1"/>
  <c r="P1272" i="2" s="1"/>
  <c r="R1271" i="2"/>
  <c r="Q1271" i="2"/>
  <c r="O1271" i="2"/>
  <c r="M1271" i="2"/>
  <c r="L1271" i="2"/>
  <c r="N1271" i="2" s="1"/>
  <c r="P1271" i="2" s="1"/>
  <c r="R1270" i="2"/>
  <c r="Q1270" i="2"/>
  <c r="O1270" i="2"/>
  <c r="M1270" i="2"/>
  <c r="L1270" i="2"/>
  <c r="N1270" i="2" s="1"/>
  <c r="P1270" i="2" s="1"/>
  <c r="R1269" i="2"/>
  <c r="T1269" i="2" s="1"/>
  <c r="Q1269" i="2"/>
  <c r="O1269" i="2"/>
  <c r="M1269" i="2"/>
  <c r="L1269" i="2"/>
  <c r="N1269" i="2" s="1"/>
  <c r="P1269" i="2" s="1"/>
  <c r="R1268" i="2"/>
  <c r="S1268" i="2" s="1"/>
  <c r="Q1268" i="2"/>
  <c r="O1268" i="2"/>
  <c r="M1268" i="2"/>
  <c r="L1268" i="2"/>
  <c r="N1268" i="2" s="1"/>
  <c r="P1268" i="2" s="1"/>
  <c r="R1267" i="2"/>
  <c r="S1267" i="2" s="1"/>
  <c r="Q1267" i="2"/>
  <c r="O1267" i="2"/>
  <c r="M1267" i="2"/>
  <c r="L1267" i="2"/>
  <c r="N1267" i="2" s="1"/>
  <c r="P1267" i="2" s="1"/>
  <c r="R1266" i="2"/>
  <c r="T1266" i="2" s="1"/>
  <c r="Q1266" i="2"/>
  <c r="O1266" i="2"/>
  <c r="M1266" i="2"/>
  <c r="L1266" i="2"/>
  <c r="N1266" i="2" s="1"/>
  <c r="P1266" i="2" s="1"/>
  <c r="R1265" i="2"/>
  <c r="Q1265" i="2"/>
  <c r="O1265" i="2"/>
  <c r="M1265" i="2"/>
  <c r="L1265" i="2"/>
  <c r="N1265" i="2" s="1"/>
  <c r="P1265" i="2" s="1"/>
  <c r="R1264" i="2"/>
  <c r="S1264" i="2" s="1"/>
  <c r="Q1264" i="2"/>
  <c r="O1264" i="2"/>
  <c r="M1264" i="2"/>
  <c r="L1264" i="2"/>
  <c r="N1264" i="2" s="1"/>
  <c r="P1264" i="2" s="1"/>
  <c r="R1263" i="2"/>
  <c r="S1263" i="2" s="1"/>
  <c r="Q1263" i="2"/>
  <c r="O1263" i="2"/>
  <c r="M1263" i="2"/>
  <c r="L1263" i="2"/>
  <c r="N1263" i="2" s="1"/>
  <c r="P1263" i="2" s="1"/>
  <c r="R1262" i="2"/>
  <c r="S1262" i="2" s="1"/>
  <c r="Q1262" i="2"/>
  <c r="O1262" i="2"/>
  <c r="M1262" i="2"/>
  <c r="L1262" i="2"/>
  <c r="N1262" i="2" s="1"/>
  <c r="P1262" i="2" s="1"/>
  <c r="R1261" i="2"/>
  <c r="S1261" i="2" s="1"/>
  <c r="Q1261" i="2"/>
  <c r="O1261" i="2"/>
  <c r="M1261" i="2"/>
  <c r="L1261" i="2"/>
  <c r="N1261" i="2" s="1"/>
  <c r="P1261" i="2" s="1"/>
  <c r="R1260" i="2"/>
  <c r="S1260" i="2" s="1"/>
  <c r="Q1260" i="2"/>
  <c r="O1260" i="2"/>
  <c r="M1260" i="2"/>
  <c r="L1260" i="2"/>
  <c r="N1260" i="2" s="1"/>
  <c r="P1260" i="2" s="1"/>
  <c r="R1259" i="2"/>
  <c r="S1259" i="2" s="1"/>
  <c r="Q1259" i="2"/>
  <c r="O1259" i="2"/>
  <c r="M1259" i="2"/>
  <c r="L1259" i="2"/>
  <c r="N1259" i="2" s="1"/>
  <c r="P1259" i="2" s="1"/>
  <c r="R1258" i="2"/>
  <c r="S1258" i="2" s="1"/>
  <c r="Q1258" i="2"/>
  <c r="O1258" i="2"/>
  <c r="M1258" i="2"/>
  <c r="L1258" i="2"/>
  <c r="N1258" i="2" s="1"/>
  <c r="P1258" i="2" s="1"/>
  <c r="R1257" i="2"/>
  <c r="Q1257" i="2"/>
  <c r="O1257" i="2"/>
  <c r="M1257" i="2"/>
  <c r="L1257" i="2"/>
  <c r="N1257" i="2" s="1"/>
  <c r="P1257" i="2" s="1"/>
  <c r="R1256" i="2"/>
  <c r="S1256" i="2" s="1"/>
  <c r="Q1256" i="2"/>
  <c r="O1256" i="2"/>
  <c r="M1256" i="2"/>
  <c r="L1256" i="2"/>
  <c r="N1256" i="2" s="1"/>
  <c r="P1256" i="2" s="1"/>
  <c r="R1255" i="2"/>
  <c r="S1255" i="2" s="1"/>
  <c r="Q1255" i="2"/>
  <c r="O1255" i="2"/>
  <c r="M1255" i="2"/>
  <c r="L1255" i="2"/>
  <c r="N1255" i="2" s="1"/>
  <c r="P1255" i="2" s="1"/>
  <c r="R1254" i="2"/>
  <c r="Q1254" i="2"/>
  <c r="O1254" i="2"/>
  <c r="M1254" i="2"/>
  <c r="L1254" i="2"/>
  <c r="N1254" i="2" s="1"/>
  <c r="P1254" i="2" s="1"/>
  <c r="R1253" i="2"/>
  <c r="T1253" i="2" s="1"/>
  <c r="Q1253" i="2"/>
  <c r="O1253" i="2"/>
  <c r="M1253" i="2"/>
  <c r="L1253" i="2"/>
  <c r="N1253" i="2" s="1"/>
  <c r="P1253" i="2" s="1"/>
  <c r="R1252" i="2"/>
  <c r="Q1252" i="2"/>
  <c r="O1252" i="2"/>
  <c r="M1252" i="2"/>
  <c r="L1252" i="2"/>
  <c r="N1252" i="2" s="1"/>
  <c r="P1252" i="2" s="1"/>
  <c r="R1251" i="2"/>
  <c r="Q1251" i="2"/>
  <c r="O1251" i="2"/>
  <c r="M1251" i="2"/>
  <c r="L1251" i="2"/>
  <c r="N1251" i="2" s="1"/>
  <c r="P1251" i="2" s="1"/>
  <c r="R1250" i="2"/>
  <c r="T1250" i="2" s="1"/>
  <c r="Q1250" i="2"/>
  <c r="O1250" i="2"/>
  <c r="M1250" i="2"/>
  <c r="L1250" i="2"/>
  <c r="N1250" i="2" s="1"/>
  <c r="P1250" i="2" s="1"/>
  <c r="R1249" i="2"/>
  <c r="S1249" i="2" s="1"/>
  <c r="Q1249" i="2"/>
  <c r="O1249" i="2"/>
  <c r="M1249" i="2"/>
  <c r="L1249" i="2"/>
  <c r="N1249" i="2" s="1"/>
  <c r="P1249" i="2" s="1"/>
  <c r="R1248" i="2"/>
  <c r="S1248" i="2" s="1"/>
  <c r="Q1248" i="2"/>
  <c r="O1248" i="2"/>
  <c r="M1248" i="2"/>
  <c r="L1248" i="2"/>
  <c r="N1248" i="2" s="1"/>
  <c r="P1248" i="2" s="1"/>
  <c r="R1247" i="2"/>
  <c r="S1247" i="2" s="1"/>
  <c r="Q1247" i="2"/>
  <c r="O1247" i="2"/>
  <c r="M1247" i="2"/>
  <c r="L1247" i="2"/>
  <c r="N1247" i="2" s="1"/>
  <c r="P1247" i="2" s="1"/>
  <c r="R1246" i="2"/>
  <c r="Q1246" i="2"/>
  <c r="O1246" i="2"/>
  <c r="M1246" i="2"/>
  <c r="L1246" i="2"/>
  <c r="N1246" i="2" s="1"/>
  <c r="P1246" i="2" s="1"/>
  <c r="R1245" i="2"/>
  <c r="S1245" i="2" s="1"/>
  <c r="Q1245" i="2"/>
  <c r="O1245" i="2"/>
  <c r="M1245" i="2"/>
  <c r="L1245" i="2"/>
  <c r="N1245" i="2" s="1"/>
  <c r="P1245" i="2" s="1"/>
  <c r="R1244" i="2"/>
  <c r="Q1244" i="2"/>
  <c r="O1244" i="2"/>
  <c r="M1244" i="2"/>
  <c r="L1244" i="2"/>
  <c r="N1244" i="2" s="1"/>
  <c r="P1244" i="2" s="1"/>
  <c r="R1243" i="2"/>
  <c r="T1243" i="2" s="1"/>
  <c r="Q1243" i="2"/>
  <c r="O1243" i="2"/>
  <c r="M1243" i="2"/>
  <c r="L1243" i="2"/>
  <c r="N1243" i="2" s="1"/>
  <c r="P1243" i="2" s="1"/>
  <c r="R1242" i="2"/>
  <c r="S1242" i="2" s="1"/>
  <c r="Q1242" i="2"/>
  <c r="O1242" i="2"/>
  <c r="M1242" i="2"/>
  <c r="L1242" i="2"/>
  <c r="N1242" i="2" s="1"/>
  <c r="P1242" i="2" s="1"/>
  <c r="R1241" i="2"/>
  <c r="S1241" i="2" s="1"/>
  <c r="Q1241" i="2"/>
  <c r="O1241" i="2"/>
  <c r="M1241" i="2"/>
  <c r="L1241" i="2"/>
  <c r="N1241" i="2" s="1"/>
  <c r="P1241" i="2" s="1"/>
  <c r="R1240" i="2"/>
  <c r="Q1240" i="2"/>
  <c r="O1240" i="2"/>
  <c r="M1240" i="2"/>
  <c r="L1240" i="2"/>
  <c r="N1240" i="2" s="1"/>
  <c r="P1240" i="2" s="1"/>
  <c r="R1239" i="2"/>
  <c r="Q1239" i="2"/>
  <c r="O1239" i="2"/>
  <c r="M1239" i="2"/>
  <c r="L1239" i="2"/>
  <c r="N1239" i="2" s="1"/>
  <c r="P1239" i="2" s="1"/>
  <c r="R1238" i="2"/>
  <c r="S1238" i="2" s="1"/>
  <c r="Q1238" i="2"/>
  <c r="O1238" i="2"/>
  <c r="M1238" i="2"/>
  <c r="L1238" i="2"/>
  <c r="N1238" i="2" s="1"/>
  <c r="P1238" i="2" s="1"/>
  <c r="R1237" i="2"/>
  <c r="Q1237" i="2"/>
  <c r="O1237" i="2"/>
  <c r="M1237" i="2"/>
  <c r="L1237" i="2"/>
  <c r="N1237" i="2" s="1"/>
  <c r="P1237" i="2" s="1"/>
  <c r="R1236" i="2"/>
  <c r="S1236" i="2" s="1"/>
  <c r="Q1236" i="2"/>
  <c r="O1236" i="2"/>
  <c r="M1236" i="2"/>
  <c r="L1236" i="2"/>
  <c r="N1236" i="2" s="1"/>
  <c r="P1236" i="2" s="1"/>
  <c r="R1235" i="2"/>
  <c r="Q1235" i="2"/>
  <c r="O1235" i="2"/>
  <c r="M1235" i="2"/>
  <c r="L1235" i="2"/>
  <c r="N1235" i="2" s="1"/>
  <c r="P1235" i="2" s="1"/>
  <c r="R1234" i="2"/>
  <c r="T1234" i="2" s="1"/>
  <c r="Q1234" i="2"/>
  <c r="O1234" i="2"/>
  <c r="M1234" i="2"/>
  <c r="L1234" i="2"/>
  <c r="N1234" i="2" s="1"/>
  <c r="P1234" i="2" s="1"/>
  <c r="R1233" i="2"/>
  <c r="S1233" i="2" s="1"/>
  <c r="Q1233" i="2"/>
  <c r="O1233" i="2"/>
  <c r="M1233" i="2"/>
  <c r="L1233" i="2"/>
  <c r="N1233" i="2" s="1"/>
  <c r="P1233" i="2" s="1"/>
  <c r="R1232" i="2"/>
  <c r="Q1232" i="2"/>
  <c r="O1232" i="2"/>
  <c r="M1232" i="2"/>
  <c r="L1232" i="2"/>
  <c r="N1232" i="2" s="1"/>
  <c r="P1232" i="2" s="1"/>
  <c r="R1231" i="2"/>
  <c r="Q1231" i="2"/>
  <c r="O1231" i="2"/>
  <c r="M1231" i="2"/>
  <c r="L1231" i="2"/>
  <c r="N1231" i="2" s="1"/>
  <c r="P1231" i="2" s="1"/>
  <c r="R1230" i="2"/>
  <c r="Q1230" i="2"/>
  <c r="O1230" i="2"/>
  <c r="M1230" i="2"/>
  <c r="L1230" i="2"/>
  <c r="N1230" i="2" s="1"/>
  <c r="P1230" i="2" s="1"/>
  <c r="R1229" i="2"/>
  <c r="S1229" i="2" s="1"/>
  <c r="Q1229" i="2"/>
  <c r="O1229" i="2"/>
  <c r="M1229" i="2"/>
  <c r="L1229" i="2"/>
  <c r="N1229" i="2" s="1"/>
  <c r="P1229" i="2" s="1"/>
  <c r="R1228" i="2"/>
  <c r="Q1228" i="2"/>
  <c r="O1228" i="2"/>
  <c r="M1228" i="2"/>
  <c r="L1228" i="2"/>
  <c r="N1228" i="2" s="1"/>
  <c r="P1228" i="2" s="1"/>
  <c r="R1227" i="2"/>
  <c r="S1227" i="2" s="1"/>
  <c r="Q1227" i="2"/>
  <c r="O1227" i="2"/>
  <c r="M1227" i="2"/>
  <c r="L1227" i="2"/>
  <c r="N1227" i="2" s="1"/>
  <c r="P1227" i="2" s="1"/>
  <c r="R1226" i="2"/>
  <c r="T1226" i="2" s="1"/>
  <c r="Q1226" i="2"/>
  <c r="O1226" i="2"/>
  <c r="M1226" i="2"/>
  <c r="L1226" i="2"/>
  <c r="N1226" i="2" s="1"/>
  <c r="P1226" i="2" s="1"/>
  <c r="R1225" i="2"/>
  <c r="Q1225" i="2"/>
  <c r="O1225" i="2"/>
  <c r="M1225" i="2"/>
  <c r="L1225" i="2"/>
  <c r="N1225" i="2" s="1"/>
  <c r="P1225" i="2" s="1"/>
  <c r="R1224" i="2"/>
  <c r="Q1224" i="2"/>
  <c r="O1224" i="2"/>
  <c r="M1224" i="2"/>
  <c r="L1224" i="2"/>
  <c r="N1224" i="2" s="1"/>
  <c r="P1224" i="2" s="1"/>
  <c r="R1223" i="2"/>
  <c r="S1223" i="2" s="1"/>
  <c r="Q1223" i="2"/>
  <c r="O1223" i="2"/>
  <c r="M1223" i="2"/>
  <c r="L1223" i="2"/>
  <c r="N1223" i="2" s="1"/>
  <c r="P1223" i="2" s="1"/>
  <c r="R1222" i="2"/>
  <c r="S1222" i="2" s="1"/>
  <c r="Q1222" i="2"/>
  <c r="O1222" i="2"/>
  <c r="M1222" i="2"/>
  <c r="L1222" i="2"/>
  <c r="N1222" i="2" s="1"/>
  <c r="P1222" i="2" s="1"/>
  <c r="R1221" i="2"/>
  <c r="S1221" i="2" s="1"/>
  <c r="Q1221" i="2"/>
  <c r="O1221" i="2"/>
  <c r="M1221" i="2"/>
  <c r="L1221" i="2"/>
  <c r="N1221" i="2" s="1"/>
  <c r="P1221" i="2" s="1"/>
  <c r="R1220" i="2"/>
  <c r="S1220" i="2" s="1"/>
  <c r="Q1220" i="2"/>
  <c r="O1220" i="2"/>
  <c r="M1220" i="2"/>
  <c r="L1220" i="2"/>
  <c r="N1220" i="2" s="1"/>
  <c r="P1220" i="2" s="1"/>
  <c r="R1219" i="2"/>
  <c r="S1219" i="2" s="1"/>
  <c r="Q1219" i="2"/>
  <c r="O1219" i="2"/>
  <c r="M1219" i="2"/>
  <c r="L1219" i="2"/>
  <c r="N1219" i="2" s="1"/>
  <c r="P1219" i="2" s="1"/>
  <c r="R1218" i="2"/>
  <c r="S1218" i="2" s="1"/>
  <c r="Q1218" i="2"/>
  <c r="O1218" i="2"/>
  <c r="M1218" i="2"/>
  <c r="L1218" i="2"/>
  <c r="N1218" i="2" s="1"/>
  <c r="P1218" i="2" s="1"/>
  <c r="R1217" i="2"/>
  <c r="Q1217" i="2"/>
  <c r="O1217" i="2"/>
  <c r="M1217" i="2"/>
  <c r="L1217" i="2"/>
  <c r="N1217" i="2" s="1"/>
  <c r="P1217" i="2" s="1"/>
  <c r="R1216" i="2"/>
  <c r="Q1216" i="2"/>
  <c r="O1216" i="2"/>
  <c r="M1216" i="2"/>
  <c r="L1216" i="2"/>
  <c r="N1216" i="2" s="1"/>
  <c r="P1216" i="2" s="1"/>
  <c r="R1215" i="2"/>
  <c r="S1215" i="2" s="1"/>
  <c r="Q1215" i="2"/>
  <c r="O1215" i="2"/>
  <c r="M1215" i="2"/>
  <c r="L1215" i="2"/>
  <c r="N1215" i="2" s="1"/>
  <c r="P1215" i="2" s="1"/>
  <c r="R1214" i="2"/>
  <c r="Q1214" i="2"/>
  <c r="O1214" i="2"/>
  <c r="M1214" i="2"/>
  <c r="L1214" i="2"/>
  <c r="N1214" i="2" s="1"/>
  <c r="P1214" i="2" s="1"/>
  <c r="R1213" i="2"/>
  <c r="S1213" i="2" s="1"/>
  <c r="Q1213" i="2"/>
  <c r="O1213" i="2"/>
  <c r="M1213" i="2"/>
  <c r="L1213" i="2"/>
  <c r="N1213" i="2" s="1"/>
  <c r="P1213" i="2" s="1"/>
  <c r="R1212" i="2"/>
  <c r="Q1212" i="2"/>
  <c r="O1212" i="2"/>
  <c r="M1212" i="2"/>
  <c r="L1212" i="2"/>
  <c r="N1212" i="2" s="1"/>
  <c r="P1212" i="2" s="1"/>
  <c r="R1211" i="2"/>
  <c r="T1211" i="2" s="1"/>
  <c r="Q1211" i="2"/>
  <c r="O1211" i="2"/>
  <c r="M1211" i="2"/>
  <c r="L1211" i="2"/>
  <c r="N1211" i="2" s="1"/>
  <c r="P1211" i="2" s="1"/>
  <c r="R1210" i="2"/>
  <c r="S1210" i="2" s="1"/>
  <c r="Q1210" i="2"/>
  <c r="O1210" i="2"/>
  <c r="M1210" i="2"/>
  <c r="L1210" i="2"/>
  <c r="N1210" i="2" s="1"/>
  <c r="P1210" i="2" s="1"/>
  <c r="R1209" i="2"/>
  <c r="Q1209" i="2"/>
  <c r="O1209" i="2"/>
  <c r="M1209" i="2"/>
  <c r="L1209" i="2"/>
  <c r="N1209" i="2" s="1"/>
  <c r="P1209" i="2" s="1"/>
  <c r="R1208" i="2"/>
  <c r="Q1208" i="2"/>
  <c r="O1208" i="2"/>
  <c r="M1208" i="2"/>
  <c r="L1208" i="2"/>
  <c r="N1208" i="2" s="1"/>
  <c r="P1208" i="2" s="1"/>
  <c r="R1207" i="2"/>
  <c r="S1207" i="2" s="1"/>
  <c r="Q1207" i="2"/>
  <c r="O1207" i="2"/>
  <c r="M1207" i="2"/>
  <c r="L1207" i="2"/>
  <c r="N1207" i="2" s="1"/>
  <c r="P1207" i="2" s="1"/>
  <c r="R1206" i="2"/>
  <c r="S1206" i="2" s="1"/>
  <c r="Q1206" i="2"/>
  <c r="O1206" i="2"/>
  <c r="M1206" i="2"/>
  <c r="L1206" i="2"/>
  <c r="N1206" i="2" s="1"/>
  <c r="P1206" i="2" s="1"/>
  <c r="R1205" i="2"/>
  <c r="Q1205" i="2"/>
  <c r="O1205" i="2"/>
  <c r="M1205" i="2"/>
  <c r="L1205" i="2"/>
  <c r="N1205" i="2" s="1"/>
  <c r="P1205" i="2" s="1"/>
  <c r="R1204" i="2"/>
  <c r="Q1204" i="2"/>
  <c r="O1204" i="2"/>
  <c r="M1204" i="2"/>
  <c r="L1204" i="2"/>
  <c r="N1204" i="2" s="1"/>
  <c r="P1204" i="2" s="1"/>
  <c r="R1203" i="2"/>
  <c r="S1203" i="2" s="1"/>
  <c r="Q1203" i="2"/>
  <c r="O1203" i="2"/>
  <c r="M1203" i="2"/>
  <c r="L1203" i="2"/>
  <c r="N1203" i="2" s="1"/>
  <c r="P1203" i="2" s="1"/>
  <c r="R1202" i="2"/>
  <c r="S1202" i="2" s="1"/>
  <c r="Q1202" i="2"/>
  <c r="O1202" i="2"/>
  <c r="M1202" i="2"/>
  <c r="L1202" i="2"/>
  <c r="N1202" i="2" s="1"/>
  <c r="P1202" i="2" s="1"/>
  <c r="R1201" i="2"/>
  <c r="Q1201" i="2"/>
  <c r="O1201" i="2"/>
  <c r="M1201" i="2"/>
  <c r="L1201" i="2"/>
  <c r="N1201" i="2" s="1"/>
  <c r="P1201" i="2" s="1"/>
  <c r="R1200" i="2"/>
  <c r="Q1200" i="2"/>
  <c r="O1200" i="2"/>
  <c r="M1200" i="2"/>
  <c r="L1200" i="2"/>
  <c r="N1200" i="2" s="1"/>
  <c r="P1200" i="2" s="1"/>
  <c r="R1199" i="2"/>
  <c r="S1199" i="2" s="1"/>
  <c r="Q1199" i="2"/>
  <c r="O1199" i="2"/>
  <c r="M1199" i="2"/>
  <c r="L1199" i="2"/>
  <c r="N1199" i="2" s="1"/>
  <c r="P1199" i="2" s="1"/>
  <c r="R1198" i="2"/>
  <c r="S1198" i="2" s="1"/>
  <c r="Q1198" i="2"/>
  <c r="O1198" i="2"/>
  <c r="M1198" i="2"/>
  <c r="L1198" i="2"/>
  <c r="N1198" i="2" s="1"/>
  <c r="P1198" i="2" s="1"/>
  <c r="R1197" i="2"/>
  <c r="Q1197" i="2"/>
  <c r="O1197" i="2"/>
  <c r="M1197" i="2"/>
  <c r="L1197" i="2"/>
  <c r="N1197" i="2" s="1"/>
  <c r="P1197" i="2" s="1"/>
  <c r="R1196" i="2"/>
  <c r="S1196" i="2" s="1"/>
  <c r="Q1196" i="2"/>
  <c r="O1196" i="2"/>
  <c r="M1196" i="2"/>
  <c r="L1196" i="2"/>
  <c r="N1196" i="2" s="1"/>
  <c r="P1196" i="2" s="1"/>
  <c r="R1195" i="2"/>
  <c r="S1195" i="2" s="1"/>
  <c r="Q1195" i="2"/>
  <c r="O1195" i="2"/>
  <c r="M1195" i="2"/>
  <c r="L1195" i="2"/>
  <c r="N1195" i="2" s="1"/>
  <c r="P1195" i="2" s="1"/>
  <c r="R1194" i="2"/>
  <c r="Q1194" i="2"/>
  <c r="O1194" i="2"/>
  <c r="M1194" i="2"/>
  <c r="L1194" i="2"/>
  <c r="N1194" i="2" s="1"/>
  <c r="P1194" i="2" s="1"/>
  <c r="R1193" i="2"/>
  <c r="Q1193" i="2"/>
  <c r="O1193" i="2"/>
  <c r="M1193" i="2"/>
  <c r="L1193" i="2"/>
  <c r="N1193" i="2" s="1"/>
  <c r="P1193" i="2" s="1"/>
  <c r="R1192" i="2"/>
  <c r="Q1192" i="2"/>
  <c r="O1192" i="2"/>
  <c r="M1192" i="2"/>
  <c r="L1192" i="2"/>
  <c r="N1192" i="2" s="1"/>
  <c r="P1192" i="2" s="1"/>
  <c r="R1191" i="2"/>
  <c r="T1191" i="2" s="1"/>
  <c r="Q1191" i="2"/>
  <c r="O1191" i="2"/>
  <c r="M1191" i="2"/>
  <c r="L1191" i="2"/>
  <c r="N1191" i="2" s="1"/>
  <c r="P1191" i="2" s="1"/>
  <c r="R1190" i="2"/>
  <c r="Q1190" i="2"/>
  <c r="O1190" i="2"/>
  <c r="M1190" i="2"/>
  <c r="L1190" i="2"/>
  <c r="N1190" i="2" s="1"/>
  <c r="P1190" i="2" s="1"/>
  <c r="R1189" i="2"/>
  <c r="Q1189" i="2"/>
  <c r="O1189" i="2"/>
  <c r="M1189" i="2"/>
  <c r="L1189" i="2"/>
  <c r="N1189" i="2" s="1"/>
  <c r="P1189" i="2" s="1"/>
  <c r="R1188" i="2"/>
  <c r="Q1188" i="2"/>
  <c r="O1188" i="2"/>
  <c r="M1188" i="2"/>
  <c r="L1188" i="2"/>
  <c r="N1188" i="2" s="1"/>
  <c r="P1188" i="2" s="1"/>
  <c r="R1187" i="2"/>
  <c r="S1187" i="2" s="1"/>
  <c r="Q1187" i="2"/>
  <c r="O1187" i="2"/>
  <c r="M1187" i="2"/>
  <c r="L1187" i="2"/>
  <c r="N1187" i="2" s="1"/>
  <c r="P1187" i="2" s="1"/>
  <c r="R1186" i="2"/>
  <c r="Q1186" i="2"/>
  <c r="O1186" i="2"/>
  <c r="M1186" i="2"/>
  <c r="L1186" i="2"/>
  <c r="N1186" i="2" s="1"/>
  <c r="P1186" i="2" s="1"/>
  <c r="R1185" i="2"/>
  <c r="Q1185" i="2"/>
  <c r="O1185" i="2"/>
  <c r="M1185" i="2"/>
  <c r="L1185" i="2"/>
  <c r="N1185" i="2" s="1"/>
  <c r="P1185" i="2" s="1"/>
  <c r="R1184" i="2"/>
  <c r="Q1184" i="2"/>
  <c r="O1184" i="2"/>
  <c r="M1184" i="2"/>
  <c r="L1184" i="2"/>
  <c r="R1183" i="2"/>
  <c r="S1183" i="2" s="1"/>
  <c r="Q1183" i="2"/>
  <c r="O1183" i="2"/>
  <c r="M1183" i="2"/>
  <c r="L1183" i="2"/>
  <c r="N1183" i="2" s="1"/>
  <c r="P1183" i="2" s="1"/>
  <c r="R1182" i="2"/>
  <c r="S1182" i="2" s="1"/>
  <c r="Q1182" i="2"/>
  <c r="O1182" i="2"/>
  <c r="M1182" i="2"/>
  <c r="L1182" i="2"/>
  <c r="R1181" i="2"/>
  <c r="S1181" i="2" s="1"/>
  <c r="Q1181" i="2"/>
  <c r="O1181" i="2"/>
  <c r="M1181" i="2"/>
  <c r="L1181" i="2"/>
  <c r="R1180" i="2"/>
  <c r="S1180" i="2" s="1"/>
  <c r="Q1180" i="2"/>
  <c r="O1180" i="2"/>
  <c r="M1180" i="2"/>
  <c r="L1180" i="2"/>
  <c r="N1180" i="2" s="1"/>
  <c r="P1180" i="2" s="1"/>
  <c r="R1179" i="2"/>
  <c r="S1179" i="2" s="1"/>
  <c r="Q1179" i="2"/>
  <c r="O1179" i="2"/>
  <c r="M1179" i="2"/>
  <c r="L1179" i="2"/>
  <c r="R1178" i="2"/>
  <c r="S1178" i="2" s="1"/>
  <c r="Q1178" i="2"/>
  <c r="O1178" i="2"/>
  <c r="M1178" i="2"/>
  <c r="L1178" i="2"/>
  <c r="N1178" i="2" s="1"/>
  <c r="P1178" i="2" s="1"/>
  <c r="R1177" i="2"/>
  <c r="Q1177" i="2"/>
  <c r="O1177" i="2"/>
  <c r="M1177" i="2"/>
  <c r="L1177" i="2"/>
  <c r="N1177" i="2" s="1"/>
  <c r="P1177" i="2" s="1"/>
  <c r="R1176" i="2"/>
  <c r="S1176" i="2" s="1"/>
  <c r="Q1176" i="2"/>
  <c r="O1176" i="2"/>
  <c r="M1176" i="2"/>
  <c r="L1176" i="2"/>
  <c r="R1175" i="2"/>
  <c r="S1175" i="2" s="1"/>
  <c r="Q1175" i="2"/>
  <c r="O1175" i="2"/>
  <c r="M1175" i="2"/>
  <c r="L1175" i="2"/>
  <c r="N1175" i="2" s="1"/>
  <c r="P1175" i="2" s="1"/>
  <c r="R1174" i="2"/>
  <c r="Q1174" i="2"/>
  <c r="O1174" i="2"/>
  <c r="M1174" i="2"/>
  <c r="L1174" i="2"/>
  <c r="R1173" i="2"/>
  <c r="T1173" i="2" s="1"/>
  <c r="Q1173" i="2"/>
  <c r="O1173" i="2"/>
  <c r="M1173" i="2"/>
  <c r="L1173" i="2"/>
  <c r="N1173" i="2" s="1"/>
  <c r="P1173" i="2" s="1"/>
  <c r="R1172" i="2"/>
  <c r="Q1172" i="2"/>
  <c r="O1172" i="2"/>
  <c r="M1172" i="2"/>
  <c r="L1172" i="2"/>
  <c r="N1172" i="2" s="1"/>
  <c r="P1172" i="2" s="1"/>
  <c r="R1171" i="2"/>
  <c r="S1171" i="2" s="1"/>
  <c r="Q1171" i="2"/>
  <c r="O1171" i="2"/>
  <c r="M1171" i="2"/>
  <c r="L1171" i="2"/>
  <c r="R1170" i="2"/>
  <c r="Q1170" i="2"/>
  <c r="O1170" i="2"/>
  <c r="M1170" i="2"/>
  <c r="L1170" i="2"/>
  <c r="N1170" i="2" s="1"/>
  <c r="P1170" i="2" s="1"/>
  <c r="R1169" i="2"/>
  <c r="T1169" i="2" s="1"/>
  <c r="Q1169" i="2"/>
  <c r="O1169" i="2"/>
  <c r="M1169" i="2"/>
  <c r="L1169" i="2"/>
  <c r="N1169" i="2" s="1"/>
  <c r="P1169" i="2" s="1"/>
  <c r="R1168" i="2"/>
  <c r="T1168" i="2" s="1"/>
  <c r="Q1168" i="2"/>
  <c r="O1168" i="2"/>
  <c r="M1168" i="2"/>
  <c r="L1168" i="2"/>
  <c r="R1167" i="2"/>
  <c r="S1167" i="2" s="1"/>
  <c r="Q1167" i="2"/>
  <c r="O1167" i="2"/>
  <c r="M1167" i="2"/>
  <c r="L1167" i="2"/>
  <c r="N1167" i="2" s="1"/>
  <c r="P1167" i="2" s="1"/>
  <c r="R1166" i="2"/>
  <c r="Q1166" i="2"/>
  <c r="O1166" i="2"/>
  <c r="M1166" i="2"/>
  <c r="L1166" i="2"/>
  <c r="R1165" i="2"/>
  <c r="T1165" i="2" s="1"/>
  <c r="Q1165" i="2"/>
  <c r="O1165" i="2"/>
  <c r="M1165" i="2"/>
  <c r="L1165" i="2"/>
  <c r="N1165" i="2" s="1"/>
  <c r="P1165" i="2" s="1"/>
  <c r="R1164" i="2"/>
  <c r="Q1164" i="2"/>
  <c r="O1164" i="2"/>
  <c r="M1164" i="2"/>
  <c r="L1164" i="2"/>
  <c r="N1164" i="2" s="1"/>
  <c r="P1164" i="2" s="1"/>
  <c r="R1163" i="2"/>
  <c r="Q1163" i="2"/>
  <c r="O1163" i="2"/>
  <c r="M1163" i="2"/>
  <c r="L1163" i="2"/>
  <c r="R1162" i="2"/>
  <c r="Q1162" i="2"/>
  <c r="O1162" i="2"/>
  <c r="M1162" i="2"/>
  <c r="L1162" i="2"/>
  <c r="N1162" i="2" s="1"/>
  <c r="P1162" i="2" s="1"/>
  <c r="R1161" i="2"/>
  <c r="T1161" i="2" s="1"/>
  <c r="Q1161" i="2"/>
  <c r="O1161" i="2"/>
  <c r="M1161" i="2"/>
  <c r="L1161" i="2"/>
  <c r="N1161" i="2" s="1"/>
  <c r="P1161" i="2" s="1"/>
  <c r="R1160" i="2"/>
  <c r="S1160" i="2" s="1"/>
  <c r="Q1160" i="2"/>
  <c r="O1160" i="2"/>
  <c r="M1160" i="2"/>
  <c r="L1160" i="2"/>
  <c r="R1159" i="2"/>
  <c r="Q1159" i="2"/>
  <c r="O1159" i="2"/>
  <c r="M1159" i="2"/>
  <c r="L1159" i="2"/>
  <c r="N1159" i="2" s="1"/>
  <c r="P1159" i="2" s="1"/>
  <c r="R1158" i="2"/>
  <c r="T1158" i="2" s="1"/>
  <c r="Q1158" i="2"/>
  <c r="O1158" i="2"/>
  <c r="M1158" i="2"/>
  <c r="L1158" i="2"/>
  <c r="R1157" i="2"/>
  <c r="T1157" i="2" s="1"/>
  <c r="Q1157" i="2"/>
  <c r="O1157" i="2"/>
  <c r="M1157" i="2"/>
  <c r="L1157" i="2"/>
  <c r="R1156" i="2"/>
  <c r="S1156" i="2" s="1"/>
  <c r="Q1156" i="2"/>
  <c r="O1156" i="2"/>
  <c r="M1156" i="2"/>
  <c r="L1156" i="2"/>
  <c r="N1156" i="2" s="1"/>
  <c r="P1156" i="2" s="1"/>
  <c r="R1155" i="2"/>
  <c r="Q1155" i="2"/>
  <c r="O1155" i="2"/>
  <c r="M1155" i="2"/>
  <c r="L1155" i="2"/>
  <c r="R1154" i="2"/>
  <c r="Q1154" i="2"/>
  <c r="O1154" i="2"/>
  <c r="M1154" i="2"/>
  <c r="L1154" i="2"/>
  <c r="N1154" i="2" s="1"/>
  <c r="P1154" i="2" s="1"/>
  <c r="R1153" i="2"/>
  <c r="S1153" i="2" s="1"/>
  <c r="Q1153" i="2"/>
  <c r="O1153" i="2"/>
  <c r="M1153" i="2"/>
  <c r="L1153" i="2"/>
  <c r="N1153" i="2" s="1"/>
  <c r="P1153" i="2" s="1"/>
  <c r="R1152" i="2"/>
  <c r="Q1152" i="2"/>
  <c r="O1152" i="2"/>
  <c r="M1152" i="2"/>
  <c r="L1152" i="2"/>
  <c r="R1151" i="2"/>
  <c r="Q1151" i="2"/>
  <c r="O1151" i="2"/>
  <c r="M1151" i="2"/>
  <c r="L1151" i="2"/>
  <c r="N1151" i="2" s="1"/>
  <c r="P1151" i="2" s="1"/>
  <c r="R1150" i="2"/>
  <c r="T1150" i="2" s="1"/>
  <c r="Q1150" i="2"/>
  <c r="O1150" i="2"/>
  <c r="M1150" i="2"/>
  <c r="L1150" i="2"/>
  <c r="R1149" i="2"/>
  <c r="T1149" i="2" s="1"/>
  <c r="Q1149" i="2"/>
  <c r="O1149" i="2"/>
  <c r="M1149" i="2"/>
  <c r="L1149" i="2"/>
  <c r="R1148" i="2"/>
  <c r="Q1148" i="2"/>
  <c r="O1148" i="2"/>
  <c r="M1148" i="2"/>
  <c r="L1148" i="2"/>
  <c r="N1148" i="2" s="1"/>
  <c r="P1148" i="2" s="1"/>
  <c r="R1147" i="2"/>
  <c r="Q1147" i="2"/>
  <c r="O1147" i="2"/>
  <c r="M1147" i="2"/>
  <c r="L1147" i="2"/>
  <c r="R1146" i="2"/>
  <c r="T1146" i="2" s="1"/>
  <c r="Q1146" i="2"/>
  <c r="O1146" i="2"/>
  <c r="M1146" i="2"/>
  <c r="L1146" i="2"/>
  <c r="N1146" i="2" s="1"/>
  <c r="P1146" i="2" s="1"/>
  <c r="R1145" i="2"/>
  <c r="Q1145" i="2"/>
  <c r="O1145" i="2"/>
  <c r="M1145" i="2"/>
  <c r="L1145" i="2"/>
  <c r="N1145" i="2" s="1"/>
  <c r="P1145" i="2" s="1"/>
  <c r="R1144" i="2"/>
  <c r="T1144" i="2" s="1"/>
  <c r="Q1144" i="2"/>
  <c r="O1144" i="2"/>
  <c r="M1144" i="2"/>
  <c r="L1144" i="2"/>
  <c r="R1143" i="2"/>
  <c r="S1143" i="2" s="1"/>
  <c r="Q1143" i="2"/>
  <c r="O1143" i="2"/>
  <c r="M1143" i="2"/>
  <c r="L1143" i="2"/>
  <c r="N1143" i="2" s="1"/>
  <c r="P1143" i="2" s="1"/>
  <c r="R1142" i="2"/>
  <c r="S1142" i="2" s="1"/>
  <c r="Q1142" i="2"/>
  <c r="O1142" i="2"/>
  <c r="M1142" i="2"/>
  <c r="L1142" i="2"/>
  <c r="R1141" i="2"/>
  <c r="T1141" i="2" s="1"/>
  <c r="Q1141" i="2"/>
  <c r="O1141" i="2"/>
  <c r="M1141" i="2"/>
  <c r="L1141" i="2"/>
  <c r="N1141" i="2" s="1"/>
  <c r="P1141" i="2" s="1"/>
  <c r="R1140" i="2"/>
  <c r="S1140" i="2" s="1"/>
  <c r="Q1140" i="2"/>
  <c r="O1140" i="2"/>
  <c r="M1140" i="2"/>
  <c r="L1140" i="2"/>
  <c r="N1140" i="2" s="1"/>
  <c r="P1140" i="2" s="1"/>
  <c r="R1139" i="2"/>
  <c r="S1139" i="2" s="1"/>
  <c r="Q1139" i="2"/>
  <c r="O1139" i="2"/>
  <c r="M1139" i="2"/>
  <c r="L1139" i="2"/>
  <c r="R1138" i="2"/>
  <c r="S1138" i="2" s="1"/>
  <c r="Q1138" i="2"/>
  <c r="O1138" i="2"/>
  <c r="M1138" i="2"/>
  <c r="L1138" i="2"/>
  <c r="N1138" i="2" s="1"/>
  <c r="P1138" i="2" s="1"/>
  <c r="R1137" i="2"/>
  <c r="T1137" i="2" s="1"/>
  <c r="Q1137" i="2"/>
  <c r="O1137" i="2"/>
  <c r="M1137" i="2"/>
  <c r="L1137" i="2"/>
  <c r="N1137" i="2" s="1"/>
  <c r="P1137" i="2" s="1"/>
  <c r="R1136" i="2"/>
  <c r="T1136" i="2" s="1"/>
  <c r="Q1136" i="2"/>
  <c r="O1136" i="2"/>
  <c r="M1136" i="2"/>
  <c r="L1136" i="2"/>
  <c r="R1135" i="2"/>
  <c r="S1135" i="2" s="1"/>
  <c r="Q1135" i="2"/>
  <c r="O1135" i="2"/>
  <c r="M1135" i="2"/>
  <c r="L1135" i="2"/>
  <c r="N1135" i="2" s="1"/>
  <c r="P1135" i="2" s="1"/>
  <c r="R1134" i="2"/>
  <c r="Q1134" i="2"/>
  <c r="O1134" i="2"/>
  <c r="M1134" i="2"/>
  <c r="L1134" i="2"/>
  <c r="R1133" i="2"/>
  <c r="T1133" i="2" s="1"/>
  <c r="Q1133" i="2"/>
  <c r="O1133" i="2"/>
  <c r="M1133" i="2"/>
  <c r="L1133" i="2"/>
  <c r="N1133" i="2" s="1"/>
  <c r="P1133" i="2" s="1"/>
  <c r="R1132" i="2"/>
  <c r="Q1132" i="2"/>
  <c r="O1132" i="2"/>
  <c r="M1132" i="2"/>
  <c r="L1132" i="2"/>
  <c r="N1132" i="2" s="1"/>
  <c r="P1132" i="2" s="1"/>
  <c r="R1131" i="2"/>
  <c r="Q1131" i="2"/>
  <c r="O1131" i="2"/>
  <c r="M1131" i="2"/>
  <c r="L1131" i="2"/>
  <c r="R1130" i="2"/>
  <c r="Q1130" i="2"/>
  <c r="O1130" i="2"/>
  <c r="M1130" i="2"/>
  <c r="L1130" i="2"/>
  <c r="N1130" i="2" s="1"/>
  <c r="P1130" i="2" s="1"/>
  <c r="R1129" i="2"/>
  <c r="T1129" i="2" s="1"/>
  <c r="Q1129" i="2"/>
  <c r="O1129" i="2"/>
  <c r="M1129" i="2"/>
  <c r="L1129" i="2"/>
  <c r="N1129" i="2" s="1"/>
  <c r="P1129" i="2" s="1"/>
  <c r="R1128" i="2"/>
  <c r="Q1128" i="2"/>
  <c r="O1128" i="2"/>
  <c r="M1128" i="2"/>
  <c r="L1128" i="2"/>
  <c r="R1127" i="2"/>
  <c r="S1127" i="2" s="1"/>
  <c r="Q1127" i="2"/>
  <c r="O1127" i="2"/>
  <c r="M1127" i="2"/>
  <c r="L1127" i="2"/>
  <c r="N1127" i="2" s="1"/>
  <c r="P1127" i="2" s="1"/>
  <c r="R1126" i="2"/>
  <c r="T1126" i="2" s="1"/>
  <c r="Q1126" i="2"/>
  <c r="O1126" i="2"/>
  <c r="M1126" i="2"/>
  <c r="L1126" i="2"/>
  <c r="R1125" i="2"/>
  <c r="T1125" i="2" s="1"/>
  <c r="Q1125" i="2"/>
  <c r="O1125" i="2"/>
  <c r="M1125" i="2"/>
  <c r="L1125" i="2"/>
  <c r="R1124" i="2"/>
  <c r="Q1124" i="2"/>
  <c r="O1124" i="2"/>
  <c r="M1124" i="2"/>
  <c r="L1124" i="2"/>
  <c r="N1124" i="2" s="1"/>
  <c r="P1124" i="2" s="1"/>
  <c r="R1123" i="2"/>
  <c r="Q1123" i="2"/>
  <c r="O1123" i="2"/>
  <c r="M1123" i="2"/>
  <c r="L1123" i="2"/>
  <c r="R1122" i="2"/>
  <c r="Q1122" i="2"/>
  <c r="O1122" i="2"/>
  <c r="M1122" i="2"/>
  <c r="L1122" i="2"/>
  <c r="N1122" i="2" s="1"/>
  <c r="P1122" i="2" s="1"/>
  <c r="R1121" i="2"/>
  <c r="S1121" i="2" s="1"/>
  <c r="Q1121" i="2"/>
  <c r="O1121" i="2"/>
  <c r="M1121" i="2"/>
  <c r="L1121" i="2"/>
  <c r="N1121" i="2" s="1"/>
  <c r="P1121" i="2" s="1"/>
  <c r="R1120" i="2"/>
  <c r="S1120" i="2" s="1"/>
  <c r="Q1120" i="2"/>
  <c r="O1120" i="2"/>
  <c r="M1120" i="2"/>
  <c r="L1120" i="2"/>
  <c r="R1119" i="2"/>
  <c r="Q1119" i="2"/>
  <c r="O1119" i="2"/>
  <c r="M1119" i="2"/>
  <c r="L1119" i="2"/>
  <c r="N1119" i="2" s="1"/>
  <c r="P1119" i="2" s="1"/>
  <c r="R1118" i="2"/>
  <c r="T1118" i="2" s="1"/>
  <c r="Q1118" i="2"/>
  <c r="O1118" i="2"/>
  <c r="M1118" i="2"/>
  <c r="L1118" i="2"/>
  <c r="R1117" i="2"/>
  <c r="T1117" i="2" s="1"/>
  <c r="Q1117" i="2"/>
  <c r="O1117" i="2"/>
  <c r="M1117" i="2"/>
  <c r="L1117" i="2"/>
  <c r="N1117" i="2" s="1"/>
  <c r="P1117" i="2" s="1"/>
  <c r="R1116" i="2"/>
  <c r="T1116" i="2" s="1"/>
  <c r="Q1116" i="2"/>
  <c r="O1116" i="2"/>
  <c r="M1116" i="2"/>
  <c r="L1116" i="2"/>
  <c r="R1115" i="2"/>
  <c r="T1115" i="2" s="1"/>
  <c r="Q1115" i="2"/>
  <c r="O1115" i="2"/>
  <c r="M1115" i="2"/>
  <c r="L1115" i="2"/>
  <c r="R1114" i="2"/>
  <c r="T1114" i="2" s="1"/>
  <c r="Q1114" i="2"/>
  <c r="O1114" i="2"/>
  <c r="M1114" i="2"/>
  <c r="L1114" i="2"/>
  <c r="N1114" i="2" s="1"/>
  <c r="P1114" i="2" s="1"/>
  <c r="R1113" i="2"/>
  <c r="T1113" i="2" s="1"/>
  <c r="Q1113" i="2"/>
  <c r="O1113" i="2"/>
  <c r="M1113" i="2"/>
  <c r="L1113" i="2"/>
  <c r="R1112" i="2"/>
  <c r="T1112" i="2" s="1"/>
  <c r="Q1112" i="2"/>
  <c r="O1112" i="2"/>
  <c r="M1112" i="2"/>
  <c r="L1112" i="2"/>
  <c r="N1112" i="2" s="1"/>
  <c r="P1112" i="2" s="1"/>
  <c r="R1111" i="2"/>
  <c r="T1111" i="2" s="1"/>
  <c r="Q1111" i="2"/>
  <c r="O1111" i="2"/>
  <c r="M1111" i="2"/>
  <c r="L1111" i="2"/>
  <c r="N1111" i="2" s="1"/>
  <c r="P1111" i="2" s="1"/>
  <c r="R1110" i="2"/>
  <c r="T1110" i="2" s="1"/>
  <c r="Q1110" i="2"/>
  <c r="O1110" i="2"/>
  <c r="M1110" i="2"/>
  <c r="L1110" i="2"/>
  <c r="R1109" i="2"/>
  <c r="T1109" i="2" s="1"/>
  <c r="Q1109" i="2"/>
  <c r="O1109" i="2"/>
  <c r="M1109" i="2"/>
  <c r="L1109" i="2"/>
  <c r="N1109" i="2" s="1"/>
  <c r="P1109" i="2" s="1"/>
  <c r="R1108" i="2"/>
  <c r="T1108" i="2" s="1"/>
  <c r="Q1108" i="2"/>
  <c r="O1108" i="2"/>
  <c r="M1108" i="2"/>
  <c r="L1108" i="2"/>
  <c r="R1107" i="2"/>
  <c r="T1107" i="2" s="1"/>
  <c r="Q1107" i="2"/>
  <c r="O1107" i="2"/>
  <c r="M1107" i="2"/>
  <c r="L1107" i="2"/>
  <c r="R1106" i="2"/>
  <c r="T1106" i="2" s="1"/>
  <c r="Q1106" i="2"/>
  <c r="O1106" i="2"/>
  <c r="M1106" i="2"/>
  <c r="L1106" i="2"/>
  <c r="N1106" i="2" s="1"/>
  <c r="P1106" i="2" s="1"/>
  <c r="R1105" i="2"/>
  <c r="T1105" i="2" s="1"/>
  <c r="Q1105" i="2"/>
  <c r="O1105" i="2"/>
  <c r="M1105" i="2"/>
  <c r="L1105" i="2"/>
  <c r="R1104" i="2"/>
  <c r="T1104" i="2" s="1"/>
  <c r="Q1104" i="2"/>
  <c r="O1104" i="2"/>
  <c r="M1104" i="2"/>
  <c r="L1104" i="2"/>
  <c r="N1104" i="2" s="1"/>
  <c r="P1104" i="2" s="1"/>
  <c r="R1103" i="2"/>
  <c r="T1103" i="2" s="1"/>
  <c r="Q1103" i="2"/>
  <c r="O1103" i="2"/>
  <c r="M1103" i="2"/>
  <c r="L1103" i="2"/>
  <c r="N1103" i="2" s="1"/>
  <c r="P1103" i="2" s="1"/>
  <c r="R1102" i="2"/>
  <c r="T1102" i="2" s="1"/>
  <c r="Q1102" i="2"/>
  <c r="O1102" i="2"/>
  <c r="M1102" i="2"/>
  <c r="L1102" i="2"/>
  <c r="R1101" i="2"/>
  <c r="T1101" i="2" s="1"/>
  <c r="Q1101" i="2"/>
  <c r="O1101" i="2"/>
  <c r="M1101" i="2"/>
  <c r="L1101" i="2"/>
  <c r="N1101" i="2" s="1"/>
  <c r="P1101" i="2" s="1"/>
  <c r="R1100" i="2"/>
  <c r="T1100" i="2" s="1"/>
  <c r="Q1100" i="2"/>
  <c r="O1100" i="2"/>
  <c r="M1100" i="2"/>
  <c r="L1100" i="2"/>
  <c r="R1099" i="2"/>
  <c r="T1099" i="2" s="1"/>
  <c r="Q1099" i="2"/>
  <c r="O1099" i="2"/>
  <c r="M1099" i="2"/>
  <c r="L1099" i="2"/>
  <c r="R1098" i="2"/>
  <c r="T1098" i="2" s="1"/>
  <c r="Q1098" i="2"/>
  <c r="O1098" i="2"/>
  <c r="M1098" i="2"/>
  <c r="L1098" i="2"/>
  <c r="N1098" i="2" s="1"/>
  <c r="P1098" i="2" s="1"/>
  <c r="R1097" i="2"/>
  <c r="T1097" i="2" s="1"/>
  <c r="Q1097" i="2"/>
  <c r="O1097" i="2"/>
  <c r="M1097" i="2"/>
  <c r="L1097" i="2"/>
  <c r="R1096" i="2"/>
  <c r="T1096" i="2" s="1"/>
  <c r="Q1096" i="2"/>
  <c r="O1096" i="2"/>
  <c r="M1096" i="2"/>
  <c r="L1096" i="2"/>
  <c r="N1096" i="2" s="1"/>
  <c r="P1096" i="2" s="1"/>
  <c r="R1095" i="2"/>
  <c r="T1095" i="2" s="1"/>
  <c r="Q1095" i="2"/>
  <c r="O1095" i="2"/>
  <c r="M1095" i="2"/>
  <c r="L1095" i="2"/>
  <c r="N1095" i="2" s="1"/>
  <c r="P1095" i="2" s="1"/>
  <c r="R1094" i="2"/>
  <c r="T1094" i="2" s="1"/>
  <c r="Q1094" i="2"/>
  <c r="O1094" i="2"/>
  <c r="M1094" i="2"/>
  <c r="L1094" i="2"/>
  <c r="R1093" i="2"/>
  <c r="T1093" i="2" s="1"/>
  <c r="Q1093" i="2"/>
  <c r="O1093" i="2"/>
  <c r="M1093" i="2"/>
  <c r="L1093" i="2"/>
  <c r="N1093" i="2" s="1"/>
  <c r="P1093" i="2" s="1"/>
  <c r="R1092" i="2"/>
  <c r="T1092" i="2" s="1"/>
  <c r="Q1092" i="2"/>
  <c r="O1092" i="2"/>
  <c r="M1092" i="2"/>
  <c r="L1092" i="2"/>
  <c r="R1091" i="2"/>
  <c r="T1091" i="2" s="1"/>
  <c r="Q1091" i="2"/>
  <c r="O1091" i="2"/>
  <c r="M1091" i="2"/>
  <c r="L1091" i="2"/>
  <c r="R1090" i="2"/>
  <c r="T1090" i="2" s="1"/>
  <c r="Q1090" i="2"/>
  <c r="O1090" i="2"/>
  <c r="M1090" i="2"/>
  <c r="L1090" i="2"/>
  <c r="N1090" i="2" s="1"/>
  <c r="P1090" i="2" s="1"/>
  <c r="R1089" i="2"/>
  <c r="T1089" i="2" s="1"/>
  <c r="Q1089" i="2"/>
  <c r="O1089" i="2"/>
  <c r="M1089" i="2"/>
  <c r="L1089" i="2"/>
  <c r="R1088" i="2"/>
  <c r="T1088" i="2" s="1"/>
  <c r="Q1088" i="2"/>
  <c r="O1088" i="2"/>
  <c r="M1088" i="2"/>
  <c r="L1088" i="2"/>
  <c r="N1088" i="2" s="1"/>
  <c r="P1088" i="2" s="1"/>
  <c r="R1087" i="2"/>
  <c r="T1087" i="2" s="1"/>
  <c r="Q1087" i="2"/>
  <c r="O1087" i="2"/>
  <c r="M1087" i="2"/>
  <c r="L1087" i="2"/>
  <c r="N1087" i="2" s="1"/>
  <c r="P1087" i="2" s="1"/>
  <c r="R1086" i="2"/>
  <c r="T1086" i="2" s="1"/>
  <c r="Q1086" i="2"/>
  <c r="O1086" i="2"/>
  <c r="M1086" i="2"/>
  <c r="L1086" i="2"/>
  <c r="R1085" i="2"/>
  <c r="T1085" i="2" s="1"/>
  <c r="Q1085" i="2"/>
  <c r="O1085" i="2"/>
  <c r="M1085" i="2"/>
  <c r="L1085" i="2"/>
  <c r="N1085" i="2" s="1"/>
  <c r="P1085" i="2" s="1"/>
  <c r="R1084" i="2"/>
  <c r="T1084" i="2" s="1"/>
  <c r="Q1084" i="2"/>
  <c r="O1084" i="2"/>
  <c r="M1084" i="2"/>
  <c r="L1084" i="2"/>
  <c r="R1083" i="2"/>
  <c r="T1083" i="2" s="1"/>
  <c r="Q1083" i="2"/>
  <c r="O1083" i="2"/>
  <c r="M1083" i="2"/>
  <c r="L1083" i="2"/>
  <c r="R1082" i="2"/>
  <c r="T1082" i="2" s="1"/>
  <c r="Q1082" i="2"/>
  <c r="O1082" i="2"/>
  <c r="M1082" i="2"/>
  <c r="L1082" i="2"/>
  <c r="N1082" i="2" s="1"/>
  <c r="P1082" i="2" s="1"/>
  <c r="R1081" i="2"/>
  <c r="T1081" i="2" s="1"/>
  <c r="Q1081" i="2"/>
  <c r="O1081" i="2"/>
  <c r="M1081" i="2"/>
  <c r="L1081" i="2"/>
  <c r="R1080" i="2"/>
  <c r="T1080" i="2" s="1"/>
  <c r="Q1080" i="2"/>
  <c r="O1080" i="2"/>
  <c r="M1080" i="2"/>
  <c r="L1080" i="2"/>
  <c r="N1080" i="2" s="1"/>
  <c r="P1080" i="2" s="1"/>
  <c r="R1079" i="2"/>
  <c r="T1079" i="2" s="1"/>
  <c r="Q1079" i="2"/>
  <c r="O1079" i="2"/>
  <c r="M1079" i="2"/>
  <c r="L1079" i="2"/>
  <c r="N1079" i="2" s="1"/>
  <c r="P1079" i="2" s="1"/>
  <c r="R1078" i="2"/>
  <c r="T1078" i="2" s="1"/>
  <c r="Q1078" i="2"/>
  <c r="O1078" i="2"/>
  <c r="M1078" i="2"/>
  <c r="L1078" i="2"/>
  <c r="R1077" i="2"/>
  <c r="T1077" i="2" s="1"/>
  <c r="Q1077" i="2"/>
  <c r="O1077" i="2"/>
  <c r="M1077" i="2"/>
  <c r="L1077" i="2"/>
  <c r="N1077" i="2" s="1"/>
  <c r="P1077" i="2" s="1"/>
  <c r="R1076" i="2"/>
  <c r="T1076" i="2" s="1"/>
  <c r="Q1076" i="2"/>
  <c r="O1076" i="2"/>
  <c r="M1076" i="2"/>
  <c r="L1076" i="2"/>
  <c r="R1075" i="2"/>
  <c r="T1075" i="2" s="1"/>
  <c r="Q1075" i="2"/>
  <c r="O1075" i="2"/>
  <c r="M1075" i="2"/>
  <c r="L1075" i="2"/>
  <c r="R1074" i="2"/>
  <c r="T1074" i="2" s="1"/>
  <c r="Q1074" i="2"/>
  <c r="O1074" i="2"/>
  <c r="M1074" i="2"/>
  <c r="L1074" i="2"/>
  <c r="N1074" i="2" s="1"/>
  <c r="P1074" i="2" s="1"/>
  <c r="R1073" i="2"/>
  <c r="T1073" i="2" s="1"/>
  <c r="Q1073" i="2"/>
  <c r="O1073" i="2"/>
  <c r="M1073" i="2"/>
  <c r="L1073" i="2"/>
  <c r="R1072" i="2"/>
  <c r="T1072" i="2" s="1"/>
  <c r="Q1072" i="2"/>
  <c r="O1072" i="2"/>
  <c r="M1072" i="2"/>
  <c r="L1072" i="2"/>
  <c r="N1072" i="2" s="1"/>
  <c r="P1072" i="2" s="1"/>
  <c r="R1071" i="2"/>
  <c r="T1071" i="2" s="1"/>
  <c r="Q1071" i="2"/>
  <c r="O1071" i="2"/>
  <c r="M1071" i="2"/>
  <c r="L1071" i="2"/>
  <c r="N1071" i="2" s="1"/>
  <c r="P1071" i="2" s="1"/>
  <c r="R1070" i="2"/>
  <c r="T1070" i="2" s="1"/>
  <c r="Q1070" i="2"/>
  <c r="O1070" i="2"/>
  <c r="M1070" i="2"/>
  <c r="L1070" i="2"/>
  <c r="R1069" i="2"/>
  <c r="T1069" i="2" s="1"/>
  <c r="Q1069" i="2"/>
  <c r="O1069" i="2"/>
  <c r="M1069" i="2"/>
  <c r="L1069" i="2"/>
  <c r="N1069" i="2" s="1"/>
  <c r="P1069" i="2" s="1"/>
  <c r="R1068" i="2"/>
  <c r="T1068" i="2" s="1"/>
  <c r="Q1068" i="2"/>
  <c r="O1068" i="2"/>
  <c r="M1068" i="2"/>
  <c r="L1068" i="2"/>
  <c r="R1067" i="2"/>
  <c r="T1067" i="2" s="1"/>
  <c r="Q1067" i="2"/>
  <c r="O1067" i="2"/>
  <c r="M1067" i="2"/>
  <c r="L1067" i="2"/>
  <c r="R1066" i="2"/>
  <c r="T1066" i="2" s="1"/>
  <c r="Q1066" i="2"/>
  <c r="O1066" i="2"/>
  <c r="M1066" i="2"/>
  <c r="L1066" i="2"/>
  <c r="N1066" i="2" s="1"/>
  <c r="P1066" i="2" s="1"/>
  <c r="R1065" i="2"/>
  <c r="T1065" i="2" s="1"/>
  <c r="Q1065" i="2"/>
  <c r="O1065" i="2"/>
  <c r="M1065" i="2"/>
  <c r="L1065" i="2"/>
  <c r="R1064" i="2"/>
  <c r="T1064" i="2" s="1"/>
  <c r="Q1064" i="2"/>
  <c r="O1064" i="2"/>
  <c r="M1064" i="2"/>
  <c r="L1064" i="2"/>
  <c r="N1064" i="2" s="1"/>
  <c r="P1064" i="2" s="1"/>
  <c r="R1063" i="2"/>
  <c r="T1063" i="2" s="1"/>
  <c r="Q1063" i="2"/>
  <c r="O1063" i="2"/>
  <c r="M1063" i="2"/>
  <c r="L1063" i="2"/>
  <c r="N1063" i="2" s="1"/>
  <c r="P1063" i="2" s="1"/>
  <c r="R1062" i="2"/>
  <c r="T1062" i="2" s="1"/>
  <c r="Q1062" i="2"/>
  <c r="O1062" i="2"/>
  <c r="M1062" i="2"/>
  <c r="L1062" i="2"/>
  <c r="R1061" i="2"/>
  <c r="T1061" i="2" s="1"/>
  <c r="Q1061" i="2"/>
  <c r="O1061" i="2"/>
  <c r="M1061" i="2"/>
  <c r="L1061" i="2"/>
  <c r="N1061" i="2" s="1"/>
  <c r="P1061" i="2" s="1"/>
  <c r="R1060" i="2"/>
  <c r="T1060" i="2" s="1"/>
  <c r="Q1060" i="2"/>
  <c r="O1060" i="2"/>
  <c r="M1060" i="2"/>
  <c r="L1060" i="2"/>
  <c r="R1059" i="2"/>
  <c r="T1059" i="2" s="1"/>
  <c r="Q1059" i="2"/>
  <c r="O1059" i="2"/>
  <c r="M1059" i="2"/>
  <c r="L1059" i="2"/>
  <c r="R1058" i="2"/>
  <c r="T1058" i="2" s="1"/>
  <c r="Q1058" i="2"/>
  <c r="O1058" i="2"/>
  <c r="M1058" i="2"/>
  <c r="L1058" i="2"/>
  <c r="N1058" i="2" s="1"/>
  <c r="P1058" i="2" s="1"/>
  <c r="R1057" i="2"/>
  <c r="T1057" i="2" s="1"/>
  <c r="Q1057" i="2"/>
  <c r="O1057" i="2"/>
  <c r="M1057" i="2"/>
  <c r="L1057" i="2"/>
  <c r="R1056" i="2"/>
  <c r="T1056" i="2" s="1"/>
  <c r="Q1056" i="2"/>
  <c r="O1056" i="2"/>
  <c r="M1056" i="2"/>
  <c r="L1056" i="2"/>
  <c r="N1056" i="2" s="1"/>
  <c r="P1056" i="2" s="1"/>
  <c r="R1055" i="2"/>
  <c r="T1055" i="2" s="1"/>
  <c r="Q1055" i="2"/>
  <c r="O1055" i="2"/>
  <c r="M1055" i="2"/>
  <c r="L1055" i="2"/>
  <c r="N1055" i="2" s="1"/>
  <c r="P1055" i="2" s="1"/>
  <c r="R1054" i="2"/>
  <c r="T1054" i="2" s="1"/>
  <c r="Q1054" i="2"/>
  <c r="O1054" i="2"/>
  <c r="M1054" i="2"/>
  <c r="L1054" i="2"/>
  <c r="R1053" i="2"/>
  <c r="T1053" i="2" s="1"/>
  <c r="Q1053" i="2"/>
  <c r="O1053" i="2"/>
  <c r="M1053" i="2"/>
  <c r="L1053" i="2"/>
  <c r="N1053" i="2" s="1"/>
  <c r="P1053" i="2" s="1"/>
  <c r="R1052" i="2"/>
  <c r="T1052" i="2" s="1"/>
  <c r="Q1052" i="2"/>
  <c r="O1052" i="2"/>
  <c r="M1052" i="2"/>
  <c r="L1052" i="2"/>
  <c r="R1051" i="2"/>
  <c r="T1051" i="2" s="1"/>
  <c r="Q1051" i="2"/>
  <c r="O1051" i="2"/>
  <c r="M1051" i="2"/>
  <c r="L1051" i="2"/>
  <c r="R1050" i="2"/>
  <c r="T1050" i="2" s="1"/>
  <c r="Q1050" i="2"/>
  <c r="O1050" i="2"/>
  <c r="M1050" i="2"/>
  <c r="L1050" i="2"/>
  <c r="N1050" i="2" s="1"/>
  <c r="P1050" i="2" s="1"/>
  <c r="R1049" i="2"/>
  <c r="T1049" i="2" s="1"/>
  <c r="Q1049" i="2"/>
  <c r="O1049" i="2"/>
  <c r="M1049" i="2"/>
  <c r="L1049" i="2"/>
  <c r="N1049" i="2" s="1"/>
  <c r="P1049" i="2" s="1"/>
  <c r="R1048" i="2"/>
  <c r="T1048" i="2" s="1"/>
  <c r="Q1048" i="2"/>
  <c r="O1048" i="2"/>
  <c r="M1048" i="2"/>
  <c r="L1048" i="2"/>
  <c r="N1048" i="2" s="1"/>
  <c r="P1048" i="2" s="1"/>
  <c r="R1047" i="2"/>
  <c r="T1047" i="2" s="1"/>
  <c r="Q1047" i="2"/>
  <c r="O1047" i="2"/>
  <c r="M1047" i="2"/>
  <c r="L1047" i="2"/>
  <c r="N1047" i="2" s="1"/>
  <c r="P1047" i="2" s="1"/>
  <c r="R1046" i="2"/>
  <c r="T1046" i="2" s="1"/>
  <c r="Q1046" i="2"/>
  <c r="O1046" i="2"/>
  <c r="M1046" i="2"/>
  <c r="L1046" i="2"/>
  <c r="N1046" i="2" s="1"/>
  <c r="P1046" i="2" s="1"/>
  <c r="R1045" i="2"/>
  <c r="T1045" i="2" s="1"/>
  <c r="Q1045" i="2"/>
  <c r="O1045" i="2"/>
  <c r="M1045" i="2"/>
  <c r="L1045" i="2"/>
  <c r="N1045" i="2" s="1"/>
  <c r="P1045" i="2" s="1"/>
  <c r="R1044" i="2"/>
  <c r="T1044" i="2" s="1"/>
  <c r="Q1044" i="2"/>
  <c r="O1044" i="2"/>
  <c r="M1044" i="2"/>
  <c r="L1044" i="2"/>
  <c r="N1044" i="2" s="1"/>
  <c r="P1044" i="2" s="1"/>
  <c r="R1043" i="2"/>
  <c r="T1043" i="2" s="1"/>
  <c r="Q1043" i="2"/>
  <c r="O1043" i="2"/>
  <c r="M1043" i="2"/>
  <c r="L1043" i="2"/>
  <c r="N1043" i="2" s="1"/>
  <c r="P1043" i="2" s="1"/>
  <c r="R1042" i="2"/>
  <c r="T1042" i="2" s="1"/>
  <c r="Q1042" i="2"/>
  <c r="O1042" i="2"/>
  <c r="M1042" i="2"/>
  <c r="L1042" i="2"/>
  <c r="N1042" i="2" s="1"/>
  <c r="P1042" i="2" s="1"/>
  <c r="R1041" i="2"/>
  <c r="T1041" i="2" s="1"/>
  <c r="Q1041" i="2"/>
  <c r="O1041" i="2"/>
  <c r="M1041" i="2"/>
  <c r="L1041" i="2"/>
  <c r="N1041" i="2" s="1"/>
  <c r="P1041" i="2" s="1"/>
  <c r="R1040" i="2"/>
  <c r="T1040" i="2" s="1"/>
  <c r="Q1040" i="2"/>
  <c r="O1040" i="2"/>
  <c r="M1040" i="2"/>
  <c r="L1040" i="2"/>
  <c r="N1040" i="2" s="1"/>
  <c r="P1040" i="2" s="1"/>
  <c r="R1039" i="2"/>
  <c r="T1039" i="2" s="1"/>
  <c r="Q1039" i="2"/>
  <c r="O1039" i="2"/>
  <c r="M1039" i="2"/>
  <c r="L1039" i="2"/>
  <c r="N1039" i="2" s="1"/>
  <c r="P1039" i="2" s="1"/>
  <c r="R1038" i="2"/>
  <c r="T1038" i="2" s="1"/>
  <c r="Q1038" i="2"/>
  <c r="O1038" i="2"/>
  <c r="M1038" i="2"/>
  <c r="L1038" i="2"/>
  <c r="N1038" i="2" s="1"/>
  <c r="P1038" i="2" s="1"/>
  <c r="R1037" i="2"/>
  <c r="T1037" i="2" s="1"/>
  <c r="Q1037" i="2"/>
  <c r="O1037" i="2"/>
  <c r="M1037" i="2"/>
  <c r="L1037" i="2"/>
  <c r="N1037" i="2" s="1"/>
  <c r="P1037" i="2" s="1"/>
  <c r="R1036" i="2"/>
  <c r="T1036" i="2" s="1"/>
  <c r="Q1036" i="2"/>
  <c r="O1036" i="2"/>
  <c r="M1036" i="2"/>
  <c r="L1036" i="2"/>
  <c r="N1036" i="2" s="1"/>
  <c r="P1036" i="2" s="1"/>
  <c r="R1035" i="2"/>
  <c r="T1035" i="2" s="1"/>
  <c r="Q1035" i="2"/>
  <c r="O1035" i="2"/>
  <c r="M1035" i="2"/>
  <c r="L1035" i="2"/>
  <c r="N1035" i="2" s="1"/>
  <c r="P1035" i="2" s="1"/>
  <c r="R1034" i="2"/>
  <c r="T1034" i="2" s="1"/>
  <c r="Q1034" i="2"/>
  <c r="O1034" i="2"/>
  <c r="M1034" i="2"/>
  <c r="L1034" i="2"/>
  <c r="N1034" i="2" s="1"/>
  <c r="P1034" i="2" s="1"/>
  <c r="R1033" i="2"/>
  <c r="T1033" i="2" s="1"/>
  <c r="Q1033" i="2"/>
  <c r="O1033" i="2"/>
  <c r="M1033" i="2"/>
  <c r="L1033" i="2"/>
  <c r="N1033" i="2" s="1"/>
  <c r="P1033" i="2" s="1"/>
  <c r="R1032" i="2"/>
  <c r="T1032" i="2" s="1"/>
  <c r="Q1032" i="2"/>
  <c r="O1032" i="2"/>
  <c r="M1032" i="2"/>
  <c r="L1032" i="2"/>
  <c r="N1032" i="2" s="1"/>
  <c r="P1032" i="2" s="1"/>
  <c r="R1031" i="2"/>
  <c r="T1031" i="2" s="1"/>
  <c r="Q1031" i="2"/>
  <c r="O1031" i="2"/>
  <c r="M1031" i="2"/>
  <c r="L1031" i="2"/>
  <c r="N1031" i="2" s="1"/>
  <c r="P1031" i="2" s="1"/>
  <c r="R1030" i="2"/>
  <c r="T1030" i="2" s="1"/>
  <c r="Q1030" i="2"/>
  <c r="O1030" i="2"/>
  <c r="M1030" i="2"/>
  <c r="L1030" i="2"/>
  <c r="N1030" i="2" s="1"/>
  <c r="P1030" i="2" s="1"/>
  <c r="R1029" i="2"/>
  <c r="T1029" i="2" s="1"/>
  <c r="Q1029" i="2"/>
  <c r="O1029" i="2"/>
  <c r="M1029" i="2"/>
  <c r="L1029" i="2"/>
  <c r="N1029" i="2" s="1"/>
  <c r="P1029" i="2" s="1"/>
  <c r="R1028" i="2"/>
  <c r="T1028" i="2" s="1"/>
  <c r="Q1028" i="2"/>
  <c r="O1028" i="2"/>
  <c r="M1028" i="2"/>
  <c r="L1028" i="2"/>
  <c r="N1028" i="2" s="1"/>
  <c r="P1028" i="2" s="1"/>
  <c r="R1027" i="2"/>
  <c r="T1027" i="2" s="1"/>
  <c r="Q1027" i="2"/>
  <c r="O1027" i="2"/>
  <c r="M1027" i="2"/>
  <c r="L1027" i="2"/>
  <c r="N1027" i="2" s="1"/>
  <c r="P1027" i="2" s="1"/>
  <c r="R1026" i="2"/>
  <c r="T1026" i="2" s="1"/>
  <c r="Q1026" i="2"/>
  <c r="O1026" i="2"/>
  <c r="M1026" i="2"/>
  <c r="L1026" i="2"/>
  <c r="N1026" i="2" s="1"/>
  <c r="P1026" i="2" s="1"/>
  <c r="R1025" i="2"/>
  <c r="T1025" i="2" s="1"/>
  <c r="Q1025" i="2"/>
  <c r="O1025" i="2"/>
  <c r="M1025" i="2"/>
  <c r="L1025" i="2"/>
  <c r="N1025" i="2" s="1"/>
  <c r="P1025" i="2" s="1"/>
  <c r="R1024" i="2"/>
  <c r="T1024" i="2" s="1"/>
  <c r="Q1024" i="2"/>
  <c r="O1024" i="2"/>
  <c r="M1024" i="2"/>
  <c r="L1024" i="2"/>
  <c r="N1024" i="2" s="1"/>
  <c r="P1024" i="2" s="1"/>
  <c r="R1023" i="2"/>
  <c r="T1023" i="2" s="1"/>
  <c r="Q1023" i="2"/>
  <c r="O1023" i="2"/>
  <c r="M1023" i="2"/>
  <c r="L1023" i="2"/>
  <c r="N1023" i="2" s="1"/>
  <c r="P1023" i="2" s="1"/>
  <c r="R1022" i="2"/>
  <c r="T1022" i="2" s="1"/>
  <c r="Q1022" i="2"/>
  <c r="O1022" i="2"/>
  <c r="M1022" i="2"/>
  <c r="L1022" i="2"/>
  <c r="N1022" i="2" s="1"/>
  <c r="P1022" i="2" s="1"/>
  <c r="R1021" i="2"/>
  <c r="T1021" i="2" s="1"/>
  <c r="Q1021" i="2"/>
  <c r="O1021" i="2"/>
  <c r="M1021" i="2"/>
  <c r="L1021" i="2"/>
  <c r="N1021" i="2" s="1"/>
  <c r="P1021" i="2" s="1"/>
  <c r="R1020" i="2"/>
  <c r="T1020" i="2" s="1"/>
  <c r="Q1020" i="2"/>
  <c r="O1020" i="2"/>
  <c r="M1020" i="2"/>
  <c r="L1020" i="2"/>
  <c r="N1020" i="2" s="1"/>
  <c r="P1020" i="2" s="1"/>
  <c r="R1019" i="2"/>
  <c r="T1019" i="2" s="1"/>
  <c r="Q1019" i="2"/>
  <c r="O1019" i="2"/>
  <c r="M1019" i="2"/>
  <c r="L1019" i="2"/>
  <c r="N1019" i="2" s="1"/>
  <c r="P1019" i="2" s="1"/>
  <c r="R1018" i="2"/>
  <c r="T1018" i="2" s="1"/>
  <c r="Q1018" i="2"/>
  <c r="O1018" i="2"/>
  <c r="M1018" i="2"/>
  <c r="L1018" i="2"/>
  <c r="N1018" i="2" s="1"/>
  <c r="P1018" i="2" s="1"/>
  <c r="R1017" i="2"/>
  <c r="T1017" i="2" s="1"/>
  <c r="Q1017" i="2"/>
  <c r="O1017" i="2"/>
  <c r="M1017" i="2"/>
  <c r="L1017" i="2"/>
  <c r="N1017" i="2" s="1"/>
  <c r="P1017" i="2" s="1"/>
  <c r="R1016" i="2"/>
  <c r="T1016" i="2" s="1"/>
  <c r="Q1016" i="2"/>
  <c r="O1016" i="2"/>
  <c r="M1016" i="2"/>
  <c r="L1016" i="2"/>
  <c r="N1016" i="2" s="1"/>
  <c r="P1016" i="2" s="1"/>
  <c r="R1015" i="2"/>
  <c r="T1015" i="2" s="1"/>
  <c r="Q1015" i="2"/>
  <c r="O1015" i="2"/>
  <c r="M1015" i="2"/>
  <c r="L1015" i="2"/>
  <c r="N1015" i="2" s="1"/>
  <c r="P1015" i="2" s="1"/>
  <c r="R1014" i="2"/>
  <c r="T1014" i="2" s="1"/>
  <c r="Q1014" i="2"/>
  <c r="O1014" i="2"/>
  <c r="M1014" i="2"/>
  <c r="L1014" i="2"/>
  <c r="N1014" i="2" s="1"/>
  <c r="P1014" i="2" s="1"/>
  <c r="R1013" i="2"/>
  <c r="T1013" i="2" s="1"/>
  <c r="Q1013" i="2"/>
  <c r="O1013" i="2"/>
  <c r="M1013" i="2"/>
  <c r="L1013" i="2"/>
  <c r="N1013" i="2" s="1"/>
  <c r="P1013" i="2" s="1"/>
  <c r="R1012" i="2"/>
  <c r="T1012" i="2" s="1"/>
  <c r="Q1012" i="2"/>
  <c r="O1012" i="2"/>
  <c r="M1012" i="2"/>
  <c r="L1012" i="2"/>
  <c r="N1012" i="2" s="1"/>
  <c r="P1012" i="2" s="1"/>
  <c r="R1011" i="2"/>
  <c r="T1011" i="2" s="1"/>
  <c r="Q1011" i="2"/>
  <c r="O1011" i="2"/>
  <c r="M1011" i="2"/>
  <c r="L1011" i="2"/>
  <c r="N1011" i="2" s="1"/>
  <c r="P1011" i="2" s="1"/>
  <c r="R1010" i="2"/>
  <c r="T1010" i="2" s="1"/>
  <c r="Q1010" i="2"/>
  <c r="O1010" i="2"/>
  <c r="M1010" i="2"/>
  <c r="L1010" i="2"/>
  <c r="N1010" i="2" s="1"/>
  <c r="P1010" i="2" s="1"/>
  <c r="R1009" i="2"/>
  <c r="T1009" i="2" s="1"/>
  <c r="Q1009" i="2"/>
  <c r="O1009" i="2"/>
  <c r="M1009" i="2"/>
  <c r="L1009" i="2"/>
  <c r="N1009" i="2" s="1"/>
  <c r="P1009" i="2" s="1"/>
  <c r="R1008" i="2"/>
  <c r="T1008" i="2" s="1"/>
  <c r="Q1008" i="2"/>
  <c r="O1008" i="2"/>
  <c r="M1008" i="2"/>
  <c r="L1008" i="2"/>
  <c r="N1008" i="2" s="1"/>
  <c r="P1008" i="2" s="1"/>
  <c r="R1007" i="2"/>
  <c r="T1007" i="2" s="1"/>
  <c r="Q1007" i="2"/>
  <c r="O1007" i="2"/>
  <c r="M1007" i="2"/>
  <c r="L1007" i="2"/>
  <c r="N1007" i="2" s="1"/>
  <c r="P1007" i="2" s="1"/>
  <c r="R1006" i="2"/>
  <c r="T1006" i="2" s="1"/>
  <c r="Q1006" i="2"/>
  <c r="O1006" i="2"/>
  <c r="M1006" i="2"/>
  <c r="L1006" i="2"/>
  <c r="N1006" i="2" s="1"/>
  <c r="P1006" i="2" s="1"/>
  <c r="R1005" i="2"/>
  <c r="T1005" i="2" s="1"/>
  <c r="Q1005" i="2"/>
  <c r="O1005" i="2"/>
  <c r="M1005" i="2"/>
  <c r="L1005" i="2"/>
  <c r="N1005" i="2" s="1"/>
  <c r="P1005" i="2" s="1"/>
  <c r="R1004" i="2"/>
  <c r="T1004" i="2" s="1"/>
  <c r="Q1004" i="2"/>
  <c r="O1004" i="2"/>
  <c r="M1004" i="2"/>
  <c r="L1004" i="2"/>
  <c r="N1004" i="2" s="1"/>
  <c r="P1004" i="2" s="1"/>
  <c r="R1003" i="2"/>
  <c r="T1003" i="2" s="1"/>
  <c r="Q1003" i="2"/>
  <c r="O1003" i="2"/>
  <c r="M1003" i="2"/>
  <c r="L1003" i="2"/>
  <c r="N1003" i="2" s="1"/>
  <c r="P1003" i="2" s="1"/>
  <c r="R1002" i="2"/>
  <c r="T1002" i="2" s="1"/>
  <c r="Q1002" i="2"/>
  <c r="O1002" i="2"/>
  <c r="M1002" i="2"/>
  <c r="L1002" i="2"/>
  <c r="N1002" i="2" s="1"/>
  <c r="P1002" i="2" s="1"/>
  <c r="R1001" i="2"/>
  <c r="T1001" i="2" s="1"/>
  <c r="Q1001" i="2"/>
  <c r="O1001" i="2"/>
  <c r="M1001" i="2"/>
  <c r="L1001" i="2"/>
  <c r="N1001" i="2" s="1"/>
  <c r="P1001" i="2" s="1"/>
  <c r="R1000" i="2"/>
  <c r="T1000" i="2" s="1"/>
  <c r="Q1000" i="2"/>
  <c r="O1000" i="2"/>
  <c r="M1000" i="2"/>
  <c r="L1000" i="2"/>
  <c r="N1000" i="2" s="1"/>
  <c r="P1000" i="2" s="1"/>
  <c r="R999" i="2"/>
  <c r="T999" i="2" s="1"/>
  <c r="Q999" i="2"/>
  <c r="O999" i="2"/>
  <c r="M999" i="2"/>
  <c r="L999" i="2"/>
  <c r="N999" i="2" s="1"/>
  <c r="P999" i="2" s="1"/>
  <c r="R998" i="2"/>
  <c r="T998" i="2" s="1"/>
  <c r="Q998" i="2"/>
  <c r="O998" i="2"/>
  <c r="M998" i="2"/>
  <c r="L998" i="2"/>
  <c r="N998" i="2" s="1"/>
  <c r="P998" i="2" s="1"/>
  <c r="R997" i="2"/>
  <c r="T997" i="2" s="1"/>
  <c r="Q997" i="2"/>
  <c r="O997" i="2"/>
  <c r="M997" i="2"/>
  <c r="L997" i="2"/>
  <c r="N997" i="2" s="1"/>
  <c r="P997" i="2" s="1"/>
  <c r="R996" i="2"/>
  <c r="T996" i="2" s="1"/>
  <c r="Q996" i="2"/>
  <c r="O996" i="2"/>
  <c r="M996" i="2"/>
  <c r="L996" i="2"/>
  <c r="N996" i="2" s="1"/>
  <c r="P996" i="2" s="1"/>
  <c r="R995" i="2"/>
  <c r="T995" i="2" s="1"/>
  <c r="Q995" i="2"/>
  <c r="O995" i="2"/>
  <c r="M995" i="2"/>
  <c r="L995" i="2"/>
  <c r="N995" i="2" s="1"/>
  <c r="P995" i="2" s="1"/>
  <c r="R994" i="2"/>
  <c r="T994" i="2" s="1"/>
  <c r="Q994" i="2"/>
  <c r="O994" i="2"/>
  <c r="M994" i="2"/>
  <c r="L994" i="2"/>
  <c r="N994" i="2" s="1"/>
  <c r="P994" i="2" s="1"/>
  <c r="R993" i="2"/>
  <c r="T993" i="2" s="1"/>
  <c r="Q993" i="2"/>
  <c r="O993" i="2"/>
  <c r="M993" i="2"/>
  <c r="L993" i="2"/>
  <c r="N993" i="2" s="1"/>
  <c r="P993" i="2" s="1"/>
  <c r="R992" i="2"/>
  <c r="T992" i="2" s="1"/>
  <c r="Q992" i="2"/>
  <c r="O992" i="2"/>
  <c r="M992" i="2"/>
  <c r="L992" i="2"/>
  <c r="N992" i="2" s="1"/>
  <c r="P992" i="2" s="1"/>
  <c r="R991" i="2"/>
  <c r="T991" i="2" s="1"/>
  <c r="Q991" i="2"/>
  <c r="O991" i="2"/>
  <c r="M991" i="2"/>
  <c r="L991" i="2"/>
  <c r="N991" i="2" s="1"/>
  <c r="P991" i="2" s="1"/>
  <c r="R990" i="2"/>
  <c r="T990" i="2" s="1"/>
  <c r="Q990" i="2"/>
  <c r="O990" i="2"/>
  <c r="M990" i="2"/>
  <c r="L990" i="2"/>
  <c r="N990" i="2" s="1"/>
  <c r="P990" i="2" s="1"/>
  <c r="R989" i="2"/>
  <c r="T989" i="2" s="1"/>
  <c r="Q989" i="2"/>
  <c r="O989" i="2"/>
  <c r="M989" i="2"/>
  <c r="L989" i="2"/>
  <c r="N989" i="2" s="1"/>
  <c r="P989" i="2" s="1"/>
  <c r="R988" i="2"/>
  <c r="T988" i="2" s="1"/>
  <c r="Q988" i="2"/>
  <c r="O988" i="2"/>
  <c r="M988" i="2"/>
  <c r="L988" i="2"/>
  <c r="N988" i="2" s="1"/>
  <c r="P988" i="2" s="1"/>
  <c r="R987" i="2"/>
  <c r="T987" i="2" s="1"/>
  <c r="Q987" i="2"/>
  <c r="O987" i="2"/>
  <c r="M987" i="2"/>
  <c r="L987" i="2"/>
  <c r="N987" i="2" s="1"/>
  <c r="P987" i="2" s="1"/>
  <c r="R986" i="2"/>
  <c r="T986" i="2" s="1"/>
  <c r="Q986" i="2"/>
  <c r="O986" i="2"/>
  <c r="M986" i="2"/>
  <c r="L986" i="2"/>
  <c r="N986" i="2" s="1"/>
  <c r="P986" i="2" s="1"/>
  <c r="R985" i="2"/>
  <c r="T985" i="2" s="1"/>
  <c r="Q985" i="2"/>
  <c r="O985" i="2"/>
  <c r="M985" i="2"/>
  <c r="L985" i="2"/>
  <c r="N985" i="2" s="1"/>
  <c r="P985" i="2" s="1"/>
  <c r="R984" i="2"/>
  <c r="T984" i="2" s="1"/>
  <c r="Q984" i="2"/>
  <c r="O984" i="2"/>
  <c r="M984" i="2"/>
  <c r="L984" i="2"/>
  <c r="N984" i="2" s="1"/>
  <c r="P984" i="2" s="1"/>
  <c r="R983" i="2"/>
  <c r="T983" i="2" s="1"/>
  <c r="Q983" i="2"/>
  <c r="O983" i="2"/>
  <c r="M983" i="2"/>
  <c r="L983" i="2"/>
  <c r="N983" i="2" s="1"/>
  <c r="P983" i="2" s="1"/>
  <c r="R982" i="2"/>
  <c r="T982" i="2" s="1"/>
  <c r="Q982" i="2"/>
  <c r="O982" i="2"/>
  <c r="M982" i="2"/>
  <c r="L982" i="2"/>
  <c r="N982" i="2" s="1"/>
  <c r="P982" i="2" s="1"/>
  <c r="R981" i="2"/>
  <c r="T981" i="2" s="1"/>
  <c r="Q981" i="2"/>
  <c r="O981" i="2"/>
  <c r="M981" i="2"/>
  <c r="L981" i="2"/>
  <c r="N981" i="2" s="1"/>
  <c r="P981" i="2" s="1"/>
  <c r="R980" i="2"/>
  <c r="T980" i="2" s="1"/>
  <c r="Q980" i="2"/>
  <c r="O980" i="2"/>
  <c r="M980" i="2"/>
  <c r="L980" i="2"/>
  <c r="N980" i="2" s="1"/>
  <c r="P980" i="2" s="1"/>
  <c r="R979" i="2"/>
  <c r="T979" i="2" s="1"/>
  <c r="Q979" i="2"/>
  <c r="O979" i="2"/>
  <c r="M979" i="2"/>
  <c r="L979" i="2"/>
  <c r="N979" i="2" s="1"/>
  <c r="P979" i="2" s="1"/>
  <c r="R978" i="2"/>
  <c r="T978" i="2" s="1"/>
  <c r="Q978" i="2"/>
  <c r="O978" i="2"/>
  <c r="M978" i="2"/>
  <c r="L978" i="2"/>
  <c r="N978" i="2" s="1"/>
  <c r="P978" i="2" s="1"/>
  <c r="R977" i="2"/>
  <c r="T977" i="2" s="1"/>
  <c r="Q977" i="2"/>
  <c r="O977" i="2"/>
  <c r="M977" i="2"/>
  <c r="L977" i="2"/>
  <c r="N977" i="2" s="1"/>
  <c r="P977" i="2" s="1"/>
  <c r="R976" i="2"/>
  <c r="T976" i="2" s="1"/>
  <c r="Q976" i="2"/>
  <c r="O976" i="2"/>
  <c r="M976" i="2"/>
  <c r="L976" i="2"/>
  <c r="N976" i="2" s="1"/>
  <c r="P976" i="2" s="1"/>
  <c r="R975" i="2"/>
  <c r="T975" i="2" s="1"/>
  <c r="Q975" i="2"/>
  <c r="O975" i="2"/>
  <c r="M975" i="2"/>
  <c r="L975" i="2"/>
  <c r="N975" i="2" s="1"/>
  <c r="P975" i="2" s="1"/>
  <c r="R974" i="2"/>
  <c r="T974" i="2" s="1"/>
  <c r="Q974" i="2"/>
  <c r="O974" i="2"/>
  <c r="M974" i="2"/>
  <c r="L974" i="2"/>
  <c r="N974" i="2" s="1"/>
  <c r="P974" i="2" s="1"/>
  <c r="R973" i="2"/>
  <c r="T973" i="2" s="1"/>
  <c r="Q973" i="2"/>
  <c r="O973" i="2"/>
  <c r="M973" i="2"/>
  <c r="L973" i="2"/>
  <c r="N973" i="2" s="1"/>
  <c r="P973" i="2" s="1"/>
  <c r="R972" i="2"/>
  <c r="T972" i="2" s="1"/>
  <c r="Q972" i="2"/>
  <c r="O972" i="2"/>
  <c r="M972" i="2"/>
  <c r="L972" i="2"/>
  <c r="N972" i="2" s="1"/>
  <c r="P972" i="2" s="1"/>
  <c r="R971" i="2"/>
  <c r="T971" i="2" s="1"/>
  <c r="Q971" i="2"/>
  <c r="O971" i="2"/>
  <c r="M971" i="2"/>
  <c r="L971" i="2"/>
  <c r="N971" i="2" s="1"/>
  <c r="P971" i="2" s="1"/>
  <c r="R970" i="2"/>
  <c r="T970" i="2" s="1"/>
  <c r="Q970" i="2"/>
  <c r="O970" i="2"/>
  <c r="M970" i="2"/>
  <c r="L970" i="2"/>
  <c r="N970" i="2" s="1"/>
  <c r="P970" i="2" s="1"/>
  <c r="R969" i="2"/>
  <c r="T969" i="2" s="1"/>
  <c r="Q969" i="2"/>
  <c r="O969" i="2"/>
  <c r="M969" i="2"/>
  <c r="L969" i="2"/>
  <c r="N969" i="2" s="1"/>
  <c r="P969" i="2" s="1"/>
  <c r="R968" i="2"/>
  <c r="T968" i="2" s="1"/>
  <c r="Q968" i="2"/>
  <c r="O968" i="2"/>
  <c r="M968" i="2"/>
  <c r="L968" i="2"/>
  <c r="N968" i="2" s="1"/>
  <c r="P968" i="2" s="1"/>
  <c r="R967" i="2"/>
  <c r="T967" i="2" s="1"/>
  <c r="Q967" i="2"/>
  <c r="O967" i="2"/>
  <c r="M967" i="2"/>
  <c r="L967" i="2"/>
  <c r="N967" i="2" s="1"/>
  <c r="P967" i="2" s="1"/>
  <c r="R966" i="2"/>
  <c r="T966" i="2" s="1"/>
  <c r="Q966" i="2"/>
  <c r="O966" i="2"/>
  <c r="M966" i="2"/>
  <c r="L966" i="2"/>
  <c r="N966" i="2" s="1"/>
  <c r="P966" i="2" s="1"/>
  <c r="R965" i="2"/>
  <c r="T965" i="2" s="1"/>
  <c r="Q965" i="2"/>
  <c r="O965" i="2"/>
  <c r="M965" i="2"/>
  <c r="L965" i="2"/>
  <c r="N965" i="2" s="1"/>
  <c r="P965" i="2" s="1"/>
  <c r="R964" i="2"/>
  <c r="T964" i="2" s="1"/>
  <c r="Q964" i="2"/>
  <c r="O964" i="2"/>
  <c r="M964" i="2"/>
  <c r="L964" i="2"/>
  <c r="N964" i="2" s="1"/>
  <c r="P964" i="2" s="1"/>
  <c r="R963" i="2"/>
  <c r="T963" i="2" s="1"/>
  <c r="Q963" i="2"/>
  <c r="O963" i="2"/>
  <c r="M963" i="2"/>
  <c r="L963" i="2"/>
  <c r="N963" i="2" s="1"/>
  <c r="P963" i="2" s="1"/>
  <c r="R962" i="2"/>
  <c r="T962" i="2" s="1"/>
  <c r="Q962" i="2"/>
  <c r="O962" i="2"/>
  <c r="M962" i="2"/>
  <c r="L962" i="2"/>
  <c r="N962" i="2" s="1"/>
  <c r="P962" i="2" s="1"/>
  <c r="R961" i="2"/>
  <c r="T961" i="2" s="1"/>
  <c r="Q961" i="2"/>
  <c r="O961" i="2"/>
  <c r="M961" i="2"/>
  <c r="L961" i="2"/>
  <c r="N961" i="2" s="1"/>
  <c r="P961" i="2" s="1"/>
  <c r="R960" i="2"/>
  <c r="T960" i="2" s="1"/>
  <c r="Q960" i="2"/>
  <c r="O960" i="2"/>
  <c r="M960" i="2"/>
  <c r="L960" i="2"/>
  <c r="N960" i="2" s="1"/>
  <c r="P960" i="2" s="1"/>
  <c r="R959" i="2"/>
  <c r="T959" i="2" s="1"/>
  <c r="Q959" i="2"/>
  <c r="O959" i="2"/>
  <c r="M959" i="2"/>
  <c r="L959" i="2"/>
  <c r="N959" i="2" s="1"/>
  <c r="P959" i="2" s="1"/>
  <c r="R958" i="2"/>
  <c r="T958" i="2" s="1"/>
  <c r="Q958" i="2"/>
  <c r="O958" i="2"/>
  <c r="M958" i="2"/>
  <c r="L958" i="2"/>
  <c r="N958" i="2" s="1"/>
  <c r="P958" i="2" s="1"/>
  <c r="R957" i="2"/>
  <c r="T957" i="2" s="1"/>
  <c r="Q957" i="2"/>
  <c r="O957" i="2"/>
  <c r="M957" i="2"/>
  <c r="L957" i="2"/>
  <c r="N957" i="2" s="1"/>
  <c r="P957" i="2" s="1"/>
  <c r="R956" i="2"/>
  <c r="T956" i="2" s="1"/>
  <c r="Q956" i="2"/>
  <c r="O956" i="2"/>
  <c r="M956" i="2"/>
  <c r="L956" i="2"/>
  <c r="N956" i="2" s="1"/>
  <c r="P956" i="2" s="1"/>
  <c r="R955" i="2"/>
  <c r="T955" i="2" s="1"/>
  <c r="Q955" i="2"/>
  <c r="O955" i="2"/>
  <c r="M955" i="2"/>
  <c r="L955" i="2"/>
  <c r="N955" i="2" s="1"/>
  <c r="P955" i="2" s="1"/>
  <c r="R954" i="2"/>
  <c r="T954" i="2" s="1"/>
  <c r="Q954" i="2"/>
  <c r="O954" i="2"/>
  <c r="M954" i="2"/>
  <c r="L954" i="2"/>
  <c r="N954" i="2" s="1"/>
  <c r="P954" i="2" s="1"/>
  <c r="R953" i="2"/>
  <c r="T953" i="2" s="1"/>
  <c r="Q953" i="2"/>
  <c r="O953" i="2"/>
  <c r="M953" i="2"/>
  <c r="L953" i="2"/>
  <c r="N953" i="2" s="1"/>
  <c r="P953" i="2" s="1"/>
  <c r="R952" i="2"/>
  <c r="T952" i="2" s="1"/>
  <c r="Q952" i="2"/>
  <c r="O952" i="2"/>
  <c r="M952" i="2"/>
  <c r="L952" i="2"/>
  <c r="N952" i="2" s="1"/>
  <c r="P952" i="2" s="1"/>
  <c r="R951" i="2"/>
  <c r="T951" i="2" s="1"/>
  <c r="Q951" i="2"/>
  <c r="O951" i="2"/>
  <c r="M951" i="2"/>
  <c r="L951" i="2"/>
  <c r="N951" i="2" s="1"/>
  <c r="P951" i="2" s="1"/>
  <c r="R950" i="2"/>
  <c r="T950" i="2" s="1"/>
  <c r="Q950" i="2"/>
  <c r="O950" i="2"/>
  <c r="M950" i="2"/>
  <c r="L950" i="2"/>
  <c r="N950" i="2" s="1"/>
  <c r="P950" i="2" s="1"/>
  <c r="R949" i="2"/>
  <c r="T949" i="2" s="1"/>
  <c r="Q949" i="2"/>
  <c r="O949" i="2"/>
  <c r="M949" i="2"/>
  <c r="L949" i="2"/>
  <c r="N949" i="2" s="1"/>
  <c r="P949" i="2" s="1"/>
  <c r="R948" i="2"/>
  <c r="T948" i="2" s="1"/>
  <c r="Q948" i="2"/>
  <c r="O948" i="2"/>
  <c r="M948" i="2"/>
  <c r="L948" i="2"/>
  <c r="N948" i="2" s="1"/>
  <c r="P948" i="2" s="1"/>
  <c r="R947" i="2"/>
  <c r="T947" i="2" s="1"/>
  <c r="Q947" i="2"/>
  <c r="O947" i="2"/>
  <c r="M947" i="2"/>
  <c r="L947" i="2"/>
  <c r="N947" i="2" s="1"/>
  <c r="P947" i="2" s="1"/>
  <c r="R946" i="2"/>
  <c r="T946" i="2" s="1"/>
  <c r="Q946" i="2"/>
  <c r="O946" i="2"/>
  <c r="M946" i="2"/>
  <c r="L946" i="2"/>
  <c r="N946" i="2" s="1"/>
  <c r="P946" i="2" s="1"/>
  <c r="R945" i="2"/>
  <c r="T945" i="2" s="1"/>
  <c r="Q945" i="2"/>
  <c r="O945" i="2"/>
  <c r="M945" i="2"/>
  <c r="L945" i="2"/>
  <c r="N945" i="2" s="1"/>
  <c r="P945" i="2" s="1"/>
  <c r="R944" i="2"/>
  <c r="T944" i="2" s="1"/>
  <c r="Q944" i="2"/>
  <c r="O944" i="2"/>
  <c r="M944" i="2"/>
  <c r="L944" i="2"/>
  <c r="N944" i="2" s="1"/>
  <c r="P944" i="2" s="1"/>
  <c r="R943" i="2"/>
  <c r="T943" i="2" s="1"/>
  <c r="Q943" i="2"/>
  <c r="O943" i="2"/>
  <c r="M943" i="2"/>
  <c r="L943" i="2"/>
  <c r="N943" i="2" s="1"/>
  <c r="P943" i="2" s="1"/>
  <c r="R942" i="2"/>
  <c r="T942" i="2" s="1"/>
  <c r="Q942" i="2"/>
  <c r="O942" i="2"/>
  <c r="M942" i="2"/>
  <c r="L942" i="2"/>
  <c r="N942" i="2" s="1"/>
  <c r="P942" i="2" s="1"/>
  <c r="R941" i="2"/>
  <c r="T941" i="2" s="1"/>
  <c r="Q941" i="2"/>
  <c r="O941" i="2"/>
  <c r="M941" i="2"/>
  <c r="L941" i="2"/>
  <c r="N941" i="2" s="1"/>
  <c r="P941" i="2" s="1"/>
  <c r="R940" i="2"/>
  <c r="T940" i="2" s="1"/>
  <c r="Q940" i="2"/>
  <c r="O940" i="2"/>
  <c r="M940" i="2"/>
  <c r="L940" i="2"/>
  <c r="N940" i="2" s="1"/>
  <c r="P940" i="2" s="1"/>
  <c r="R939" i="2"/>
  <c r="T939" i="2" s="1"/>
  <c r="Q939" i="2"/>
  <c r="O939" i="2"/>
  <c r="M939" i="2"/>
  <c r="L939" i="2"/>
  <c r="N939" i="2" s="1"/>
  <c r="P939" i="2" s="1"/>
  <c r="R938" i="2"/>
  <c r="T938" i="2" s="1"/>
  <c r="Q938" i="2"/>
  <c r="O938" i="2"/>
  <c r="M938" i="2"/>
  <c r="L938" i="2"/>
  <c r="N938" i="2" s="1"/>
  <c r="P938" i="2" s="1"/>
  <c r="R937" i="2"/>
  <c r="T937" i="2" s="1"/>
  <c r="Q937" i="2"/>
  <c r="O937" i="2"/>
  <c r="M937" i="2"/>
  <c r="L937" i="2"/>
  <c r="N937" i="2" s="1"/>
  <c r="P937" i="2" s="1"/>
  <c r="R936" i="2"/>
  <c r="Q936" i="2"/>
  <c r="O936" i="2"/>
  <c r="M936" i="2"/>
  <c r="L936" i="2"/>
  <c r="N936" i="2" s="1"/>
  <c r="P936" i="2" s="1"/>
  <c r="R935" i="2"/>
  <c r="S935" i="2" s="1"/>
  <c r="Q935" i="2"/>
  <c r="O935" i="2"/>
  <c r="M935" i="2"/>
  <c r="L935" i="2"/>
  <c r="N935" i="2" s="1"/>
  <c r="P935" i="2" s="1"/>
  <c r="R934" i="2"/>
  <c r="T934" i="2" s="1"/>
  <c r="Q934" i="2"/>
  <c r="O934" i="2"/>
  <c r="M934" i="2"/>
  <c r="L934" i="2"/>
  <c r="N934" i="2" s="1"/>
  <c r="P934" i="2" s="1"/>
  <c r="R933" i="2"/>
  <c r="T933" i="2" s="1"/>
  <c r="Q933" i="2"/>
  <c r="O933" i="2"/>
  <c r="M933" i="2"/>
  <c r="L933" i="2"/>
  <c r="N933" i="2" s="1"/>
  <c r="P933" i="2" s="1"/>
  <c r="R932" i="2"/>
  <c r="T932" i="2" s="1"/>
  <c r="Q932" i="2"/>
  <c r="O932" i="2"/>
  <c r="M932" i="2"/>
  <c r="L932" i="2"/>
  <c r="N932" i="2" s="1"/>
  <c r="P932" i="2" s="1"/>
  <c r="R931" i="2"/>
  <c r="T931" i="2" s="1"/>
  <c r="Q931" i="2"/>
  <c r="O931" i="2"/>
  <c r="M931" i="2"/>
  <c r="L931" i="2"/>
  <c r="N931" i="2" s="1"/>
  <c r="P931" i="2" s="1"/>
  <c r="R930" i="2"/>
  <c r="T930" i="2" s="1"/>
  <c r="Q930" i="2"/>
  <c r="O930" i="2"/>
  <c r="M930" i="2"/>
  <c r="L930" i="2"/>
  <c r="N930" i="2" s="1"/>
  <c r="P930" i="2" s="1"/>
  <c r="R929" i="2"/>
  <c r="Q929" i="2"/>
  <c r="O929" i="2"/>
  <c r="M929" i="2"/>
  <c r="L929" i="2"/>
  <c r="N929" i="2" s="1"/>
  <c r="P929" i="2" s="1"/>
  <c r="R928" i="2"/>
  <c r="Q928" i="2"/>
  <c r="O928" i="2"/>
  <c r="M928" i="2"/>
  <c r="L928" i="2"/>
  <c r="N928" i="2" s="1"/>
  <c r="P928" i="2" s="1"/>
  <c r="R927" i="2"/>
  <c r="S927" i="2" s="1"/>
  <c r="Q927" i="2"/>
  <c r="O927" i="2"/>
  <c r="M927" i="2"/>
  <c r="L927" i="2"/>
  <c r="N927" i="2" s="1"/>
  <c r="P927" i="2" s="1"/>
  <c r="R926" i="2"/>
  <c r="T926" i="2" s="1"/>
  <c r="Q926" i="2"/>
  <c r="O926" i="2"/>
  <c r="M926" i="2"/>
  <c r="L926" i="2"/>
  <c r="N926" i="2" s="1"/>
  <c r="P926" i="2" s="1"/>
  <c r="R925" i="2"/>
  <c r="Q925" i="2"/>
  <c r="O925" i="2"/>
  <c r="M925" i="2"/>
  <c r="L925" i="2"/>
  <c r="N925" i="2" s="1"/>
  <c r="P925" i="2" s="1"/>
  <c r="R924" i="2"/>
  <c r="T924" i="2" s="1"/>
  <c r="Q924" i="2"/>
  <c r="O924" i="2"/>
  <c r="M924" i="2"/>
  <c r="L924" i="2"/>
  <c r="N924" i="2" s="1"/>
  <c r="P924" i="2" s="1"/>
  <c r="R923" i="2"/>
  <c r="T923" i="2" s="1"/>
  <c r="Q923" i="2"/>
  <c r="O923" i="2"/>
  <c r="M923" i="2"/>
  <c r="L923" i="2"/>
  <c r="N923" i="2" s="1"/>
  <c r="P923" i="2" s="1"/>
  <c r="R922" i="2"/>
  <c r="T922" i="2" s="1"/>
  <c r="Q922" i="2"/>
  <c r="O922" i="2"/>
  <c r="M922" i="2"/>
  <c r="L922" i="2"/>
  <c r="N922" i="2" s="1"/>
  <c r="P922" i="2" s="1"/>
  <c r="R921" i="2"/>
  <c r="Q921" i="2"/>
  <c r="O921" i="2"/>
  <c r="M921" i="2"/>
  <c r="L921" i="2"/>
  <c r="N921" i="2" s="1"/>
  <c r="P921" i="2" s="1"/>
  <c r="R920" i="2"/>
  <c r="T920" i="2" s="1"/>
  <c r="Q920" i="2"/>
  <c r="O920" i="2"/>
  <c r="M920" i="2"/>
  <c r="L920" i="2"/>
  <c r="N920" i="2" s="1"/>
  <c r="P920" i="2" s="1"/>
  <c r="R919" i="2"/>
  <c r="S919" i="2" s="1"/>
  <c r="Q919" i="2"/>
  <c r="O919" i="2"/>
  <c r="M919" i="2"/>
  <c r="L919" i="2"/>
  <c r="N919" i="2" s="1"/>
  <c r="P919" i="2" s="1"/>
  <c r="R918" i="2"/>
  <c r="T918" i="2" s="1"/>
  <c r="Q918" i="2"/>
  <c r="O918" i="2"/>
  <c r="M918" i="2"/>
  <c r="L918" i="2"/>
  <c r="N918" i="2" s="1"/>
  <c r="P918" i="2" s="1"/>
  <c r="R917" i="2"/>
  <c r="T917" i="2" s="1"/>
  <c r="Q917" i="2"/>
  <c r="O917" i="2"/>
  <c r="M917" i="2"/>
  <c r="L917" i="2"/>
  <c r="N917" i="2" s="1"/>
  <c r="P917" i="2" s="1"/>
  <c r="R916" i="2"/>
  <c r="T916" i="2" s="1"/>
  <c r="Q916" i="2"/>
  <c r="O916" i="2"/>
  <c r="M916" i="2"/>
  <c r="L916" i="2"/>
  <c r="N916" i="2" s="1"/>
  <c r="P916" i="2" s="1"/>
  <c r="R915" i="2"/>
  <c r="T915" i="2" s="1"/>
  <c r="Q915" i="2"/>
  <c r="O915" i="2"/>
  <c r="M915" i="2"/>
  <c r="L915" i="2"/>
  <c r="N915" i="2" s="1"/>
  <c r="P915" i="2" s="1"/>
  <c r="R914" i="2"/>
  <c r="T914" i="2" s="1"/>
  <c r="Q914" i="2"/>
  <c r="O914" i="2"/>
  <c r="M914" i="2"/>
  <c r="L914" i="2"/>
  <c r="N914" i="2" s="1"/>
  <c r="P914" i="2" s="1"/>
  <c r="R913" i="2"/>
  <c r="Q913" i="2"/>
  <c r="O913" i="2"/>
  <c r="M913" i="2"/>
  <c r="L913" i="2"/>
  <c r="N913" i="2" s="1"/>
  <c r="P913" i="2" s="1"/>
  <c r="R912" i="2"/>
  <c r="Q912" i="2"/>
  <c r="O912" i="2"/>
  <c r="M912" i="2"/>
  <c r="L912" i="2"/>
  <c r="N912" i="2" s="1"/>
  <c r="P912" i="2" s="1"/>
  <c r="R911" i="2"/>
  <c r="Q911" i="2"/>
  <c r="O911" i="2"/>
  <c r="M911" i="2"/>
  <c r="L911" i="2"/>
  <c r="N911" i="2" s="1"/>
  <c r="P911" i="2" s="1"/>
  <c r="R910" i="2"/>
  <c r="T910" i="2" s="1"/>
  <c r="Q910" i="2"/>
  <c r="O910" i="2"/>
  <c r="M910" i="2"/>
  <c r="L910" i="2"/>
  <c r="N910" i="2" s="1"/>
  <c r="P910" i="2" s="1"/>
  <c r="R909" i="2"/>
  <c r="Q909" i="2"/>
  <c r="O909" i="2"/>
  <c r="M909" i="2"/>
  <c r="L909" i="2"/>
  <c r="N909" i="2" s="1"/>
  <c r="P909" i="2" s="1"/>
  <c r="R908" i="2"/>
  <c r="T908" i="2" s="1"/>
  <c r="Q908" i="2"/>
  <c r="O908" i="2"/>
  <c r="M908" i="2"/>
  <c r="L908" i="2"/>
  <c r="N908" i="2" s="1"/>
  <c r="P908" i="2" s="1"/>
  <c r="R907" i="2"/>
  <c r="T907" i="2" s="1"/>
  <c r="Q907" i="2"/>
  <c r="O907" i="2"/>
  <c r="M907" i="2"/>
  <c r="L907" i="2"/>
  <c r="N907" i="2" s="1"/>
  <c r="P907" i="2" s="1"/>
  <c r="R906" i="2"/>
  <c r="T906" i="2" s="1"/>
  <c r="Q906" i="2"/>
  <c r="O906" i="2"/>
  <c r="M906" i="2"/>
  <c r="L906" i="2"/>
  <c r="N906" i="2" s="1"/>
  <c r="P906" i="2" s="1"/>
  <c r="R905" i="2"/>
  <c r="Q905" i="2"/>
  <c r="O905" i="2"/>
  <c r="M905" i="2"/>
  <c r="L905" i="2"/>
  <c r="N905" i="2" s="1"/>
  <c r="P905" i="2" s="1"/>
  <c r="R904" i="2"/>
  <c r="Q904" i="2"/>
  <c r="O904" i="2"/>
  <c r="M904" i="2"/>
  <c r="L904" i="2"/>
  <c r="N904" i="2" s="1"/>
  <c r="P904" i="2" s="1"/>
  <c r="R903" i="2"/>
  <c r="S903" i="2" s="1"/>
  <c r="Q903" i="2"/>
  <c r="O903" i="2"/>
  <c r="M903" i="2"/>
  <c r="L903" i="2"/>
  <c r="N903" i="2" s="1"/>
  <c r="P903" i="2" s="1"/>
  <c r="R902" i="2"/>
  <c r="T902" i="2" s="1"/>
  <c r="Q902" i="2"/>
  <c r="O902" i="2"/>
  <c r="M902" i="2"/>
  <c r="L902" i="2"/>
  <c r="N902" i="2" s="1"/>
  <c r="P902" i="2" s="1"/>
  <c r="R901" i="2"/>
  <c r="T901" i="2" s="1"/>
  <c r="Q901" i="2"/>
  <c r="O901" i="2"/>
  <c r="M901" i="2"/>
  <c r="L901" i="2"/>
  <c r="N901" i="2" s="1"/>
  <c r="P901" i="2" s="1"/>
  <c r="R900" i="2"/>
  <c r="T900" i="2" s="1"/>
  <c r="Q900" i="2"/>
  <c r="O900" i="2"/>
  <c r="M900" i="2"/>
  <c r="L900" i="2"/>
  <c r="N900" i="2" s="1"/>
  <c r="P900" i="2" s="1"/>
  <c r="R899" i="2"/>
  <c r="T899" i="2" s="1"/>
  <c r="Q899" i="2"/>
  <c r="O899" i="2"/>
  <c r="M899" i="2"/>
  <c r="L899" i="2"/>
  <c r="N899" i="2" s="1"/>
  <c r="P899" i="2" s="1"/>
  <c r="R898" i="2"/>
  <c r="T898" i="2" s="1"/>
  <c r="Q898" i="2"/>
  <c r="O898" i="2"/>
  <c r="M898" i="2"/>
  <c r="L898" i="2"/>
  <c r="N898" i="2" s="1"/>
  <c r="P898" i="2" s="1"/>
  <c r="R897" i="2"/>
  <c r="T897" i="2" s="1"/>
  <c r="Q897" i="2"/>
  <c r="O897" i="2"/>
  <c r="M897" i="2"/>
  <c r="L897" i="2"/>
  <c r="N897" i="2" s="1"/>
  <c r="P897" i="2" s="1"/>
  <c r="R896" i="2"/>
  <c r="S896" i="2" s="1"/>
  <c r="Q896" i="2"/>
  <c r="O896" i="2"/>
  <c r="M896" i="2"/>
  <c r="L896" i="2"/>
  <c r="N896" i="2" s="1"/>
  <c r="P896" i="2" s="1"/>
  <c r="R895" i="2"/>
  <c r="S895" i="2" s="1"/>
  <c r="Q895" i="2"/>
  <c r="O895" i="2"/>
  <c r="M895" i="2"/>
  <c r="L895" i="2"/>
  <c r="N895" i="2" s="1"/>
  <c r="P895" i="2" s="1"/>
  <c r="R894" i="2"/>
  <c r="T894" i="2" s="1"/>
  <c r="Q894" i="2"/>
  <c r="O894" i="2"/>
  <c r="M894" i="2"/>
  <c r="L894" i="2"/>
  <c r="N894" i="2" s="1"/>
  <c r="P894" i="2" s="1"/>
  <c r="R893" i="2"/>
  <c r="S893" i="2" s="1"/>
  <c r="Q893" i="2"/>
  <c r="O893" i="2"/>
  <c r="M893" i="2"/>
  <c r="L893" i="2"/>
  <c r="N893" i="2" s="1"/>
  <c r="P893" i="2" s="1"/>
  <c r="R892" i="2"/>
  <c r="T892" i="2" s="1"/>
  <c r="Q892" i="2"/>
  <c r="O892" i="2"/>
  <c r="M892" i="2"/>
  <c r="L892" i="2"/>
  <c r="N892" i="2" s="1"/>
  <c r="P892" i="2" s="1"/>
  <c r="R891" i="2"/>
  <c r="T891" i="2" s="1"/>
  <c r="Q891" i="2"/>
  <c r="O891" i="2"/>
  <c r="M891" i="2"/>
  <c r="L891" i="2"/>
  <c r="N891" i="2" s="1"/>
  <c r="P891" i="2" s="1"/>
  <c r="R890" i="2"/>
  <c r="T890" i="2" s="1"/>
  <c r="Q890" i="2"/>
  <c r="O890" i="2"/>
  <c r="M890" i="2"/>
  <c r="L890" i="2"/>
  <c r="N890" i="2" s="1"/>
  <c r="P890" i="2" s="1"/>
  <c r="R889" i="2"/>
  <c r="T889" i="2" s="1"/>
  <c r="Q889" i="2"/>
  <c r="O889" i="2"/>
  <c r="M889" i="2"/>
  <c r="L889" i="2"/>
  <c r="N889" i="2" s="1"/>
  <c r="P889" i="2" s="1"/>
  <c r="R888" i="2"/>
  <c r="T888" i="2" s="1"/>
  <c r="Q888" i="2"/>
  <c r="O888" i="2"/>
  <c r="M888" i="2"/>
  <c r="L888" i="2"/>
  <c r="N888" i="2" s="1"/>
  <c r="P888" i="2" s="1"/>
  <c r="R887" i="2"/>
  <c r="T887" i="2" s="1"/>
  <c r="Q887" i="2"/>
  <c r="O887" i="2"/>
  <c r="M887" i="2"/>
  <c r="L887" i="2"/>
  <c r="N887" i="2" s="1"/>
  <c r="P887" i="2" s="1"/>
  <c r="R886" i="2"/>
  <c r="T886" i="2" s="1"/>
  <c r="Q886" i="2"/>
  <c r="O886" i="2"/>
  <c r="M886" i="2"/>
  <c r="L886" i="2"/>
  <c r="N886" i="2" s="1"/>
  <c r="P886" i="2" s="1"/>
  <c r="R885" i="2"/>
  <c r="T885" i="2" s="1"/>
  <c r="Q885" i="2"/>
  <c r="O885" i="2"/>
  <c r="M885" i="2"/>
  <c r="L885" i="2"/>
  <c r="N885" i="2" s="1"/>
  <c r="P885" i="2" s="1"/>
  <c r="R884" i="2"/>
  <c r="T884" i="2" s="1"/>
  <c r="Q884" i="2"/>
  <c r="O884" i="2"/>
  <c r="M884" i="2"/>
  <c r="L884" i="2"/>
  <c r="N884" i="2" s="1"/>
  <c r="P884" i="2" s="1"/>
  <c r="R883" i="2"/>
  <c r="T883" i="2" s="1"/>
  <c r="Q883" i="2"/>
  <c r="O883" i="2"/>
  <c r="M883" i="2"/>
  <c r="L883" i="2"/>
  <c r="N883" i="2" s="1"/>
  <c r="P883" i="2" s="1"/>
  <c r="R882" i="2"/>
  <c r="T882" i="2" s="1"/>
  <c r="Q882" i="2"/>
  <c r="O882" i="2"/>
  <c r="M882" i="2"/>
  <c r="L882" i="2"/>
  <c r="N882" i="2" s="1"/>
  <c r="P882" i="2" s="1"/>
  <c r="R881" i="2"/>
  <c r="T881" i="2" s="1"/>
  <c r="Q881" i="2"/>
  <c r="O881" i="2"/>
  <c r="M881" i="2"/>
  <c r="L881" i="2"/>
  <c r="N881" i="2" s="1"/>
  <c r="P881" i="2" s="1"/>
  <c r="R880" i="2"/>
  <c r="T880" i="2" s="1"/>
  <c r="Q880" i="2"/>
  <c r="O880" i="2"/>
  <c r="M880" i="2"/>
  <c r="L880" i="2"/>
  <c r="N880" i="2" s="1"/>
  <c r="P880" i="2" s="1"/>
  <c r="R879" i="2"/>
  <c r="T879" i="2" s="1"/>
  <c r="Q879" i="2"/>
  <c r="O879" i="2"/>
  <c r="M879" i="2"/>
  <c r="L879" i="2"/>
  <c r="N879" i="2" s="1"/>
  <c r="P879" i="2" s="1"/>
  <c r="R878" i="2"/>
  <c r="T878" i="2" s="1"/>
  <c r="Q878" i="2"/>
  <c r="O878" i="2"/>
  <c r="M878" i="2"/>
  <c r="L878" i="2"/>
  <c r="N878" i="2" s="1"/>
  <c r="P878" i="2" s="1"/>
  <c r="R877" i="2"/>
  <c r="T877" i="2" s="1"/>
  <c r="Q877" i="2"/>
  <c r="O877" i="2"/>
  <c r="M877" i="2"/>
  <c r="L877" i="2"/>
  <c r="N877" i="2" s="1"/>
  <c r="P877" i="2" s="1"/>
  <c r="R876" i="2"/>
  <c r="T876" i="2" s="1"/>
  <c r="Q876" i="2"/>
  <c r="O876" i="2"/>
  <c r="M876" i="2"/>
  <c r="L876" i="2"/>
  <c r="N876" i="2" s="1"/>
  <c r="P876" i="2" s="1"/>
  <c r="R875" i="2"/>
  <c r="T875" i="2" s="1"/>
  <c r="Q875" i="2"/>
  <c r="O875" i="2"/>
  <c r="M875" i="2"/>
  <c r="L875" i="2"/>
  <c r="N875" i="2" s="1"/>
  <c r="P875" i="2" s="1"/>
  <c r="R874" i="2"/>
  <c r="T874" i="2" s="1"/>
  <c r="Q874" i="2"/>
  <c r="O874" i="2"/>
  <c r="M874" i="2"/>
  <c r="L874" i="2"/>
  <c r="N874" i="2" s="1"/>
  <c r="P874" i="2" s="1"/>
  <c r="R873" i="2"/>
  <c r="T873" i="2" s="1"/>
  <c r="Q873" i="2"/>
  <c r="O873" i="2"/>
  <c r="M873" i="2"/>
  <c r="L873" i="2"/>
  <c r="N873" i="2" s="1"/>
  <c r="P873" i="2" s="1"/>
  <c r="R872" i="2"/>
  <c r="T872" i="2" s="1"/>
  <c r="Q872" i="2"/>
  <c r="O872" i="2"/>
  <c r="M872" i="2"/>
  <c r="L872" i="2"/>
  <c r="N872" i="2" s="1"/>
  <c r="P872" i="2" s="1"/>
  <c r="R871" i="2"/>
  <c r="T871" i="2" s="1"/>
  <c r="Q871" i="2"/>
  <c r="O871" i="2"/>
  <c r="M871" i="2"/>
  <c r="L871" i="2"/>
  <c r="N871" i="2" s="1"/>
  <c r="P871" i="2" s="1"/>
  <c r="R870" i="2"/>
  <c r="T870" i="2" s="1"/>
  <c r="Q870" i="2"/>
  <c r="O870" i="2"/>
  <c r="M870" i="2"/>
  <c r="L870" i="2"/>
  <c r="N870" i="2" s="1"/>
  <c r="P870" i="2" s="1"/>
  <c r="R869" i="2"/>
  <c r="T869" i="2" s="1"/>
  <c r="Q869" i="2"/>
  <c r="O869" i="2"/>
  <c r="M869" i="2"/>
  <c r="L869" i="2"/>
  <c r="N869" i="2" s="1"/>
  <c r="P869" i="2" s="1"/>
  <c r="R868" i="2"/>
  <c r="T868" i="2" s="1"/>
  <c r="Q868" i="2"/>
  <c r="O868" i="2"/>
  <c r="M868" i="2"/>
  <c r="L868" i="2"/>
  <c r="N868" i="2" s="1"/>
  <c r="P868" i="2" s="1"/>
  <c r="R867" i="2"/>
  <c r="T867" i="2" s="1"/>
  <c r="Q867" i="2"/>
  <c r="O867" i="2"/>
  <c r="M867" i="2"/>
  <c r="L867" i="2"/>
  <c r="N867" i="2" s="1"/>
  <c r="P867" i="2" s="1"/>
  <c r="R866" i="2"/>
  <c r="T866" i="2" s="1"/>
  <c r="Q866" i="2"/>
  <c r="O866" i="2"/>
  <c r="M866" i="2"/>
  <c r="L866" i="2"/>
  <c r="N866" i="2" s="1"/>
  <c r="P866" i="2" s="1"/>
  <c r="R865" i="2"/>
  <c r="T865" i="2" s="1"/>
  <c r="Q865" i="2"/>
  <c r="O865" i="2"/>
  <c r="M865" i="2"/>
  <c r="L865" i="2"/>
  <c r="N865" i="2" s="1"/>
  <c r="P865" i="2" s="1"/>
  <c r="R864" i="2"/>
  <c r="T864" i="2" s="1"/>
  <c r="Q864" i="2"/>
  <c r="O864" i="2"/>
  <c r="M864" i="2"/>
  <c r="L864" i="2"/>
  <c r="N864" i="2" s="1"/>
  <c r="P864" i="2" s="1"/>
  <c r="R863" i="2"/>
  <c r="T863" i="2" s="1"/>
  <c r="Q863" i="2"/>
  <c r="O863" i="2"/>
  <c r="M863" i="2"/>
  <c r="L863" i="2"/>
  <c r="N863" i="2" s="1"/>
  <c r="P863" i="2" s="1"/>
  <c r="R862" i="2"/>
  <c r="T862" i="2" s="1"/>
  <c r="Q862" i="2"/>
  <c r="O862" i="2"/>
  <c r="M862" i="2"/>
  <c r="L862" i="2"/>
  <c r="N862" i="2" s="1"/>
  <c r="P862" i="2" s="1"/>
  <c r="R861" i="2"/>
  <c r="T861" i="2" s="1"/>
  <c r="Q861" i="2"/>
  <c r="O861" i="2"/>
  <c r="M861" i="2"/>
  <c r="L861" i="2"/>
  <c r="N861" i="2" s="1"/>
  <c r="P861" i="2" s="1"/>
  <c r="R860" i="2"/>
  <c r="T860" i="2" s="1"/>
  <c r="Q860" i="2"/>
  <c r="O860" i="2"/>
  <c r="M860" i="2"/>
  <c r="L860" i="2"/>
  <c r="N860" i="2" s="1"/>
  <c r="P860" i="2" s="1"/>
  <c r="R859" i="2"/>
  <c r="T859" i="2" s="1"/>
  <c r="Q859" i="2"/>
  <c r="O859" i="2"/>
  <c r="M859" i="2"/>
  <c r="L859" i="2"/>
  <c r="N859" i="2" s="1"/>
  <c r="P859" i="2" s="1"/>
  <c r="R858" i="2"/>
  <c r="T858" i="2" s="1"/>
  <c r="Q858" i="2"/>
  <c r="O858" i="2"/>
  <c r="M858" i="2"/>
  <c r="L858" i="2"/>
  <c r="N858" i="2" s="1"/>
  <c r="P858" i="2" s="1"/>
  <c r="R857" i="2"/>
  <c r="T857" i="2" s="1"/>
  <c r="Q857" i="2"/>
  <c r="O857" i="2"/>
  <c r="M857" i="2"/>
  <c r="L857" i="2"/>
  <c r="N857" i="2" s="1"/>
  <c r="P857" i="2" s="1"/>
  <c r="R856" i="2"/>
  <c r="T856" i="2" s="1"/>
  <c r="Q856" i="2"/>
  <c r="O856" i="2"/>
  <c r="M856" i="2"/>
  <c r="L856" i="2"/>
  <c r="N856" i="2" s="1"/>
  <c r="P856" i="2" s="1"/>
  <c r="R855" i="2"/>
  <c r="T855" i="2" s="1"/>
  <c r="Q855" i="2"/>
  <c r="O855" i="2"/>
  <c r="M855" i="2"/>
  <c r="L855" i="2"/>
  <c r="N855" i="2" s="1"/>
  <c r="P855" i="2" s="1"/>
  <c r="R854" i="2"/>
  <c r="T854" i="2" s="1"/>
  <c r="Q854" i="2"/>
  <c r="O854" i="2"/>
  <c r="M854" i="2"/>
  <c r="L854" i="2"/>
  <c r="N854" i="2" s="1"/>
  <c r="P854" i="2" s="1"/>
  <c r="R853" i="2"/>
  <c r="T853" i="2" s="1"/>
  <c r="Q853" i="2"/>
  <c r="O853" i="2"/>
  <c r="M853" i="2"/>
  <c r="L853" i="2"/>
  <c r="N853" i="2" s="1"/>
  <c r="P853" i="2" s="1"/>
  <c r="R852" i="2"/>
  <c r="T852" i="2" s="1"/>
  <c r="Q852" i="2"/>
  <c r="O852" i="2"/>
  <c r="M852" i="2"/>
  <c r="L852" i="2"/>
  <c r="N852" i="2" s="1"/>
  <c r="P852" i="2" s="1"/>
  <c r="R851" i="2"/>
  <c r="T851" i="2" s="1"/>
  <c r="Q851" i="2"/>
  <c r="O851" i="2"/>
  <c r="M851" i="2"/>
  <c r="L851" i="2"/>
  <c r="N851" i="2" s="1"/>
  <c r="P851" i="2" s="1"/>
  <c r="R850" i="2"/>
  <c r="T850" i="2" s="1"/>
  <c r="Q850" i="2"/>
  <c r="O850" i="2"/>
  <c r="M850" i="2"/>
  <c r="L850" i="2"/>
  <c r="N850" i="2" s="1"/>
  <c r="P850" i="2" s="1"/>
  <c r="R849" i="2"/>
  <c r="T849" i="2" s="1"/>
  <c r="Q849" i="2"/>
  <c r="O849" i="2"/>
  <c r="M849" i="2"/>
  <c r="L849" i="2"/>
  <c r="N849" i="2" s="1"/>
  <c r="P849" i="2" s="1"/>
  <c r="R848" i="2"/>
  <c r="T848" i="2" s="1"/>
  <c r="Q848" i="2"/>
  <c r="O848" i="2"/>
  <c r="M848" i="2"/>
  <c r="L848" i="2"/>
  <c r="N848" i="2" s="1"/>
  <c r="P848" i="2" s="1"/>
  <c r="R847" i="2"/>
  <c r="T847" i="2" s="1"/>
  <c r="Q847" i="2"/>
  <c r="O847" i="2"/>
  <c r="M847" i="2"/>
  <c r="L847" i="2"/>
  <c r="N847" i="2" s="1"/>
  <c r="P847" i="2" s="1"/>
  <c r="R846" i="2"/>
  <c r="T846" i="2" s="1"/>
  <c r="Q846" i="2"/>
  <c r="O846" i="2"/>
  <c r="M846" i="2"/>
  <c r="L846" i="2"/>
  <c r="N846" i="2" s="1"/>
  <c r="P846" i="2" s="1"/>
  <c r="R845" i="2"/>
  <c r="T845" i="2" s="1"/>
  <c r="Q845" i="2"/>
  <c r="O845" i="2"/>
  <c r="M845" i="2"/>
  <c r="L845" i="2"/>
  <c r="N845" i="2" s="1"/>
  <c r="P845" i="2" s="1"/>
  <c r="R844" i="2"/>
  <c r="T844" i="2" s="1"/>
  <c r="Q844" i="2"/>
  <c r="O844" i="2"/>
  <c r="M844" i="2"/>
  <c r="L844" i="2"/>
  <c r="N844" i="2" s="1"/>
  <c r="P844" i="2" s="1"/>
  <c r="R843" i="2"/>
  <c r="T843" i="2" s="1"/>
  <c r="Q843" i="2"/>
  <c r="O843" i="2"/>
  <c r="M843" i="2"/>
  <c r="L843" i="2"/>
  <c r="N843" i="2" s="1"/>
  <c r="P843" i="2" s="1"/>
  <c r="R842" i="2"/>
  <c r="T842" i="2" s="1"/>
  <c r="Q842" i="2"/>
  <c r="O842" i="2"/>
  <c r="M842" i="2"/>
  <c r="L842" i="2"/>
  <c r="N842" i="2" s="1"/>
  <c r="P842" i="2" s="1"/>
  <c r="R841" i="2"/>
  <c r="T841" i="2" s="1"/>
  <c r="Q841" i="2"/>
  <c r="O841" i="2"/>
  <c r="M841" i="2"/>
  <c r="L841" i="2"/>
  <c r="N841" i="2" s="1"/>
  <c r="P841" i="2" s="1"/>
  <c r="R840" i="2"/>
  <c r="T840" i="2" s="1"/>
  <c r="Q840" i="2"/>
  <c r="O840" i="2"/>
  <c r="M840" i="2"/>
  <c r="L840" i="2"/>
  <c r="N840" i="2" s="1"/>
  <c r="P840" i="2" s="1"/>
  <c r="R839" i="2"/>
  <c r="T839" i="2" s="1"/>
  <c r="Q839" i="2"/>
  <c r="O839" i="2"/>
  <c r="M839" i="2"/>
  <c r="L839" i="2"/>
  <c r="N839" i="2" s="1"/>
  <c r="P839" i="2" s="1"/>
  <c r="R838" i="2"/>
  <c r="T838" i="2" s="1"/>
  <c r="Q838" i="2"/>
  <c r="O838" i="2"/>
  <c r="M838" i="2"/>
  <c r="L838" i="2"/>
  <c r="N838" i="2" s="1"/>
  <c r="P838" i="2" s="1"/>
  <c r="R837" i="2"/>
  <c r="T837" i="2" s="1"/>
  <c r="Q837" i="2"/>
  <c r="O837" i="2"/>
  <c r="M837" i="2"/>
  <c r="L837" i="2"/>
  <c r="N837" i="2" s="1"/>
  <c r="P837" i="2" s="1"/>
  <c r="R836" i="2"/>
  <c r="T836" i="2" s="1"/>
  <c r="Q836" i="2"/>
  <c r="O836" i="2"/>
  <c r="M836" i="2"/>
  <c r="L836" i="2"/>
  <c r="N836" i="2" s="1"/>
  <c r="P836" i="2" s="1"/>
  <c r="R835" i="2"/>
  <c r="T835" i="2" s="1"/>
  <c r="Q835" i="2"/>
  <c r="O835" i="2"/>
  <c r="M835" i="2"/>
  <c r="L835" i="2"/>
  <c r="N835" i="2" s="1"/>
  <c r="P835" i="2" s="1"/>
  <c r="R834" i="2"/>
  <c r="T834" i="2" s="1"/>
  <c r="Q834" i="2"/>
  <c r="O834" i="2"/>
  <c r="M834" i="2"/>
  <c r="L834" i="2"/>
  <c r="N834" i="2" s="1"/>
  <c r="P834" i="2" s="1"/>
  <c r="R833" i="2"/>
  <c r="T833" i="2" s="1"/>
  <c r="Q833" i="2"/>
  <c r="O833" i="2"/>
  <c r="M833" i="2"/>
  <c r="L833" i="2"/>
  <c r="N833" i="2" s="1"/>
  <c r="P833" i="2" s="1"/>
  <c r="R832" i="2"/>
  <c r="T832" i="2" s="1"/>
  <c r="Q832" i="2"/>
  <c r="O832" i="2"/>
  <c r="M832" i="2"/>
  <c r="L832" i="2"/>
  <c r="N832" i="2" s="1"/>
  <c r="P832" i="2" s="1"/>
  <c r="R831" i="2"/>
  <c r="T831" i="2" s="1"/>
  <c r="Q831" i="2"/>
  <c r="O831" i="2"/>
  <c r="M831" i="2"/>
  <c r="L831" i="2"/>
  <c r="N831" i="2" s="1"/>
  <c r="P831" i="2" s="1"/>
  <c r="R830" i="2"/>
  <c r="T830" i="2" s="1"/>
  <c r="Q830" i="2"/>
  <c r="O830" i="2"/>
  <c r="M830" i="2"/>
  <c r="L830" i="2"/>
  <c r="N830" i="2" s="1"/>
  <c r="P830" i="2" s="1"/>
  <c r="R829" i="2"/>
  <c r="T829" i="2" s="1"/>
  <c r="Q829" i="2"/>
  <c r="O829" i="2"/>
  <c r="M829" i="2"/>
  <c r="L829" i="2"/>
  <c r="N829" i="2" s="1"/>
  <c r="P829" i="2" s="1"/>
  <c r="R828" i="2"/>
  <c r="T828" i="2" s="1"/>
  <c r="Q828" i="2"/>
  <c r="O828" i="2"/>
  <c r="M828" i="2"/>
  <c r="L828" i="2"/>
  <c r="N828" i="2" s="1"/>
  <c r="P828" i="2" s="1"/>
  <c r="R827" i="2"/>
  <c r="T827" i="2" s="1"/>
  <c r="Q827" i="2"/>
  <c r="O827" i="2"/>
  <c r="M827" i="2"/>
  <c r="L827" i="2"/>
  <c r="N827" i="2" s="1"/>
  <c r="P827" i="2" s="1"/>
  <c r="R826" i="2"/>
  <c r="T826" i="2" s="1"/>
  <c r="Q826" i="2"/>
  <c r="O826" i="2"/>
  <c r="M826" i="2"/>
  <c r="L826" i="2"/>
  <c r="N826" i="2" s="1"/>
  <c r="P826" i="2" s="1"/>
  <c r="R825" i="2"/>
  <c r="T825" i="2" s="1"/>
  <c r="Q825" i="2"/>
  <c r="O825" i="2"/>
  <c r="M825" i="2"/>
  <c r="L825" i="2"/>
  <c r="N825" i="2" s="1"/>
  <c r="P825" i="2" s="1"/>
  <c r="R824" i="2"/>
  <c r="T824" i="2" s="1"/>
  <c r="Q824" i="2"/>
  <c r="O824" i="2"/>
  <c r="M824" i="2"/>
  <c r="L824" i="2"/>
  <c r="N824" i="2" s="1"/>
  <c r="P824" i="2" s="1"/>
  <c r="R823" i="2"/>
  <c r="T823" i="2" s="1"/>
  <c r="Q823" i="2"/>
  <c r="O823" i="2"/>
  <c r="M823" i="2"/>
  <c r="L823" i="2"/>
  <c r="N823" i="2" s="1"/>
  <c r="P823" i="2" s="1"/>
  <c r="R822" i="2"/>
  <c r="T822" i="2" s="1"/>
  <c r="Q822" i="2"/>
  <c r="O822" i="2"/>
  <c r="M822" i="2"/>
  <c r="L822" i="2"/>
  <c r="N822" i="2" s="1"/>
  <c r="P822" i="2" s="1"/>
  <c r="R821" i="2"/>
  <c r="T821" i="2" s="1"/>
  <c r="Q821" i="2"/>
  <c r="O821" i="2"/>
  <c r="M821" i="2"/>
  <c r="L821" i="2"/>
  <c r="N821" i="2" s="1"/>
  <c r="P821" i="2" s="1"/>
  <c r="R820" i="2"/>
  <c r="T820" i="2" s="1"/>
  <c r="Q820" i="2"/>
  <c r="O820" i="2"/>
  <c r="M820" i="2"/>
  <c r="L820" i="2"/>
  <c r="N820" i="2" s="1"/>
  <c r="P820" i="2" s="1"/>
  <c r="R819" i="2"/>
  <c r="T819" i="2" s="1"/>
  <c r="Q819" i="2"/>
  <c r="O819" i="2"/>
  <c r="M819" i="2"/>
  <c r="L819" i="2"/>
  <c r="N819" i="2" s="1"/>
  <c r="P819" i="2" s="1"/>
  <c r="R818" i="2"/>
  <c r="T818" i="2" s="1"/>
  <c r="Q818" i="2"/>
  <c r="O818" i="2"/>
  <c r="M818" i="2"/>
  <c r="L818" i="2"/>
  <c r="N818" i="2" s="1"/>
  <c r="P818" i="2" s="1"/>
  <c r="R817" i="2"/>
  <c r="T817" i="2" s="1"/>
  <c r="Q817" i="2"/>
  <c r="O817" i="2"/>
  <c r="M817" i="2"/>
  <c r="L817" i="2"/>
  <c r="N817" i="2" s="1"/>
  <c r="P817" i="2" s="1"/>
  <c r="R816" i="2"/>
  <c r="T816" i="2" s="1"/>
  <c r="Q816" i="2"/>
  <c r="O816" i="2"/>
  <c r="M816" i="2"/>
  <c r="L816" i="2"/>
  <c r="N816" i="2" s="1"/>
  <c r="P816" i="2" s="1"/>
  <c r="R815" i="2"/>
  <c r="T815" i="2" s="1"/>
  <c r="Q815" i="2"/>
  <c r="O815" i="2"/>
  <c r="M815" i="2"/>
  <c r="L815" i="2"/>
  <c r="N815" i="2" s="1"/>
  <c r="P815" i="2" s="1"/>
  <c r="R814" i="2"/>
  <c r="T814" i="2" s="1"/>
  <c r="Q814" i="2"/>
  <c r="O814" i="2"/>
  <c r="M814" i="2"/>
  <c r="L814" i="2"/>
  <c r="N814" i="2" s="1"/>
  <c r="P814" i="2" s="1"/>
  <c r="R813" i="2"/>
  <c r="T813" i="2" s="1"/>
  <c r="Q813" i="2"/>
  <c r="O813" i="2"/>
  <c r="M813" i="2"/>
  <c r="L813" i="2"/>
  <c r="N813" i="2" s="1"/>
  <c r="P813" i="2" s="1"/>
  <c r="R812" i="2"/>
  <c r="T812" i="2" s="1"/>
  <c r="Q812" i="2"/>
  <c r="O812" i="2"/>
  <c r="M812" i="2"/>
  <c r="L812" i="2"/>
  <c r="N812" i="2" s="1"/>
  <c r="P812" i="2" s="1"/>
  <c r="R811" i="2"/>
  <c r="T811" i="2" s="1"/>
  <c r="Q811" i="2"/>
  <c r="O811" i="2"/>
  <c r="M811" i="2"/>
  <c r="L811" i="2"/>
  <c r="N811" i="2" s="1"/>
  <c r="P811" i="2" s="1"/>
  <c r="R810" i="2"/>
  <c r="T810" i="2" s="1"/>
  <c r="Q810" i="2"/>
  <c r="O810" i="2"/>
  <c r="M810" i="2"/>
  <c r="L810" i="2"/>
  <c r="N810" i="2" s="1"/>
  <c r="P810" i="2" s="1"/>
  <c r="R809" i="2"/>
  <c r="T809" i="2" s="1"/>
  <c r="Q809" i="2"/>
  <c r="O809" i="2"/>
  <c r="M809" i="2"/>
  <c r="L809" i="2"/>
  <c r="N809" i="2" s="1"/>
  <c r="P809" i="2" s="1"/>
  <c r="R808" i="2"/>
  <c r="T808" i="2" s="1"/>
  <c r="Q808" i="2"/>
  <c r="O808" i="2"/>
  <c r="M808" i="2"/>
  <c r="L808" i="2"/>
  <c r="N808" i="2" s="1"/>
  <c r="P808" i="2" s="1"/>
  <c r="R807" i="2"/>
  <c r="T807" i="2" s="1"/>
  <c r="Q807" i="2"/>
  <c r="O807" i="2"/>
  <c r="M807" i="2"/>
  <c r="L807" i="2"/>
  <c r="N807" i="2" s="1"/>
  <c r="P807" i="2" s="1"/>
  <c r="R806" i="2"/>
  <c r="T806" i="2" s="1"/>
  <c r="Q806" i="2"/>
  <c r="O806" i="2"/>
  <c r="M806" i="2"/>
  <c r="L806" i="2"/>
  <c r="N806" i="2" s="1"/>
  <c r="P806" i="2" s="1"/>
  <c r="R805" i="2"/>
  <c r="T805" i="2" s="1"/>
  <c r="Q805" i="2"/>
  <c r="O805" i="2"/>
  <c r="M805" i="2"/>
  <c r="L805" i="2"/>
  <c r="N805" i="2" s="1"/>
  <c r="P805" i="2" s="1"/>
  <c r="R804" i="2"/>
  <c r="T804" i="2" s="1"/>
  <c r="Q804" i="2"/>
  <c r="O804" i="2"/>
  <c r="M804" i="2"/>
  <c r="L804" i="2"/>
  <c r="N804" i="2" s="1"/>
  <c r="P804" i="2" s="1"/>
  <c r="R803" i="2"/>
  <c r="T803" i="2" s="1"/>
  <c r="Q803" i="2"/>
  <c r="O803" i="2"/>
  <c r="M803" i="2"/>
  <c r="L803" i="2"/>
  <c r="N803" i="2" s="1"/>
  <c r="P803" i="2" s="1"/>
  <c r="R802" i="2"/>
  <c r="T802" i="2" s="1"/>
  <c r="Q802" i="2"/>
  <c r="O802" i="2"/>
  <c r="M802" i="2"/>
  <c r="L802" i="2"/>
  <c r="N802" i="2" s="1"/>
  <c r="P802" i="2" s="1"/>
  <c r="R801" i="2"/>
  <c r="T801" i="2" s="1"/>
  <c r="Q801" i="2"/>
  <c r="O801" i="2"/>
  <c r="M801" i="2"/>
  <c r="L801" i="2"/>
  <c r="N801" i="2" s="1"/>
  <c r="P801" i="2" s="1"/>
  <c r="R800" i="2"/>
  <c r="T800" i="2" s="1"/>
  <c r="Q800" i="2"/>
  <c r="O800" i="2"/>
  <c r="M800" i="2"/>
  <c r="L800" i="2"/>
  <c r="N800" i="2" s="1"/>
  <c r="P800" i="2" s="1"/>
  <c r="R799" i="2"/>
  <c r="T799" i="2" s="1"/>
  <c r="Q799" i="2"/>
  <c r="O799" i="2"/>
  <c r="M799" i="2"/>
  <c r="L799" i="2"/>
  <c r="N799" i="2" s="1"/>
  <c r="P799" i="2" s="1"/>
  <c r="R798" i="2"/>
  <c r="T798" i="2" s="1"/>
  <c r="Q798" i="2"/>
  <c r="O798" i="2"/>
  <c r="M798" i="2"/>
  <c r="L798" i="2"/>
  <c r="N798" i="2" s="1"/>
  <c r="P798" i="2" s="1"/>
  <c r="R797" i="2"/>
  <c r="T797" i="2" s="1"/>
  <c r="Q797" i="2"/>
  <c r="O797" i="2"/>
  <c r="M797" i="2"/>
  <c r="L797" i="2"/>
  <c r="N797" i="2" s="1"/>
  <c r="P797" i="2" s="1"/>
  <c r="R796" i="2"/>
  <c r="T796" i="2" s="1"/>
  <c r="Q796" i="2"/>
  <c r="O796" i="2"/>
  <c r="M796" i="2"/>
  <c r="L796" i="2"/>
  <c r="N796" i="2" s="1"/>
  <c r="P796" i="2" s="1"/>
  <c r="R795" i="2"/>
  <c r="T795" i="2" s="1"/>
  <c r="Q795" i="2"/>
  <c r="O795" i="2"/>
  <c r="M795" i="2"/>
  <c r="L795" i="2"/>
  <c r="N795" i="2" s="1"/>
  <c r="P795" i="2" s="1"/>
  <c r="R794" i="2"/>
  <c r="T794" i="2" s="1"/>
  <c r="Q794" i="2"/>
  <c r="O794" i="2"/>
  <c r="M794" i="2"/>
  <c r="L794" i="2"/>
  <c r="N794" i="2" s="1"/>
  <c r="P794" i="2" s="1"/>
  <c r="R793" i="2"/>
  <c r="T793" i="2" s="1"/>
  <c r="Q793" i="2"/>
  <c r="O793" i="2"/>
  <c r="M793" i="2"/>
  <c r="L793" i="2"/>
  <c r="N793" i="2" s="1"/>
  <c r="P793" i="2" s="1"/>
  <c r="R792" i="2"/>
  <c r="T792" i="2" s="1"/>
  <c r="Q792" i="2"/>
  <c r="O792" i="2"/>
  <c r="M792" i="2"/>
  <c r="L792" i="2"/>
  <c r="N792" i="2" s="1"/>
  <c r="P792" i="2" s="1"/>
  <c r="R791" i="2"/>
  <c r="T791" i="2" s="1"/>
  <c r="Q791" i="2"/>
  <c r="O791" i="2"/>
  <c r="M791" i="2"/>
  <c r="L791" i="2"/>
  <c r="N791" i="2" s="1"/>
  <c r="P791" i="2" s="1"/>
  <c r="R790" i="2"/>
  <c r="Q790" i="2"/>
  <c r="O790" i="2"/>
  <c r="M790" i="2"/>
  <c r="L790" i="2"/>
  <c r="N790" i="2" s="1"/>
  <c r="P790" i="2" s="1"/>
  <c r="R789" i="2"/>
  <c r="Q789" i="2"/>
  <c r="O789" i="2"/>
  <c r="M789" i="2"/>
  <c r="L789" i="2"/>
  <c r="N789" i="2" s="1"/>
  <c r="P789" i="2" s="1"/>
  <c r="R788" i="2"/>
  <c r="Q788" i="2"/>
  <c r="O788" i="2"/>
  <c r="M788" i="2"/>
  <c r="L788" i="2"/>
  <c r="N788" i="2" s="1"/>
  <c r="P788" i="2" s="1"/>
  <c r="R787" i="2"/>
  <c r="T787" i="2" s="1"/>
  <c r="Q787" i="2"/>
  <c r="O787" i="2"/>
  <c r="M787" i="2"/>
  <c r="L787" i="2"/>
  <c r="N787" i="2" s="1"/>
  <c r="P787" i="2" s="1"/>
  <c r="R786" i="2"/>
  <c r="Q786" i="2"/>
  <c r="O786" i="2"/>
  <c r="M786" i="2"/>
  <c r="L786" i="2"/>
  <c r="N786" i="2" s="1"/>
  <c r="P786" i="2" s="1"/>
  <c r="R785" i="2"/>
  <c r="T785" i="2" s="1"/>
  <c r="Q785" i="2"/>
  <c r="O785" i="2"/>
  <c r="M785" i="2"/>
  <c r="L785" i="2"/>
  <c r="N785" i="2" s="1"/>
  <c r="P785" i="2" s="1"/>
  <c r="R784" i="2"/>
  <c r="Q784" i="2"/>
  <c r="O784" i="2"/>
  <c r="M784" i="2"/>
  <c r="L784" i="2"/>
  <c r="N784" i="2" s="1"/>
  <c r="P784" i="2" s="1"/>
  <c r="R783" i="2"/>
  <c r="T783" i="2" s="1"/>
  <c r="Q783" i="2"/>
  <c r="O783" i="2"/>
  <c r="M783" i="2"/>
  <c r="L783" i="2"/>
  <c r="N783" i="2" s="1"/>
  <c r="P783" i="2" s="1"/>
  <c r="R782" i="2"/>
  <c r="T782" i="2" s="1"/>
  <c r="Q782" i="2"/>
  <c r="O782" i="2"/>
  <c r="M782" i="2"/>
  <c r="L782" i="2"/>
  <c r="N782" i="2" s="1"/>
  <c r="P782" i="2" s="1"/>
  <c r="R781" i="2"/>
  <c r="S781" i="2" s="1"/>
  <c r="Q781" i="2"/>
  <c r="O781" i="2"/>
  <c r="M781" i="2"/>
  <c r="L781" i="2"/>
  <c r="N781" i="2" s="1"/>
  <c r="P781" i="2" s="1"/>
  <c r="R780" i="2"/>
  <c r="T780" i="2" s="1"/>
  <c r="Q780" i="2"/>
  <c r="O780" i="2"/>
  <c r="M780" i="2"/>
  <c r="L780" i="2"/>
  <c r="N780" i="2" s="1"/>
  <c r="P780" i="2" s="1"/>
  <c r="R779" i="2"/>
  <c r="T779" i="2" s="1"/>
  <c r="Q779" i="2"/>
  <c r="O779" i="2"/>
  <c r="M779" i="2"/>
  <c r="L779" i="2"/>
  <c r="N779" i="2" s="1"/>
  <c r="P779" i="2" s="1"/>
  <c r="R778" i="2"/>
  <c r="S778" i="2" s="1"/>
  <c r="Q778" i="2"/>
  <c r="O778" i="2"/>
  <c r="M778" i="2"/>
  <c r="L778" i="2"/>
  <c r="N778" i="2" s="1"/>
  <c r="P778" i="2" s="1"/>
  <c r="R777" i="2"/>
  <c r="T777" i="2" s="1"/>
  <c r="Q777" i="2"/>
  <c r="O777" i="2"/>
  <c r="M777" i="2"/>
  <c r="L777" i="2"/>
  <c r="N777" i="2" s="1"/>
  <c r="P777" i="2" s="1"/>
  <c r="R776" i="2"/>
  <c r="Q776" i="2"/>
  <c r="O776" i="2"/>
  <c r="M776" i="2"/>
  <c r="L776" i="2"/>
  <c r="N776" i="2" s="1"/>
  <c r="P776" i="2" s="1"/>
  <c r="R775" i="2"/>
  <c r="T775" i="2" s="1"/>
  <c r="Q775" i="2"/>
  <c r="O775" i="2"/>
  <c r="M775" i="2"/>
  <c r="L775" i="2"/>
  <c r="N775" i="2" s="1"/>
  <c r="P775" i="2" s="1"/>
  <c r="R774" i="2"/>
  <c r="T774" i="2" s="1"/>
  <c r="Q774" i="2"/>
  <c r="O774" i="2"/>
  <c r="M774" i="2"/>
  <c r="L774" i="2"/>
  <c r="N774" i="2" s="1"/>
  <c r="P774" i="2" s="1"/>
  <c r="R773" i="2"/>
  <c r="S773" i="2" s="1"/>
  <c r="Q773" i="2"/>
  <c r="O773" i="2"/>
  <c r="M773" i="2"/>
  <c r="L773" i="2"/>
  <c r="N773" i="2" s="1"/>
  <c r="P773" i="2" s="1"/>
  <c r="R772" i="2"/>
  <c r="T772" i="2" s="1"/>
  <c r="Q772" i="2"/>
  <c r="O772" i="2"/>
  <c r="M772" i="2"/>
  <c r="L772" i="2"/>
  <c r="N772" i="2" s="1"/>
  <c r="P772" i="2" s="1"/>
  <c r="R771" i="2"/>
  <c r="T771" i="2" s="1"/>
  <c r="Q771" i="2"/>
  <c r="O771" i="2"/>
  <c r="M771" i="2"/>
  <c r="L771" i="2"/>
  <c r="N771" i="2" s="1"/>
  <c r="P771" i="2" s="1"/>
  <c r="R770" i="2"/>
  <c r="Q770" i="2"/>
  <c r="O770" i="2"/>
  <c r="M770" i="2"/>
  <c r="L770" i="2"/>
  <c r="N770" i="2" s="1"/>
  <c r="P770" i="2" s="1"/>
  <c r="R769" i="2"/>
  <c r="T769" i="2" s="1"/>
  <c r="Q769" i="2"/>
  <c r="O769" i="2"/>
  <c r="M769" i="2"/>
  <c r="L769" i="2"/>
  <c r="N769" i="2" s="1"/>
  <c r="P769" i="2" s="1"/>
  <c r="R768" i="2"/>
  <c r="Q768" i="2"/>
  <c r="O768" i="2"/>
  <c r="M768" i="2"/>
  <c r="L768" i="2"/>
  <c r="N768" i="2" s="1"/>
  <c r="P768" i="2" s="1"/>
  <c r="R767" i="2"/>
  <c r="T767" i="2" s="1"/>
  <c r="Q767" i="2"/>
  <c r="O767" i="2"/>
  <c r="M767" i="2"/>
  <c r="L767" i="2"/>
  <c r="N767" i="2" s="1"/>
  <c r="P767" i="2" s="1"/>
  <c r="R766" i="2"/>
  <c r="T766" i="2" s="1"/>
  <c r="Q766" i="2"/>
  <c r="O766" i="2"/>
  <c r="M766" i="2"/>
  <c r="L766" i="2"/>
  <c r="N766" i="2" s="1"/>
  <c r="P766" i="2" s="1"/>
  <c r="R765" i="2"/>
  <c r="Q765" i="2"/>
  <c r="O765" i="2"/>
  <c r="M765" i="2"/>
  <c r="L765" i="2"/>
  <c r="N765" i="2" s="1"/>
  <c r="P765" i="2" s="1"/>
  <c r="R764" i="2"/>
  <c r="T764" i="2" s="1"/>
  <c r="Q764" i="2"/>
  <c r="O764" i="2"/>
  <c r="M764" i="2"/>
  <c r="L764" i="2"/>
  <c r="N764" i="2" s="1"/>
  <c r="P764" i="2" s="1"/>
  <c r="R763" i="2"/>
  <c r="T763" i="2" s="1"/>
  <c r="Q763" i="2"/>
  <c r="O763" i="2"/>
  <c r="M763" i="2"/>
  <c r="L763" i="2"/>
  <c r="N763" i="2" s="1"/>
  <c r="P763" i="2" s="1"/>
  <c r="R762" i="2"/>
  <c r="S762" i="2" s="1"/>
  <c r="Q762" i="2"/>
  <c r="O762" i="2"/>
  <c r="M762" i="2"/>
  <c r="L762" i="2"/>
  <c r="N762" i="2" s="1"/>
  <c r="P762" i="2" s="1"/>
  <c r="R761" i="2"/>
  <c r="T761" i="2" s="1"/>
  <c r="Q761" i="2"/>
  <c r="O761" i="2"/>
  <c r="M761" i="2"/>
  <c r="L761" i="2"/>
  <c r="N761" i="2" s="1"/>
  <c r="P761" i="2" s="1"/>
  <c r="R760" i="2"/>
  <c r="Q760" i="2"/>
  <c r="O760" i="2"/>
  <c r="M760" i="2"/>
  <c r="L760" i="2"/>
  <c r="N760" i="2" s="1"/>
  <c r="P760" i="2" s="1"/>
  <c r="R759" i="2"/>
  <c r="T759" i="2" s="1"/>
  <c r="Q759" i="2"/>
  <c r="O759" i="2"/>
  <c r="M759" i="2"/>
  <c r="L759" i="2"/>
  <c r="N759" i="2" s="1"/>
  <c r="P759" i="2" s="1"/>
  <c r="R758" i="2"/>
  <c r="T758" i="2" s="1"/>
  <c r="Q758" i="2"/>
  <c r="O758" i="2"/>
  <c r="M758" i="2"/>
  <c r="L758" i="2"/>
  <c r="N758" i="2" s="1"/>
  <c r="P758" i="2" s="1"/>
  <c r="R757" i="2"/>
  <c r="Q757" i="2"/>
  <c r="O757" i="2"/>
  <c r="M757" i="2"/>
  <c r="L757" i="2"/>
  <c r="N757" i="2" s="1"/>
  <c r="P757" i="2" s="1"/>
  <c r="R756" i="2"/>
  <c r="T756" i="2" s="1"/>
  <c r="Q756" i="2"/>
  <c r="O756" i="2"/>
  <c r="M756" i="2"/>
  <c r="L756" i="2"/>
  <c r="N756" i="2" s="1"/>
  <c r="P756" i="2" s="1"/>
  <c r="R755" i="2"/>
  <c r="T755" i="2" s="1"/>
  <c r="Q755" i="2"/>
  <c r="O755" i="2"/>
  <c r="M755" i="2"/>
  <c r="L755" i="2"/>
  <c r="N755" i="2" s="1"/>
  <c r="P755" i="2" s="1"/>
  <c r="R754" i="2"/>
  <c r="Q754" i="2"/>
  <c r="O754" i="2"/>
  <c r="M754" i="2"/>
  <c r="L754" i="2"/>
  <c r="N754" i="2" s="1"/>
  <c r="P754" i="2" s="1"/>
  <c r="R753" i="2"/>
  <c r="T753" i="2" s="1"/>
  <c r="Q753" i="2"/>
  <c r="O753" i="2"/>
  <c r="M753" i="2"/>
  <c r="L753" i="2"/>
  <c r="N753" i="2" s="1"/>
  <c r="P753" i="2" s="1"/>
  <c r="R752" i="2"/>
  <c r="Q752" i="2"/>
  <c r="O752" i="2"/>
  <c r="M752" i="2"/>
  <c r="L752" i="2"/>
  <c r="N752" i="2" s="1"/>
  <c r="P752" i="2" s="1"/>
  <c r="R751" i="2"/>
  <c r="T751" i="2" s="1"/>
  <c r="Q751" i="2"/>
  <c r="O751" i="2"/>
  <c r="M751" i="2"/>
  <c r="L751" i="2"/>
  <c r="N751" i="2" s="1"/>
  <c r="P751" i="2" s="1"/>
  <c r="R750" i="2"/>
  <c r="T750" i="2" s="1"/>
  <c r="Q750" i="2"/>
  <c r="O750" i="2"/>
  <c r="M750" i="2"/>
  <c r="L750" i="2"/>
  <c r="N750" i="2" s="1"/>
  <c r="P750" i="2" s="1"/>
  <c r="R749" i="2"/>
  <c r="Q749" i="2"/>
  <c r="O749" i="2"/>
  <c r="M749" i="2"/>
  <c r="L749" i="2"/>
  <c r="N749" i="2" s="1"/>
  <c r="P749" i="2" s="1"/>
  <c r="R748" i="2"/>
  <c r="T748" i="2" s="1"/>
  <c r="Q748" i="2"/>
  <c r="O748" i="2"/>
  <c r="M748" i="2"/>
  <c r="L748" i="2"/>
  <c r="N748" i="2" s="1"/>
  <c r="P748" i="2" s="1"/>
  <c r="R747" i="2"/>
  <c r="T747" i="2" s="1"/>
  <c r="Q747" i="2"/>
  <c r="O747" i="2"/>
  <c r="M747" i="2"/>
  <c r="L747" i="2"/>
  <c r="N747" i="2" s="1"/>
  <c r="P747" i="2" s="1"/>
  <c r="R746" i="2"/>
  <c r="Q746" i="2"/>
  <c r="O746" i="2"/>
  <c r="M746" i="2"/>
  <c r="L746" i="2"/>
  <c r="N746" i="2" s="1"/>
  <c r="P746" i="2" s="1"/>
  <c r="R745" i="2"/>
  <c r="T745" i="2" s="1"/>
  <c r="Q745" i="2"/>
  <c r="O745" i="2"/>
  <c r="M745" i="2"/>
  <c r="L745" i="2"/>
  <c r="N745" i="2" s="1"/>
  <c r="P745" i="2" s="1"/>
  <c r="R744" i="2"/>
  <c r="Q744" i="2"/>
  <c r="O744" i="2"/>
  <c r="M744" i="2"/>
  <c r="L744" i="2"/>
  <c r="N744" i="2" s="1"/>
  <c r="P744" i="2" s="1"/>
  <c r="R743" i="2"/>
  <c r="T743" i="2" s="1"/>
  <c r="Q743" i="2"/>
  <c r="O743" i="2"/>
  <c r="M743" i="2"/>
  <c r="L743" i="2"/>
  <c r="N743" i="2" s="1"/>
  <c r="P743" i="2" s="1"/>
  <c r="R742" i="2"/>
  <c r="T742" i="2" s="1"/>
  <c r="Q742" i="2"/>
  <c r="O742" i="2"/>
  <c r="M742" i="2"/>
  <c r="L742" i="2"/>
  <c r="N742" i="2" s="1"/>
  <c r="P742" i="2" s="1"/>
  <c r="R741" i="2"/>
  <c r="S741" i="2" s="1"/>
  <c r="Q741" i="2"/>
  <c r="O741" i="2"/>
  <c r="M741" i="2"/>
  <c r="L741" i="2"/>
  <c r="N741" i="2" s="1"/>
  <c r="P741" i="2" s="1"/>
  <c r="R740" i="2"/>
  <c r="T740" i="2" s="1"/>
  <c r="Q740" i="2"/>
  <c r="O740" i="2"/>
  <c r="M740" i="2"/>
  <c r="L740" i="2"/>
  <c r="N740" i="2" s="1"/>
  <c r="P740" i="2" s="1"/>
  <c r="R739" i="2"/>
  <c r="T739" i="2" s="1"/>
  <c r="Q739" i="2"/>
  <c r="O739" i="2"/>
  <c r="M739" i="2"/>
  <c r="L739" i="2"/>
  <c r="N739" i="2" s="1"/>
  <c r="P739" i="2" s="1"/>
  <c r="R738" i="2"/>
  <c r="S738" i="2" s="1"/>
  <c r="Q738" i="2"/>
  <c r="O738" i="2"/>
  <c r="M738" i="2"/>
  <c r="L738" i="2"/>
  <c r="N738" i="2" s="1"/>
  <c r="P738" i="2" s="1"/>
  <c r="R737" i="2"/>
  <c r="T737" i="2" s="1"/>
  <c r="Q737" i="2"/>
  <c r="O737" i="2"/>
  <c r="M737" i="2"/>
  <c r="L737" i="2"/>
  <c r="N737" i="2" s="1"/>
  <c r="P737" i="2" s="1"/>
  <c r="R736" i="2"/>
  <c r="Q736" i="2"/>
  <c r="O736" i="2"/>
  <c r="M736" i="2"/>
  <c r="L736" i="2"/>
  <c r="N736" i="2" s="1"/>
  <c r="P736" i="2" s="1"/>
  <c r="R735" i="2"/>
  <c r="T735" i="2" s="1"/>
  <c r="Q735" i="2"/>
  <c r="O735" i="2"/>
  <c r="M735" i="2"/>
  <c r="L735" i="2"/>
  <c r="N735" i="2" s="1"/>
  <c r="P735" i="2" s="1"/>
  <c r="R734" i="2"/>
  <c r="T734" i="2" s="1"/>
  <c r="Q734" i="2"/>
  <c r="O734" i="2"/>
  <c r="M734" i="2"/>
  <c r="L734" i="2"/>
  <c r="N734" i="2" s="1"/>
  <c r="P734" i="2" s="1"/>
  <c r="R733" i="2"/>
  <c r="S733" i="2" s="1"/>
  <c r="Q733" i="2"/>
  <c r="O733" i="2"/>
  <c r="M733" i="2"/>
  <c r="L733" i="2"/>
  <c r="N733" i="2" s="1"/>
  <c r="P733" i="2" s="1"/>
  <c r="R732" i="2"/>
  <c r="T732" i="2" s="1"/>
  <c r="Q732" i="2"/>
  <c r="O732" i="2"/>
  <c r="M732" i="2"/>
  <c r="L732" i="2"/>
  <c r="N732" i="2" s="1"/>
  <c r="P732" i="2" s="1"/>
  <c r="R731" i="2"/>
  <c r="T731" i="2" s="1"/>
  <c r="Q731" i="2"/>
  <c r="O731" i="2"/>
  <c r="M731" i="2"/>
  <c r="L731" i="2"/>
  <c r="N731" i="2" s="1"/>
  <c r="P731" i="2" s="1"/>
  <c r="R730" i="2"/>
  <c r="T730" i="2" s="1"/>
  <c r="Q730" i="2"/>
  <c r="O730" i="2"/>
  <c r="M730" i="2"/>
  <c r="L730" i="2"/>
  <c r="N730" i="2" s="1"/>
  <c r="P730" i="2" s="1"/>
  <c r="R729" i="2"/>
  <c r="Q729" i="2"/>
  <c r="O729" i="2"/>
  <c r="M729" i="2"/>
  <c r="L729" i="2"/>
  <c r="N729" i="2" s="1"/>
  <c r="P729" i="2" s="1"/>
  <c r="R728" i="2"/>
  <c r="Q728" i="2"/>
  <c r="O728" i="2"/>
  <c r="M728" i="2"/>
  <c r="L728" i="2"/>
  <c r="N728" i="2" s="1"/>
  <c r="P728" i="2" s="1"/>
  <c r="R727" i="2"/>
  <c r="Q727" i="2"/>
  <c r="O727" i="2"/>
  <c r="M727" i="2"/>
  <c r="L727" i="2"/>
  <c r="N727" i="2" s="1"/>
  <c r="P727" i="2" s="1"/>
  <c r="R726" i="2"/>
  <c r="T726" i="2" s="1"/>
  <c r="Q726" i="2"/>
  <c r="O726" i="2"/>
  <c r="M726" i="2"/>
  <c r="L726" i="2"/>
  <c r="N726" i="2" s="1"/>
  <c r="P726" i="2" s="1"/>
  <c r="R725" i="2"/>
  <c r="T725" i="2" s="1"/>
  <c r="Q725" i="2"/>
  <c r="O725" i="2"/>
  <c r="M725" i="2"/>
  <c r="L725" i="2"/>
  <c r="N725" i="2" s="1"/>
  <c r="P725" i="2" s="1"/>
  <c r="R724" i="2"/>
  <c r="Q724" i="2"/>
  <c r="O724" i="2"/>
  <c r="M724" i="2"/>
  <c r="L724" i="2"/>
  <c r="N724" i="2" s="1"/>
  <c r="P724" i="2" s="1"/>
  <c r="R723" i="2"/>
  <c r="Q723" i="2"/>
  <c r="O723" i="2"/>
  <c r="M723" i="2"/>
  <c r="L723" i="2"/>
  <c r="N723" i="2" s="1"/>
  <c r="P723" i="2" s="1"/>
  <c r="R722" i="2"/>
  <c r="Q722" i="2"/>
  <c r="O722" i="2"/>
  <c r="M722" i="2"/>
  <c r="L722" i="2"/>
  <c r="N722" i="2" s="1"/>
  <c r="P722" i="2" s="1"/>
  <c r="R721" i="2"/>
  <c r="Q721" i="2"/>
  <c r="O721" i="2"/>
  <c r="M721" i="2"/>
  <c r="L721" i="2"/>
  <c r="N721" i="2" s="1"/>
  <c r="P721" i="2" s="1"/>
  <c r="R720" i="2"/>
  <c r="S720" i="2" s="1"/>
  <c r="Q720" i="2"/>
  <c r="O720" i="2"/>
  <c r="M720" i="2"/>
  <c r="L720" i="2"/>
  <c r="N720" i="2" s="1"/>
  <c r="P720" i="2" s="1"/>
  <c r="R719" i="2"/>
  <c r="Q719" i="2"/>
  <c r="O719" i="2"/>
  <c r="M719" i="2"/>
  <c r="L719" i="2"/>
  <c r="N719" i="2" s="1"/>
  <c r="P719" i="2" s="1"/>
  <c r="R718" i="2"/>
  <c r="Q718" i="2"/>
  <c r="O718" i="2"/>
  <c r="M718" i="2"/>
  <c r="L718" i="2"/>
  <c r="N718" i="2" s="1"/>
  <c r="P718" i="2" s="1"/>
  <c r="R717" i="2"/>
  <c r="Q717" i="2"/>
  <c r="O717" i="2"/>
  <c r="M717" i="2"/>
  <c r="L717" i="2"/>
  <c r="N717" i="2" s="1"/>
  <c r="P717" i="2" s="1"/>
  <c r="R716" i="2"/>
  <c r="S716" i="2" s="1"/>
  <c r="Q716" i="2"/>
  <c r="O716" i="2"/>
  <c r="M716" i="2"/>
  <c r="L716" i="2"/>
  <c r="R715" i="2"/>
  <c r="Q715" i="2"/>
  <c r="O715" i="2"/>
  <c r="M715" i="2"/>
  <c r="L715" i="2"/>
  <c r="R714" i="2"/>
  <c r="T714" i="2" s="1"/>
  <c r="Q714" i="2"/>
  <c r="O714" i="2"/>
  <c r="M714" i="2"/>
  <c r="L714" i="2"/>
  <c r="R713" i="2"/>
  <c r="Q713" i="2"/>
  <c r="O713" i="2"/>
  <c r="M713" i="2"/>
  <c r="L713" i="2"/>
  <c r="R712" i="2"/>
  <c r="Q712" i="2"/>
  <c r="O712" i="2"/>
  <c r="M712" i="2"/>
  <c r="L712" i="2"/>
  <c r="R711" i="2"/>
  <c r="Q711" i="2"/>
  <c r="O711" i="2"/>
  <c r="M711" i="2"/>
  <c r="L711" i="2"/>
  <c r="R710" i="2"/>
  <c r="Q710" i="2"/>
  <c r="O710" i="2"/>
  <c r="M710" i="2"/>
  <c r="L710" i="2"/>
  <c r="R709" i="2"/>
  <c r="Q709" i="2"/>
  <c r="O709" i="2"/>
  <c r="M709" i="2"/>
  <c r="L709" i="2"/>
  <c r="R708" i="2"/>
  <c r="Q708" i="2"/>
  <c r="O708" i="2"/>
  <c r="M708" i="2"/>
  <c r="L708" i="2"/>
  <c r="R707" i="2"/>
  <c r="Q707" i="2"/>
  <c r="O707" i="2"/>
  <c r="M707" i="2"/>
  <c r="L707" i="2"/>
  <c r="R706" i="2"/>
  <c r="Q706" i="2"/>
  <c r="O706" i="2"/>
  <c r="M706" i="2"/>
  <c r="L706" i="2"/>
  <c r="R705" i="2"/>
  <c r="Q705" i="2"/>
  <c r="O705" i="2"/>
  <c r="M705" i="2"/>
  <c r="L705" i="2"/>
  <c r="R704" i="2"/>
  <c r="Q704" i="2"/>
  <c r="O704" i="2"/>
  <c r="M704" i="2"/>
  <c r="L704" i="2"/>
  <c r="R703" i="2"/>
  <c r="S703" i="2" s="1"/>
  <c r="Q703" i="2"/>
  <c r="O703" i="2"/>
  <c r="M703" i="2"/>
  <c r="L703" i="2"/>
  <c r="R702" i="2"/>
  <c r="S702" i="2" s="1"/>
  <c r="Q702" i="2"/>
  <c r="O702" i="2"/>
  <c r="M702" i="2"/>
  <c r="L702" i="2"/>
  <c r="R701" i="2"/>
  <c r="S701" i="2" s="1"/>
  <c r="Q701" i="2"/>
  <c r="O701" i="2"/>
  <c r="M701" i="2"/>
  <c r="L701" i="2"/>
  <c r="R700" i="2"/>
  <c r="T700" i="2" s="1"/>
  <c r="Q700" i="2"/>
  <c r="O700" i="2"/>
  <c r="M700" i="2"/>
  <c r="L700" i="2"/>
  <c r="R699" i="2"/>
  <c r="S699" i="2" s="1"/>
  <c r="Q699" i="2"/>
  <c r="O699" i="2"/>
  <c r="M699" i="2"/>
  <c r="L699" i="2"/>
  <c r="R698" i="2"/>
  <c r="S698" i="2" s="1"/>
  <c r="Q698" i="2"/>
  <c r="O698" i="2"/>
  <c r="M698" i="2"/>
  <c r="L698" i="2"/>
  <c r="R697" i="2"/>
  <c r="Q697" i="2"/>
  <c r="O697" i="2"/>
  <c r="M697" i="2"/>
  <c r="L697" i="2"/>
  <c r="R696" i="2"/>
  <c r="Q696" i="2"/>
  <c r="O696" i="2"/>
  <c r="M696" i="2"/>
  <c r="L696" i="2"/>
  <c r="R695" i="2"/>
  <c r="T695" i="2" s="1"/>
  <c r="Q695" i="2"/>
  <c r="O695" i="2"/>
  <c r="M695" i="2"/>
  <c r="L695" i="2"/>
  <c r="R694" i="2"/>
  <c r="Q694" i="2"/>
  <c r="O694" i="2"/>
  <c r="M694" i="2"/>
  <c r="L694" i="2"/>
  <c r="R693" i="2"/>
  <c r="S693" i="2" s="1"/>
  <c r="Q693" i="2"/>
  <c r="O693" i="2"/>
  <c r="M693" i="2"/>
  <c r="L693" i="2"/>
  <c r="R692" i="2"/>
  <c r="Q692" i="2"/>
  <c r="O692" i="2"/>
  <c r="M692" i="2"/>
  <c r="L692" i="2"/>
  <c r="R691" i="2"/>
  <c r="Q691" i="2"/>
  <c r="O691" i="2"/>
  <c r="M691" i="2"/>
  <c r="L691" i="2"/>
  <c r="R690" i="2"/>
  <c r="Q690" i="2"/>
  <c r="O690" i="2"/>
  <c r="M690" i="2"/>
  <c r="L690" i="2"/>
  <c r="R689" i="2"/>
  <c r="Q689" i="2"/>
  <c r="O689" i="2"/>
  <c r="M689" i="2"/>
  <c r="L689" i="2"/>
  <c r="R688" i="2"/>
  <c r="Q688" i="2"/>
  <c r="O688" i="2"/>
  <c r="M688" i="2"/>
  <c r="L688" i="2"/>
  <c r="R687" i="2"/>
  <c r="Q687" i="2"/>
  <c r="O687" i="2"/>
  <c r="M687" i="2"/>
  <c r="L687" i="2"/>
  <c r="R686" i="2"/>
  <c r="Q686" i="2"/>
  <c r="O686" i="2"/>
  <c r="M686" i="2"/>
  <c r="L686" i="2"/>
  <c r="R685" i="2"/>
  <c r="Q685" i="2"/>
  <c r="O685" i="2"/>
  <c r="M685" i="2"/>
  <c r="L685" i="2"/>
  <c r="R684" i="2"/>
  <c r="T684" i="2" s="1"/>
  <c r="Q684" i="2"/>
  <c r="O684" i="2"/>
  <c r="M684" i="2"/>
  <c r="L684" i="2"/>
  <c r="R683" i="2"/>
  <c r="Q683" i="2"/>
  <c r="O683" i="2"/>
  <c r="M683" i="2"/>
  <c r="L683" i="2"/>
  <c r="R682" i="2"/>
  <c r="S682" i="2" s="1"/>
  <c r="Q682" i="2"/>
  <c r="O682" i="2"/>
  <c r="M682" i="2"/>
  <c r="L682" i="2"/>
  <c r="R681" i="2"/>
  <c r="Q681" i="2"/>
  <c r="O681" i="2"/>
  <c r="M681" i="2"/>
  <c r="L681" i="2"/>
  <c r="R680" i="2"/>
  <c r="Q680" i="2"/>
  <c r="O680" i="2"/>
  <c r="M680" i="2"/>
  <c r="L680" i="2"/>
  <c r="R679" i="2"/>
  <c r="Q679" i="2"/>
  <c r="O679" i="2"/>
  <c r="M679" i="2"/>
  <c r="L679" i="2"/>
  <c r="R678" i="2"/>
  <c r="S678" i="2" s="1"/>
  <c r="Q678" i="2"/>
  <c r="O678" i="2"/>
  <c r="M678" i="2"/>
  <c r="L678" i="2"/>
  <c r="R677" i="2"/>
  <c r="Q677" i="2"/>
  <c r="O677" i="2"/>
  <c r="M677" i="2"/>
  <c r="L677" i="2"/>
  <c r="R676" i="2"/>
  <c r="S676" i="2" s="1"/>
  <c r="Q676" i="2"/>
  <c r="O676" i="2"/>
  <c r="M676" i="2"/>
  <c r="L676" i="2"/>
  <c r="R675" i="2"/>
  <c r="Q675" i="2"/>
  <c r="O675" i="2"/>
  <c r="M675" i="2"/>
  <c r="L675" i="2"/>
  <c r="R674" i="2"/>
  <c r="Q674" i="2"/>
  <c r="O674" i="2"/>
  <c r="M674" i="2"/>
  <c r="L674" i="2"/>
  <c r="R673" i="2"/>
  <c r="Q673" i="2"/>
  <c r="O673" i="2"/>
  <c r="M673" i="2"/>
  <c r="L673" i="2"/>
  <c r="R672" i="2"/>
  <c r="Q672" i="2"/>
  <c r="O672" i="2"/>
  <c r="M672" i="2"/>
  <c r="L672" i="2"/>
  <c r="R671" i="2"/>
  <c r="Q671" i="2"/>
  <c r="O671" i="2"/>
  <c r="M671" i="2"/>
  <c r="L671" i="2"/>
  <c r="R670" i="2"/>
  <c r="Q670" i="2"/>
  <c r="O670" i="2"/>
  <c r="M670" i="2"/>
  <c r="L670" i="2"/>
  <c r="R669" i="2"/>
  <c r="T669" i="2" s="1"/>
  <c r="Q669" i="2"/>
  <c r="O669" i="2"/>
  <c r="M669" i="2"/>
  <c r="L669" i="2"/>
  <c r="R668" i="2"/>
  <c r="T668" i="2" s="1"/>
  <c r="Q668" i="2"/>
  <c r="O668" i="2"/>
  <c r="M668" i="2"/>
  <c r="L668" i="2"/>
  <c r="R667" i="2"/>
  <c r="Q667" i="2"/>
  <c r="O667" i="2"/>
  <c r="M667" i="2"/>
  <c r="L667" i="2"/>
  <c r="R666" i="2"/>
  <c r="Q666" i="2"/>
  <c r="O666" i="2"/>
  <c r="M666" i="2"/>
  <c r="L666" i="2"/>
  <c r="R665" i="2"/>
  <c r="Q665" i="2"/>
  <c r="O665" i="2"/>
  <c r="M665" i="2"/>
  <c r="L665" i="2"/>
  <c r="R664" i="2"/>
  <c r="Q664" i="2"/>
  <c r="O664" i="2"/>
  <c r="M664" i="2"/>
  <c r="L664" i="2"/>
  <c r="R663" i="2"/>
  <c r="S663" i="2" s="1"/>
  <c r="Q663" i="2"/>
  <c r="O663" i="2"/>
  <c r="M663" i="2"/>
  <c r="L663" i="2"/>
  <c r="R662" i="2"/>
  <c r="S662" i="2" s="1"/>
  <c r="Q662" i="2"/>
  <c r="O662" i="2"/>
  <c r="M662" i="2"/>
  <c r="L662" i="2"/>
  <c r="R661" i="2"/>
  <c r="S661" i="2" s="1"/>
  <c r="Q661" i="2"/>
  <c r="O661" i="2"/>
  <c r="M661" i="2"/>
  <c r="L661" i="2"/>
  <c r="R660" i="2"/>
  <c r="S660" i="2" s="1"/>
  <c r="Q660" i="2"/>
  <c r="O660" i="2"/>
  <c r="M660" i="2"/>
  <c r="L660" i="2"/>
  <c r="R659" i="2"/>
  <c r="S659" i="2" s="1"/>
  <c r="Q659" i="2"/>
  <c r="O659" i="2"/>
  <c r="M659" i="2"/>
  <c r="L659" i="2"/>
  <c r="R658" i="2"/>
  <c r="S658" i="2" s="1"/>
  <c r="Q658" i="2"/>
  <c r="O658" i="2"/>
  <c r="M658" i="2"/>
  <c r="L658" i="2"/>
  <c r="R657" i="2"/>
  <c r="Q657" i="2"/>
  <c r="O657" i="2"/>
  <c r="M657" i="2"/>
  <c r="L657" i="2"/>
  <c r="R656" i="2"/>
  <c r="T656" i="2" s="1"/>
  <c r="Q656" i="2"/>
  <c r="O656" i="2"/>
  <c r="M656" i="2"/>
  <c r="L656" i="2"/>
  <c r="R655" i="2"/>
  <c r="S655" i="2" s="1"/>
  <c r="Q655" i="2"/>
  <c r="O655" i="2"/>
  <c r="M655" i="2"/>
  <c r="L655" i="2"/>
  <c r="R654" i="2"/>
  <c r="Q654" i="2"/>
  <c r="O654" i="2"/>
  <c r="M654" i="2"/>
  <c r="L654" i="2"/>
  <c r="R653" i="2"/>
  <c r="S653" i="2" s="1"/>
  <c r="Q653" i="2"/>
  <c r="O653" i="2"/>
  <c r="M653" i="2"/>
  <c r="L653" i="2"/>
  <c r="R652" i="2"/>
  <c r="T652" i="2" s="1"/>
  <c r="Q652" i="2"/>
  <c r="O652" i="2"/>
  <c r="M652" i="2"/>
  <c r="L652" i="2"/>
  <c r="R651" i="2"/>
  <c r="Q651" i="2"/>
  <c r="O651" i="2"/>
  <c r="M651" i="2"/>
  <c r="L651" i="2"/>
  <c r="R650" i="2"/>
  <c r="Q650" i="2"/>
  <c r="O650" i="2"/>
  <c r="M650" i="2"/>
  <c r="L650" i="2"/>
  <c r="R649" i="2"/>
  <c r="T649" i="2" s="1"/>
  <c r="Q649" i="2"/>
  <c r="O649" i="2"/>
  <c r="M649" i="2"/>
  <c r="L649" i="2"/>
  <c r="R648" i="2"/>
  <c r="Q648" i="2"/>
  <c r="O648" i="2"/>
  <c r="M648" i="2"/>
  <c r="L648" i="2"/>
  <c r="R647" i="2"/>
  <c r="Q647" i="2"/>
  <c r="O647" i="2"/>
  <c r="M647" i="2"/>
  <c r="L647" i="2"/>
  <c r="R646" i="2"/>
  <c r="Q646" i="2"/>
  <c r="O646" i="2"/>
  <c r="M646" i="2"/>
  <c r="L646" i="2"/>
  <c r="R645" i="2"/>
  <c r="Q645" i="2"/>
  <c r="O645" i="2"/>
  <c r="M645" i="2"/>
  <c r="L645" i="2"/>
  <c r="R644" i="2"/>
  <c r="Q644" i="2"/>
  <c r="O644" i="2"/>
  <c r="M644" i="2"/>
  <c r="L644" i="2"/>
  <c r="R643" i="2"/>
  <c r="T643" i="2" s="1"/>
  <c r="Q643" i="2"/>
  <c r="O643" i="2"/>
  <c r="M643" i="2"/>
  <c r="L643" i="2"/>
  <c r="R642" i="2"/>
  <c r="Q642" i="2"/>
  <c r="O642" i="2"/>
  <c r="M642" i="2"/>
  <c r="L642" i="2"/>
  <c r="R641" i="2"/>
  <c r="Q641" i="2"/>
  <c r="O641" i="2"/>
  <c r="M641" i="2"/>
  <c r="L641" i="2"/>
  <c r="R640" i="2"/>
  <c r="S640" i="2" s="1"/>
  <c r="Q640" i="2"/>
  <c r="O640" i="2"/>
  <c r="M640" i="2"/>
  <c r="L640" i="2"/>
  <c r="R639" i="2"/>
  <c r="Q639" i="2"/>
  <c r="O639" i="2"/>
  <c r="M639" i="2"/>
  <c r="L639" i="2"/>
  <c r="R638" i="2"/>
  <c r="T638" i="2" s="1"/>
  <c r="Q638" i="2"/>
  <c r="O638" i="2"/>
  <c r="M638" i="2"/>
  <c r="L638" i="2"/>
  <c r="R637" i="2"/>
  <c r="Q637" i="2"/>
  <c r="O637" i="2"/>
  <c r="M637" i="2"/>
  <c r="L637" i="2"/>
  <c r="R636" i="2"/>
  <c r="S636" i="2" s="1"/>
  <c r="Q636" i="2"/>
  <c r="O636" i="2"/>
  <c r="M636" i="2"/>
  <c r="L636" i="2"/>
  <c r="R635" i="2"/>
  <c r="Q635" i="2"/>
  <c r="O635" i="2"/>
  <c r="M635" i="2"/>
  <c r="L635" i="2"/>
  <c r="R634" i="2"/>
  <c r="Q634" i="2"/>
  <c r="O634" i="2"/>
  <c r="M634" i="2"/>
  <c r="L634" i="2"/>
  <c r="R633" i="2"/>
  <c r="Q633" i="2"/>
  <c r="O633" i="2"/>
  <c r="M633" i="2"/>
  <c r="L633" i="2"/>
  <c r="R632" i="2"/>
  <c r="Q632" i="2"/>
  <c r="O632" i="2"/>
  <c r="M632" i="2"/>
  <c r="L632" i="2"/>
  <c r="R631" i="2"/>
  <c r="Q631" i="2"/>
  <c r="O631" i="2"/>
  <c r="M631" i="2"/>
  <c r="L631" i="2"/>
  <c r="R630" i="2"/>
  <c r="T630" i="2" s="1"/>
  <c r="Q630" i="2"/>
  <c r="O630" i="2"/>
  <c r="M630" i="2"/>
  <c r="L630" i="2"/>
  <c r="R629" i="2"/>
  <c r="Q629" i="2"/>
  <c r="O629" i="2"/>
  <c r="M629" i="2"/>
  <c r="L629" i="2"/>
  <c r="R628" i="2"/>
  <c r="Q628" i="2"/>
  <c r="O628" i="2"/>
  <c r="M628" i="2"/>
  <c r="L628" i="2"/>
  <c r="R627" i="2"/>
  <c r="Q627" i="2"/>
  <c r="O627" i="2"/>
  <c r="M627" i="2"/>
  <c r="L627" i="2"/>
  <c r="R626" i="2"/>
  <c r="Q626" i="2"/>
  <c r="O626" i="2"/>
  <c r="M626" i="2"/>
  <c r="L626" i="2"/>
  <c r="R625" i="2"/>
  <c r="Q625" i="2"/>
  <c r="O625" i="2"/>
  <c r="M625" i="2"/>
  <c r="L625" i="2"/>
  <c r="R624" i="2"/>
  <c r="Q624" i="2"/>
  <c r="O624" i="2"/>
  <c r="M624" i="2"/>
  <c r="L624" i="2"/>
  <c r="R623" i="2"/>
  <c r="S623" i="2" s="1"/>
  <c r="Q623" i="2"/>
  <c r="O623" i="2"/>
  <c r="M623" i="2"/>
  <c r="L623" i="2"/>
  <c r="R622" i="2"/>
  <c r="S622" i="2" s="1"/>
  <c r="Q622" i="2"/>
  <c r="O622" i="2"/>
  <c r="M622" i="2"/>
  <c r="L622" i="2"/>
  <c r="R621" i="2"/>
  <c r="S621" i="2" s="1"/>
  <c r="Q621" i="2"/>
  <c r="O621" i="2"/>
  <c r="M621" i="2"/>
  <c r="L621" i="2"/>
  <c r="R620" i="2"/>
  <c r="S620" i="2" s="1"/>
  <c r="Q620" i="2"/>
  <c r="O620" i="2"/>
  <c r="M620" i="2"/>
  <c r="L620" i="2"/>
  <c r="R619" i="2"/>
  <c r="S619" i="2" s="1"/>
  <c r="Q619" i="2"/>
  <c r="O619" i="2"/>
  <c r="M619" i="2"/>
  <c r="L619" i="2"/>
  <c r="R618" i="2"/>
  <c r="S618" i="2" s="1"/>
  <c r="Q618" i="2"/>
  <c r="O618" i="2"/>
  <c r="M618" i="2"/>
  <c r="L618" i="2"/>
  <c r="R617" i="2"/>
  <c r="Q617" i="2"/>
  <c r="O617" i="2"/>
  <c r="M617" i="2"/>
  <c r="L617" i="2"/>
  <c r="R616" i="2"/>
  <c r="Q616" i="2"/>
  <c r="O616" i="2"/>
  <c r="M616" i="2"/>
  <c r="L616" i="2"/>
  <c r="R615" i="2"/>
  <c r="S615" i="2" s="1"/>
  <c r="Q615" i="2"/>
  <c r="O615" i="2"/>
  <c r="M615" i="2"/>
  <c r="L615" i="2"/>
  <c r="R614" i="2"/>
  <c r="Q614" i="2"/>
  <c r="O614" i="2"/>
  <c r="M614" i="2"/>
  <c r="L614" i="2"/>
  <c r="R613" i="2"/>
  <c r="S613" i="2" s="1"/>
  <c r="Q613" i="2"/>
  <c r="O613" i="2"/>
  <c r="M613" i="2"/>
  <c r="L613" i="2"/>
  <c r="R612" i="2"/>
  <c r="T612" i="2" s="1"/>
  <c r="Q612" i="2"/>
  <c r="O612" i="2"/>
  <c r="M612" i="2"/>
  <c r="L612" i="2"/>
  <c r="R611" i="2"/>
  <c r="Q611" i="2"/>
  <c r="O611" i="2"/>
  <c r="M611" i="2"/>
  <c r="L611" i="2"/>
  <c r="R610" i="2"/>
  <c r="Q610" i="2"/>
  <c r="O610" i="2"/>
  <c r="M610" i="2"/>
  <c r="L610" i="2"/>
  <c r="R609" i="2"/>
  <c r="Q609" i="2"/>
  <c r="O609" i="2"/>
  <c r="M609" i="2"/>
  <c r="L609" i="2"/>
  <c r="R608" i="2"/>
  <c r="Q608" i="2"/>
  <c r="O608" i="2"/>
  <c r="M608" i="2"/>
  <c r="L608" i="2"/>
  <c r="R607" i="2"/>
  <c r="Q607" i="2"/>
  <c r="O607" i="2"/>
  <c r="M607" i="2"/>
  <c r="L607" i="2"/>
  <c r="R606" i="2"/>
  <c r="Q606" i="2"/>
  <c r="O606" i="2"/>
  <c r="M606" i="2"/>
  <c r="L606" i="2"/>
  <c r="R605" i="2"/>
  <c r="Q605" i="2"/>
  <c r="O605" i="2"/>
  <c r="M605" i="2"/>
  <c r="L605" i="2"/>
  <c r="R604" i="2"/>
  <c r="Q604" i="2"/>
  <c r="O604" i="2"/>
  <c r="M604" i="2"/>
  <c r="L604" i="2"/>
  <c r="R603" i="2"/>
  <c r="Q603" i="2"/>
  <c r="O603" i="2"/>
  <c r="M603" i="2"/>
  <c r="L603" i="2"/>
  <c r="R602" i="2"/>
  <c r="T602" i="2" s="1"/>
  <c r="Q602" i="2"/>
  <c r="O602" i="2"/>
  <c r="M602" i="2"/>
  <c r="L602" i="2"/>
  <c r="R601" i="2"/>
  <c r="S601" i="2" s="1"/>
  <c r="Q601" i="2"/>
  <c r="O601" i="2"/>
  <c r="M601" i="2"/>
  <c r="L601" i="2"/>
  <c r="R600" i="2"/>
  <c r="Q600" i="2"/>
  <c r="O600" i="2"/>
  <c r="M600" i="2"/>
  <c r="L600" i="2"/>
  <c r="R599" i="2"/>
  <c r="T599" i="2" s="1"/>
  <c r="Q599" i="2"/>
  <c r="O599" i="2"/>
  <c r="M599" i="2"/>
  <c r="L599" i="2"/>
  <c r="R598" i="2"/>
  <c r="T598" i="2" s="1"/>
  <c r="Q598" i="2"/>
  <c r="O598" i="2"/>
  <c r="M598" i="2"/>
  <c r="L598" i="2"/>
  <c r="R597" i="2"/>
  <c r="Q597" i="2"/>
  <c r="O597" i="2"/>
  <c r="M597" i="2"/>
  <c r="L597" i="2"/>
  <c r="R596" i="2"/>
  <c r="S596" i="2" s="1"/>
  <c r="Q596" i="2"/>
  <c r="O596" i="2"/>
  <c r="M596" i="2"/>
  <c r="L596" i="2"/>
  <c r="R595" i="2"/>
  <c r="Q595" i="2"/>
  <c r="O595" i="2"/>
  <c r="M595" i="2"/>
  <c r="L595" i="2"/>
  <c r="R594" i="2"/>
  <c r="T594" i="2" s="1"/>
  <c r="Q594" i="2"/>
  <c r="O594" i="2"/>
  <c r="M594" i="2"/>
  <c r="L594" i="2"/>
  <c r="R593" i="2"/>
  <c r="S593" i="2" s="1"/>
  <c r="Q593" i="2"/>
  <c r="O593" i="2"/>
  <c r="M593" i="2"/>
  <c r="L593" i="2"/>
  <c r="R592" i="2"/>
  <c r="T592" i="2" s="1"/>
  <c r="Q592" i="2"/>
  <c r="O592" i="2"/>
  <c r="M592" i="2"/>
  <c r="L592" i="2"/>
  <c r="R591" i="2"/>
  <c r="Q591" i="2"/>
  <c r="O591" i="2"/>
  <c r="M591" i="2"/>
  <c r="L591" i="2"/>
  <c r="R590" i="2"/>
  <c r="Q590" i="2"/>
  <c r="O590" i="2"/>
  <c r="M590" i="2"/>
  <c r="L590" i="2"/>
  <c r="R589" i="2"/>
  <c r="T589" i="2" s="1"/>
  <c r="Q589" i="2"/>
  <c r="O589" i="2"/>
  <c r="M589" i="2"/>
  <c r="L589" i="2"/>
  <c r="R588" i="2"/>
  <c r="Q588" i="2"/>
  <c r="O588" i="2"/>
  <c r="M588" i="2"/>
  <c r="L588" i="2"/>
  <c r="R587" i="2"/>
  <c r="Q587" i="2"/>
  <c r="O587" i="2"/>
  <c r="M587" i="2"/>
  <c r="L587" i="2"/>
  <c r="R586" i="2"/>
  <c r="T586" i="2" s="1"/>
  <c r="Q586" i="2"/>
  <c r="O586" i="2"/>
  <c r="M586" i="2"/>
  <c r="L586" i="2"/>
  <c r="R585" i="2"/>
  <c r="Q585" i="2"/>
  <c r="O585" i="2"/>
  <c r="M585" i="2"/>
  <c r="L585" i="2"/>
  <c r="R584" i="2"/>
  <c r="Q584" i="2"/>
  <c r="O584" i="2"/>
  <c r="M584" i="2"/>
  <c r="L584" i="2"/>
  <c r="R583" i="2"/>
  <c r="S583" i="2" s="1"/>
  <c r="Q583" i="2"/>
  <c r="O583" i="2"/>
  <c r="M583" i="2"/>
  <c r="L583" i="2"/>
  <c r="R582" i="2"/>
  <c r="S582" i="2" s="1"/>
  <c r="Q582" i="2"/>
  <c r="O582" i="2"/>
  <c r="M582" i="2"/>
  <c r="L582" i="2"/>
  <c r="R581" i="2"/>
  <c r="S581" i="2" s="1"/>
  <c r="Q581" i="2"/>
  <c r="O581" i="2"/>
  <c r="M581" i="2"/>
  <c r="L581" i="2"/>
  <c r="R580" i="2"/>
  <c r="S580" i="2" s="1"/>
  <c r="Q580" i="2"/>
  <c r="O580" i="2"/>
  <c r="M580" i="2"/>
  <c r="L580" i="2"/>
  <c r="R579" i="2"/>
  <c r="S579" i="2" s="1"/>
  <c r="Q579" i="2"/>
  <c r="O579" i="2"/>
  <c r="M579" i="2"/>
  <c r="L579" i="2"/>
  <c r="R578" i="2"/>
  <c r="S578" i="2" s="1"/>
  <c r="Q578" i="2"/>
  <c r="O578" i="2"/>
  <c r="M578" i="2"/>
  <c r="L578" i="2"/>
  <c r="R577" i="2"/>
  <c r="Q577" i="2"/>
  <c r="O577" i="2"/>
  <c r="M577" i="2"/>
  <c r="L577" i="2"/>
  <c r="R576" i="2"/>
  <c r="Q576" i="2"/>
  <c r="O576" i="2"/>
  <c r="M576" i="2"/>
  <c r="L576" i="2"/>
  <c r="R575" i="2"/>
  <c r="T575" i="2" s="1"/>
  <c r="Q575" i="2"/>
  <c r="O575" i="2"/>
  <c r="M575" i="2"/>
  <c r="L575" i="2"/>
  <c r="R574" i="2"/>
  <c r="Q574" i="2"/>
  <c r="O574" i="2"/>
  <c r="M574" i="2"/>
  <c r="L574" i="2"/>
  <c r="R573" i="2"/>
  <c r="S573" i="2" s="1"/>
  <c r="Q573" i="2"/>
  <c r="O573" i="2"/>
  <c r="M573" i="2"/>
  <c r="L573" i="2"/>
  <c r="R572" i="2"/>
  <c r="Q572" i="2"/>
  <c r="O572" i="2"/>
  <c r="M572" i="2"/>
  <c r="L572" i="2"/>
  <c r="R571" i="2"/>
  <c r="Q571" i="2"/>
  <c r="O571" i="2"/>
  <c r="M571" i="2"/>
  <c r="L571" i="2"/>
  <c r="R570" i="2"/>
  <c r="Q570" i="2"/>
  <c r="O570" i="2"/>
  <c r="M570" i="2"/>
  <c r="L570" i="2"/>
  <c r="R569" i="2"/>
  <c r="Q569" i="2"/>
  <c r="O569" i="2"/>
  <c r="M569" i="2"/>
  <c r="L569" i="2"/>
  <c r="R568" i="2"/>
  <c r="Q568" i="2"/>
  <c r="O568" i="2"/>
  <c r="M568" i="2"/>
  <c r="L568" i="2"/>
  <c r="R567" i="2"/>
  <c r="S567" i="2" s="1"/>
  <c r="Q567" i="2"/>
  <c r="O567" i="2"/>
  <c r="M567" i="2"/>
  <c r="L567" i="2"/>
  <c r="R566" i="2"/>
  <c r="Q566" i="2"/>
  <c r="O566" i="2"/>
  <c r="M566" i="2"/>
  <c r="L566" i="2"/>
  <c r="R565" i="2"/>
  <c r="Q565" i="2"/>
  <c r="O565" i="2"/>
  <c r="M565" i="2"/>
  <c r="L565" i="2"/>
  <c r="R564" i="2"/>
  <c r="Q564" i="2"/>
  <c r="O564" i="2"/>
  <c r="M564" i="2"/>
  <c r="L564" i="2"/>
  <c r="R563" i="2"/>
  <c r="S563" i="2" s="1"/>
  <c r="Q563" i="2"/>
  <c r="O563" i="2"/>
  <c r="M563" i="2"/>
  <c r="L563" i="2"/>
  <c r="R562" i="2"/>
  <c r="S562" i="2" s="1"/>
  <c r="Q562" i="2"/>
  <c r="O562" i="2"/>
  <c r="M562" i="2"/>
  <c r="L562" i="2"/>
  <c r="R561" i="2"/>
  <c r="Q561" i="2"/>
  <c r="O561" i="2"/>
  <c r="M561" i="2"/>
  <c r="L561" i="2"/>
  <c r="R560" i="2"/>
  <c r="T560" i="2" s="1"/>
  <c r="Q560" i="2"/>
  <c r="O560" i="2"/>
  <c r="M560" i="2"/>
  <c r="L560" i="2"/>
  <c r="R559" i="2"/>
  <c r="S559" i="2" s="1"/>
  <c r="Q559" i="2"/>
  <c r="O559" i="2"/>
  <c r="M559" i="2"/>
  <c r="L559" i="2"/>
  <c r="R558" i="2"/>
  <c r="T558" i="2" s="1"/>
  <c r="Q558" i="2"/>
  <c r="O558" i="2"/>
  <c r="M558" i="2"/>
  <c r="L558" i="2"/>
  <c r="R557" i="2"/>
  <c r="Q557" i="2"/>
  <c r="O557" i="2"/>
  <c r="M557" i="2"/>
  <c r="L557" i="2"/>
  <c r="R556" i="2"/>
  <c r="S556" i="2" s="1"/>
  <c r="Q556" i="2"/>
  <c r="O556" i="2"/>
  <c r="M556" i="2"/>
  <c r="L556" i="2"/>
  <c r="R555" i="2"/>
  <c r="S555" i="2" s="1"/>
  <c r="Q555" i="2"/>
  <c r="O555" i="2"/>
  <c r="M555" i="2"/>
  <c r="L555" i="2"/>
  <c r="R554" i="2"/>
  <c r="Q554" i="2"/>
  <c r="O554" i="2"/>
  <c r="M554" i="2"/>
  <c r="L554" i="2"/>
  <c r="R553" i="2"/>
  <c r="Q553" i="2"/>
  <c r="O553" i="2"/>
  <c r="M553" i="2"/>
  <c r="L553" i="2"/>
  <c r="R552" i="2"/>
  <c r="Q552" i="2"/>
  <c r="O552" i="2"/>
  <c r="M552" i="2"/>
  <c r="L552" i="2"/>
  <c r="R551" i="2"/>
  <c r="Q551" i="2"/>
  <c r="O551" i="2"/>
  <c r="M551" i="2"/>
  <c r="L551" i="2"/>
  <c r="R550" i="2"/>
  <c r="Q550" i="2"/>
  <c r="O550" i="2"/>
  <c r="M550" i="2"/>
  <c r="L550" i="2"/>
  <c r="R549" i="2"/>
  <c r="T549" i="2" s="1"/>
  <c r="Q549" i="2"/>
  <c r="O549" i="2"/>
  <c r="M549" i="2"/>
  <c r="L549" i="2"/>
  <c r="R548" i="2"/>
  <c r="Q548" i="2"/>
  <c r="O548" i="2"/>
  <c r="M548" i="2"/>
  <c r="L548" i="2"/>
  <c r="R547" i="2"/>
  <c r="S547" i="2" s="1"/>
  <c r="Q547" i="2"/>
  <c r="O547" i="2"/>
  <c r="M547" i="2"/>
  <c r="L547" i="2"/>
  <c r="R546" i="2"/>
  <c r="T546" i="2" s="1"/>
  <c r="Q546" i="2"/>
  <c r="O546" i="2"/>
  <c r="M546" i="2"/>
  <c r="L546" i="2"/>
  <c r="R545" i="2"/>
  <c r="T545" i="2" s="1"/>
  <c r="Q545" i="2"/>
  <c r="O545" i="2"/>
  <c r="M545" i="2"/>
  <c r="L545" i="2"/>
  <c r="R544" i="2"/>
  <c r="Q544" i="2"/>
  <c r="O544" i="2"/>
  <c r="M544" i="2"/>
  <c r="L544" i="2"/>
  <c r="R543" i="2"/>
  <c r="S543" i="2" s="1"/>
  <c r="Q543" i="2"/>
  <c r="O543" i="2"/>
  <c r="M543" i="2"/>
  <c r="L543" i="2"/>
  <c r="R542" i="2"/>
  <c r="S542" i="2" s="1"/>
  <c r="Q542" i="2"/>
  <c r="O542" i="2"/>
  <c r="M542" i="2"/>
  <c r="L542" i="2"/>
  <c r="R541" i="2"/>
  <c r="S541" i="2" s="1"/>
  <c r="Q541" i="2"/>
  <c r="O541" i="2"/>
  <c r="M541" i="2"/>
  <c r="L541" i="2"/>
  <c r="R540" i="2"/>
  <c r="S540" i="2" s="1"/>
  <c r="Q540" i="2"/>
  <c r="O540" i="2"/>
  <c r="M540" i="2"/>
  <c r="L540" i="2"/>
  <c r="R539" i="2"/>
  <c r="S539" i="2" s="1"/>
  <c r="Q539" i="2"/>
  <c r="O539" i="2"/>
  <c r="M539" i="2"/>
  <c r="L539" i="2"/>
  <c r="R538" i="2"/>
  <c r="T538" i="2" s="1"/>
  <c r="Q538" i="2"/>
  <c r="O538" i="2"/>
  <c r="M538" i="2"/>
  <c r="L538" i="2"/>
  <c r="R537" i="2"/>
  <c r="Q537" i="2"/>
  <c r="O537" i="2"/>
  <c r="M537" i="2"/>
  <c r="L537" i="2"/>
  <c r="R536" i="2"/>
  <c r="S536" i="2" s="1"/>
  <c r="Q536" i="2"/>
  <c r="O536" i="2"/>
  <c r="M536" i="2"/>
  <c r="L536" i="2"/>
  <c r="R535" i="2"/>
  <c r="S535" i="2" s="1"/>
  <c r="Q535" i="2"/>
  <c r="O535" i="2"/>
  <c r="M535" i="2"/>
  <c r="L535" i="2"/>
  <c r="R534" i="2"/>
  <c r="Q534" i="2"/>
  <c r="O534" i="2"/>
  <c r="M534" i="2"/>
  <c r="L534" i="2"/>
  <c r="R533" i="2"/>
  <c r="T533" i="2" s="1"/>
  <c r="Q533" i="2"/>
  <c r="O533" i="2"/>
  <c r="M533" i="2"/>
  <c r="L533" i="2"/>
  <c r="R532" i="2"/>
  <c r="Q532" i="2"/>
  <c r="O532" i="2"/>
  <c r="M532" i="2"/>
  <c r="L532" i="2"/>
  <c r="R531" i="2"/>
  <c r="Q531" i="2"/>
  <c r="O531" i="2"/>
  <c r="M531" i="2"/>
  <c r="L531" i="2"/>
  <c r="R530" i="2"/>
  <c r="Q530" i="2"/>
  <c r="O530" i="2"/>
  <c r="M530" i="2"/>
  <c r="L530" i="2"/>
  <c r="R529" i="2"/>
  <c r="Q529" i="2"/>
  <c r="O529" i="2"/>
  <c r="M529" i="2"/>
  <c r="L529" i="2"/>
  <c r="R528" i="2"/>
  <c r="T528" i="2" s="1"/>
  <c r="Q528" i="2"/>
  <c r="O528" i="2"/>
  <c r="M528" i="2"/>
  <c r="L528" i="2"/>
  <c r="R527" i="2"/>
  <c r="Q527" i="2"/>
  <c r="O527" i="2"/>
  <c r="M527" i="2"/>
  <c r="L527" i="2"/>
  <c r="R526" i="2"/>
  <c r="T526" i="2" s="1"/>
  <c r="Q526" i="2"/>
  <c r="O526" i="2"/>
  <c r="M526" i="2"/>
  <c r="L526" i="2"/>
  <c r="R525" i="2"/>
  <c r="T525" i="2" s="1"/>
  <c r="Q525" i="2"/>
  <c r="O525" i="2"/>
  <c r="M525" i="2"/>
  <c r="L525" i="2"/>
  <c r="R524" i="2"/>
  <c r="Q524" i="2"/>
  <c r="O524" i="2"/>
  <c r="M524" i="2"/>
  <c r="L524" i="2"/>
  <c r="R523" i="2"/>
  <c r="Q523" i="2"/>
  <c r="O523" i="2"/>
  <c r="M523" i="2"/>
  <c r="L523" i="2"/>
  <c r="R522" i="2"/>
  <c r="Q522" i="2"/>
  <c r="O522" i="2"/>
  <c r="M522" i="2"/>
  <c r="L522" i="2"/>
  <c r="R521" i="2"/>
  <c r="T521" i="2" s="1"/>
  <c r="Q521" i="2"/>
  <c r="O521" i="2"/>
  <c r="M521" i="2"/>
  <c r="L521" i="2"/>
  <c r="R520" i="2"/>
  <c r="T520" i="2" s="1"/>
  <c r="Q520" i="2"/>
  <c r="O520" i="2"/>
  <c r="M520" i="2"/>
  <c r="L520" i="2"/>
  <c r="R519" i="2"/>
  <c r="Q519" i="2"/>
  <c r="O519" i="2"/>
  <c r="M519" i="2"/>
  <c r="L519" i="2"/>
  <c r="R518" i="2"/>
  <c r="T518" i="2" s="1"/>
  <c r="Q518" i="2"/>
  <c r="O518" i="2"/>
  <c r="M518" i="2"/>
  <c r="L518" i="2"/>
  <c r="R517" i="2"/>
  <c r="Q517" i="2"/>
  <c r="O517" i="2"/>
  <c r="M517" i="2"/>
  <c r="L517" i="2"/>
  <c r="R516" i="2"/>
  <c r="S516" i="2" s="1"/>
  <c r="Q516" i="2"/>
  <c r="O516" i="2"/>
  <c r="M516" i="2"/>
  <c r="L516" i="2"/>
  <c r="R515" i="2"/>
  <c r="Q515" i="2"/>
  <c r="O515" i="2"/>
  <c r="M515" i="2"/>
  <c r="L515" i="2"/>
  <c r="R514" i="2"/>
  <c r="T514" i="2" s="1"/>
  <c r="Q514" i="2"/>
  <c r="O514" i="2"/>
  <c r="M514" i="2"/>
  <c r="L514" i="2"/>
  <c r="R513" i="2"/>
  <c r="T513" i="2" s="1"/>
  <c r="Q513" i="2"/>
  <c r="O513" i="2"/>
  <c r="M513" i="2"/>
  <c r="L513" i="2"/>
  <c r="R512" i="2"/>
  <c r="Q512" i="2"/>
  <c r="O512" i="2"/>
  <c r="M512" i="2"/>
  <c r="L512" i="2"/>
  <c r="R511" i="2"/>
  <c r="Q511" i="2"/>
  <c r="O511" i="2"/>
  <c r="M511" i="2"/>
  <c r="L511" i="2"/>
  <c r="R510" i="2"/>
  <c r="Q510" i="2"/>
  <c r="O510" i="2"/>
  <c r="M510" i="2"/>
  <c r="L510" i="2"/>
  <c r="R509" i="2"/>
  <c r="Q509" i="2"/>
  <c r="O509" i="2"/>
  <c r="M509" i="2"/>
  <c r="L509" i="2"/>
  <c r="R508" i="2"/>
  <c r="T508" i="2" s="1"/>
  <c r="Q508" i="2"/>
  <c r="O508" i="2"/>
  <c r="M508" i="2"/>
  <c r="L508" i="2"/>
  <c r="R507" i="2"/>
  <c r="Q507" i="2"/>
  <c r="O507" i="2"/>
  <c r="M507" i="2"/>
  <c r="L507" i="2"/>
  <c r="R506" i="2"/>
  <c r="Q506" i="2"/>
  <c r="O506" i="2"/>
  <c r="M506" i="2"/>
  <c r="L506" i="2"/>
  <c r="R505" i="2"/>
  <c r="Q505" i="2"/>
  <c r="O505" i="2"/>
  <c r="M505" i="2"/>
  <c r="L505" i="2"/>
  <c r="R504" i="2"/>
  <c r="Q504" i="2"/>
  <c r="O504" i="2"/>
  <c r="M504" i="2"/>
  <c r="L504" i="2"/>
  <c r="R503" i="2"/>
  <c r="S503" i="2" s="1"/>
  <c r="Q503" i="2"/>
  <c r="O503" i="2"/>
  <c r="M503" i="2"/>
  <c r="L503" i="2"/>
  <c r="R502" i="2"/>
  <c r="S502" i="2" s="1"/>
  <c r="Q502" i="2"/>
  <c r="O502" i="2"/>
  <c r="M502" i="2"/>
  <c r="L502" i="2"/>
  <c r="R501" i="2"/>
  <c r="T501" i="2" s="1"/>
  <c r="Q501" i="2"/>
  <c r="O501" i="2"/>
  <c r="M501" i="2"/>
  <c r="L501" i="2"/>
  <c r="R500" i="2"/>
  <c r="T500" i="2" s="1"/>
  <c r="Q500" i="2"/>
  <c r="O500" i="2"/>
  <c r="M500" i="2"/>
  <c r="L500" i="2"/>
  <c r="R499" i="2"/>
  <c r="S499" i="2" s="1"/>
  <c r="Q499" i="2"/>
  <c r="O499" i="2"/>
  <c r="M499" i="2"/>
  <c r="L499" i="2"/>
  <c r="R498" i="2"/>
  <c r="S498" i="2" s="1"/>
  <c r="Q498" i="2"/>
  <c r="O498" i="2"/>
  <c r="M498" i="2"/>
  <c r="L498" i="2"/>
  <c r="R497" i="2"/>
  <c r="Q497" i="2"/>
  <c r="O497" i="2"/>
  <c r="M497" i="2"/>
  <c r="L497" i="2"/>
  <c r="R496" i="2"/>
  <c r="T496" i="2" s="1"/>
  <c r="Q496" i="2"/>
  <c r="O496" i="2"/>
  <c r="M496" i="2"/>
  <c r="L496" i="2"/>
  <c r="R495" i="2"/>
  <c r="S495" i="2" s="1"/>
  <c r="Q495" i="2"/>
  <c r="O495" i="2"/>
  <c r="M495" i="2"/>
  <c r="L495" i="2"/>
  <c r="R494" i="2"/>
  <c r="T494" i="2" s="1"/>
  <c r="Q494" i="2"/>
  <c r="O494" i="2"/>
  <c r="M494" i="2"/>
  <c r="L494" i="2"/>
  <c r="R493" i="2"/>
  <c r="S493" i="2" s="1"/>
  <c r="Q493" i="2"/>
  <c r="O493" i="2"/>
  <c r="M493" i="2"/>
  <c r="L493" i="2"/>
  <c r="R492" i="2"/>
  <c r="Q492" i="2"/>
  <c r="O492" i="2"/>
  <c r="M492" i="2"/>
  <c r="L492" i="2"/>
  <c r="R491" i="2"/>
  <c r="Q491" i="2"/>
  <c r="O491" i="2"/>
  <c r="M491" i="2"/>
  <c r="L491" i="2"/>
  <c r="R490" i="2"/>
  <c r="Q490" i="2"/>
  <c r="O490" i="2"/>
  <c r="M490" i="2"/>
  <c r="L490" i="2"/>
  <c r="R489" i="2"/>
  <c r="T489" i="2" s="1"/>
  <c r="Q489" i="2"/>
  <c r="O489" i="2"/>
  <c r="M489" i="2"/>
  <c r="L489" i="2"/>
  <c r="R488" i="2"/>
  <c r="T488" i="2" s="1"/>
  <c r="Q488" i="2"/>
  <c r="O488" i="2"/>
  <c r="M488" i="2"/>
  <c r="L488" i="2"/>
  <c r="R487" i="2"/>
  <c r="Q487" i="2"/>
  <c r="O487" i="2"/>
  <c r="M487" i="2"/>
  <c r="L487" i="2"/>
  <c r="R486" i="2"/>
  <c r="T486" i="2" s="1"/>
  <c r="Q486" i="2"/>
  <c r="O486" i="2"/>
  <c r="M486" i="2"/>
  <c r="L486" i="2"/>
  <c r="R485" i="2"/>
  <c r="Q485" i="2"/>
  <c r="O485" i="2"/>
  <c r="M485" i="2"/>
  <c r="L485" i="2"/>
  <c r="R484" i="2"/>
  <c r="Q484" i="2"/>
  <c r="O484" i="2"/>
  <c r="M484" i="2"/>
  <c r="L484" i="2"/>
  <c r="R483" i="2"/>
  <c r="Q483" i="2"/>
  <c r="O483" i="2"/>
  <c r="M483" i="2"/>
  <c r="L483" i="2"/>
  <c r="R482" i="2"/>
  <c r="T482" i="2" s="1"/>
  <c r="Q482" i="2"/>
  <c r="O482" i="2"/>
  <c r="M482" i="2"/>
  <c r="L482" i="2"/>
  <c r="R481" i="2"/>
  <c r="T481" i="2" s="1"/>
  <c r="Q481" i="2"/>
  <c r="O481" i="2"/>
  <c r="M481" i="2"/>
  <c r="L481" i="2"/>
  <c r="R480" i="2"/>
  <c r="Q480" i="2"/>
  <c r="O480" i="2"/>
  <c r="M480" i="2"/>
  <c r="L480" i="2"/>
  <c r="R479" i="2"/>
  <c r="Q479" i="2"/>
  <c r="O479" i="2"/>
  <c r="M479" i="2"/>
  <c r="L479" i="2"/>
  <c r="R478" i="2"/>
  <c r="Q478" i="2"/>
  <c r="O478" i="2"/>
  <c r="M478" i="2"/>
  <c r="L478" i="2"/>
  <c r="R477" i="2"/>
  <c r="Q477" i="2"/>
  <c r="O477" i="2"/>
  <c r="M477" i="2"/>
  <c r="L477" i="2"/>
  <c r="R476" i="2"/>
  <c r="S476" i="2" s="1"/>
  <c r="Q476" i="2"/>
  <c r="O476" i="2"/>
  <c r="M476" i="2"/>
  <c r="L476" i="2"/>
  <c r="R475" i="2"/>
  <c r="Q475" i="2"/>
  <c r="O475" i="2"/>
  <c r="M475" i="2"/>
  <c r="L475" i="2"/>
  <c r="R474" i="2"/>
  <c r="T474" i="2" s="1"/>
  <c r="Q474" i="2"/>
  <c r="O474" i="2"/>
  <c r="M474" i="2"/>
  <c r="L474" i="2"/>
  <c r="R473" i="2"/>
  <c r="S473" i="2" s="1"/>
  <c r="Q473" i="2"/>
  <c r="O473" i="2"/>
  <c r="M473" i="2"/>
  <c r="L473" i="2"/>
  <c r="R472" i="2"/>
  <c r="Q472" i="2"/>
  <c r="O472" i="2"/>
  <c r="M472" i="2"/>
  <c r="L472" i="2"/>
  <c r="R471" i="2"/>
  <c r="Q471" i="2"/>
  <c r="O471" i="2"/>
  <c r="M471" i="2"/>
  <c r="L471" i="2"/>
  <c r="R470" i="2"/>
  <c r="Q470" i="2"/>
  <c r="O470" i="2"/>
  <c r="M470" i="2"/>
  <c r="L470" i="2"/>
  <c r="R469" i="2"/>
  <c r="Q469" i="2"/>
  <c r="O469" i="2"/>
  <c r="M469" i="2"/>
  <c r="L469" i="2"/>
  <c r="R468" i="2"/>
  <c r="Q468" i="2"/>
  <c r="O468" i="2"/>
  <c r="M468" i="2"/>
  <c r="L468" i="2"/>
  <c r="R467" i="2"/>
  <c r="Q467" i="2"/>
  <c r="O467" i="2"/>
  <c r="M467" i="2"/>
  <c r="L467" i="2"/>
  <c r="R466" i="2"/>
  <c r="Q466" i="2"/>
  <c r="O466" i="2"/>
  <c r="M466" i="2"/>
  <c r="L466" i="2"/>
  <c r="R465" i="2"/>
  <c r="Q465" i="2"/>
  <c r="O465" i="2"/>
  <c r="M465" i="2"/>
  <c r="L465" i="2"/>
  <c r="R464" i="2"/>
  <c r="Q464" i="2"/>
  <c r="O464" i="2"/>
  <c r="M464" i="2"/>
  <c r="L464" i="2"/>
  <c r="R463" i="2"/>
  <c r="S463" i="2" s="1"/>
  <c r="Q463" i="2"/>
  <c r="O463" i="2"/>
  <c r="M463" i="2"/>
  <c r="L463" i="2"/>
  <c r="R462" i="2"/>
  <c r="S462" i="2" s="1"/>
  <c r="Q462" i="2"/>
  <c r="O462" i="2"/>
  <c r="M462" i="2"/>
  <c r="L462" i="2"/>
  <c r="R461" i="2"/>
  <c r="S461" i="2" s="1"/>
  <c r="Q461" i="2"/>
  <c r="O461" i="2"/>
  <c r="M461" i="2"/>
  <c r="L461" i="2"/>
  <c r="R460" i="2"/>
  <c r="S460" i="2" s="1"/>
  <c r="Q460" i="2"/>
  <c r="O460" i="2"/>
  <c r="M460" i="2"/>
  <c r="L460" i="2"/>
  <c r="R459" i="2"/>
  <c r="S459" i="2" s="1"/>
  <c r="Q459" i="2"/>
  <c r="O459" i="2"/>
  <c r="M459" i="2"/>
  <c r="L459" i="2"/>
  <c r="R458" i="2"/>
  <c r="S458" i="2" s="1"/>
  <c r="Q458" i="2"/>
  <c r="O458" i="2"/>
  <c r="M458" i="2"/>
  <c r="L458" i="2"/>
  <c r="R457" i="2"/>
  <c r="Q457" i="2"/>
  <c r="O457" i="2"/>
  <c r="M457" i="2"/>
  <c r="L457" i="2"/>
  <c r="R456" i="2"/>
  <c r="Q456" i="2"/>
  <c r="O456" i="2"/>
  <c r="M456" i="2"/>
  <c r="L456" i="2"/>
  <c r="R455" i="2"/>
  <c r="S455" i="2" s="1"/>
  <c r="Q455" i="2"/>
  <c r="O455" i="2"/>
  <c r="M455" i="2"/>
  <c r="L455" i="2"/>
  <c r="R454" i="2"/>
  <c r="T454" i="2" s="1"/>
  <c r="Q454" i="2"/>
  <c r="O454" i="2"/>
  <c r="M454" i="2"/>
  <c r="L454" i="2"/>
  <c r="R453" i="2"/>
  <c r="S453" i="2" s="1"/>
  <c r="Q453" i="2"/>
  <c r="O453" i="2"/>
  <c r="M453" i="2"/>
  <c r="L453" i="2"/>
  <c r="R452" i="2"/>
  <c r="Q452" i="2"/>
  <c r="O452" i="2"/>
  <c r="M452" i="2"/>
  <c r="L452" i="2"/>
  <c r="R451" i="2"/>
  <c r="T451" i="2" s="1"/>
  <c r="Q451" i="2"/>
  <c r="O451" i="2"/>
  <c r="M451" i="2"/>
  <c r="L451" i="2"/>
  <c r="R450" i="2"/>
  <c r="Q450" i="2"/>
  <c r="O450" i="2"/>
  <c r="M450" i="2"/>
  <c r="L450" i="2"/>
  <c r="R449" i="2"/>
  <c r="Q449" i="2"/>
  <c r="O449" i="2"/>
  <c r="M449" i="2"/>
  <c r="L449" i="2"/>
  <c r="R448" i="2"/>
  <c r="Q448" i="2"/>
  <c r="O448" i="2"/>
  <c r="M448" i="2"/>
  <c r="L448" i="2"/>
  <c r="R447" i="2"/>
  <c r="Q447" i="2"/>
  <c r="O447" i="2"/>
  <c r="M447" i="2"/>
  <c r="L447" i="2"/>
  <c r="R446" i="2"/>
  <c r="T446" i="2" s="1"/>
  <c r="Q446" i="2"/>
  <c r="O446" i="2"/>
  <c r="M446" i="2"/>
  <c r="L446" i="2"/>
  <c r="R445" i="2"/>
  <c r="Q445" i="2"/>
  <c r="O445" i="2"/>
  <c r="M445" i="2"/>
  <c r="L445" i="2"/>
  <c r="N445" i="2" s="1"/>
  <c r="P445" i="2" s="1"/>
  <c r="R444" i="2"/>
  <c r="Q444" i="2"/>
  <c r="O444" i="2"/>
  <c r="M444" i="2"/>
  <c r="L444" i="2"/>
  <c r="N444" i="2" s="1"/>
  <c r="P444" i="2" s="1"/>
  <c r="R443" i="2"/>
  <c r="Q443" i="2"/>
  <c r="O443" i="2"/>
  <c r="M443" i="2"/>
  <c r="L443" i="2"/>
  <c r="N443" i="2" s="1"/>
  <c r="P443" i="2" s="1"/>
  <c r="R442" i="2"/>
  <c r="Q442" i="2"/>
  <c r="O442" i="2"/>
  <c r="M442" i="2"/>
  <c r="L442" i="2"/>
  <c r="N442" i="2" s="1"/>
  <c r="P442" i="2" s="1"/>
  <c r="R441" i="2"/>
  <c r="Q441" i="2"/>
  <c r="O441" i="2"/>
  <c r="M441" i="2"/>
  <c r="L441" i="2"/>
  <c r="N441" i="2" s="1"/>
  <c r="P441" i="2" s="1"/>
  <c r="R440" i="2"/>
  <c r="T440" i="2" s="1"/>
  <c r="Q440" i="2"/>
  <c r="O440" i="2"/>
  <c r="M440" i="2"/>
  <c r="L440" i="2"/>
  <c r="N440" i="2" s="1"/>
  <c r="P440" i="2" s="1"/>
  <c r="R439" i="2"/>
  <c r="Q439" i="2"/>
  <c r="O439" i="2"/>
  <c r="M439" i="2"/>
  <c r="L439" i="2"/>
  <c r="N439" i="2" s="1"/>
  <c r="P439" i="2" s="1"/>
  <c r="R438" i="2"/>
  <c r="T438" i="2" s="1"/>
  <c r="Q438" i="2"/>
  <c r="O438" i="2"/>
  <c r="M438" i="2"/>
  <c r="L438" i="2"/>
  <c r="N438" i="2" s="1"/>
  <c r="P438" i="2" s="1"/>
  <c r="R437" i="2"/>
  <c r="T437" i="2" s="1"/>
  <c r="Q437" i="2"/>
  <c r="O437" i="2"/>
  <c r="M437" i="2"/>
  <c r="L437" i="2"/>
  <c r="N437" i="2" s="1"/>
  <c r="P437" i="2" s="1"/>
  <c r="R436" i="2"/>
  <c r="S436" i="2" s="1"/>
  <c r="Q436" i="2"/>
  <c r="O436" i="2"/>
  <c r="M436" i="2"/>
  <c r="L436" i="2"/>
  <c r="N436" i="2" s="1"/>
  <c r="P436" i="2" s="1"/>
  <c r="R435" i="2"/>
  <c r="S435" i="2" s="1"/>
  <c r="Q435" i="2"/>
  <c r="O435" i="2"/>
  <c r="M435" i="2"/>
  <c r="L435" i="2"/>
  <c r="N435" i="2" s="1"/>
  <c r="P435" i="2" s="1"/>
  <c r="R434" i="2"/>
  <c r="T434" i="2" s="1"/>
  <c r="Q434" i="2"/>
  <c r="O434" i="2"/>
  <c r="M434" i="2"/>
  <c r="L434" i="2"/>
  <c r="N434" i="2" s="1"/>
  <c r="P434" i="2" s="1"/>
  <c r="R433" i="2"/>
  <c r="Q433" i="2"/>
  <c r="O433" i="2"/>
  <c r="M433" i="2"/>
  <c r="L433" i="2"/>
  <c r="N433" i="2" s="1"/>
  <c r="P433" i="2" s="1"/>
  <c r="R432" i="2"/>
  <c r="T432" i="2" s="1"/>
  <c r="Q432" i="2"/>
  <c r="O432" i="2"/>
  <c r="M432" i="2"/>
  <c r="L432" i="2"/>
  <c r="N432" i="2" s="1"/>
  <c r="P432" i="2" s="1"/>
  <c r="R431" i="2"/>
  <c r="Q431" i="2"/>
  <c r="O431" i="2"/>
  <c r="M431" i="2"/>
  <c r="L431" i="2"/>
  <c r="N431" i="2" s="1"/>
  <c r="P431" i="2" s="1"/>
  <c r="R430" i="2"/>
  <c r="T430" i="2" s="1"/>
  <c r="Q430" i="2"/>
  <c r="O430" i="2"/>
  <c r="M430" i="2"/>
  <c r="L430" i="2"/>
  <c r="N430" i="2" s="1"/>
  <c r="P430" i="2" s="1"/>
  <c r="R429" i="2"/>
  <c r="Q429" i="2"/>
  <c r="O429" i="2"/>
  <c r="M429" i="2"/>
  <c r="L429" i="2"/>
  <c r="N429" i="2" s="1"/>
  <c r="P429" i="2" s="1"/>
  <c r="R428" i="2"/>
  <c r="Q428" i="2"/>
  <c r="O428" i="2"/>
  <c r="M428" i="2"/>
  <c r="L428" i="2"/>
  <c r="N428" i="2" s="1"/>
  <c r="P428" i="2" s="1"/>
  <c r="R427" i="2"/>
  <c r="S427" i="2" s="1"/>
  <c r="Q427" i="2"/>
  <c r="O427" i="2"/>
  <c r="M427" i="2"/>
  <c r="L427" i="2"/>
  <c r="N427" i="2" s="1"/>
  <c r="P427" i="2" s="1"/>
  <c r="R426" i="2"/>
  <c r="Q426" i="2"/>
  <c r="O426" i="2"/>
  <c r="M426" i="2"/>
  <c r="L426" i="2"/>
  <c r="N426" i="2" s="1"/>
  <c r="P426" i="2" s="1"/>
  <c r="R425" i="2"/>
  <c r="Q425" i="2"/>
  <c r="O425" i="2"/>
  <c r="M425" i="2"/>
  <c r="L425" i="2"/>
  <c r="N425" i="2" s="1"/>
  <c r="P425" i="2" s="1"/>
  <c r="R424" i="2"/>
  <c r="T424" i="2" s="1"/>
  <c r="Q424" i="2"/>
  <c r="O424" i="2"/>
  <c r="M424" i="2"/>
  <c r="L424" i="2"/>
  <c r="N424" i="2" s="1"/>
  <c r="P424" i="2" s="1"/>
  <c r="R423" i="2"/>
  <c r="S423" i="2" s="1"/>
  <c r="Q423" i="2"/>
  <c r="O423" i="2"/>
  <c r="M423" i="2"/>
  <c r="L423" i="2"/>
  <c r="N423" i="2" s="1"/>
  <c r="P423" i="2" s="1"/>
  <c r="R422" i="2"/>
  <c r="T422" i="2" s="1"/>
  <c r="Q422" i="2"/>
  <c r="O422" i="2"/>
  <c r="M422" i="2"/>
  <c r="L422" i="2"/>
  <c r="N422" i="2" s="1"/>
  <c r="P422" i="2" s="1"/>
  <c r="R421" i="2"/>
  <c r="S421" i="2" s="1"/>
  <c r="Q421" i="2"/>
  <c r="O421" i="2"/>
  <c r="M421" i="2"/>
  <c r="L421" i="2"/>
  <c r="N421" i="2" s="1"/>
  <c r="P421" i="2" s="1"/>
  <c r="R420" i="2"/>
  <c r="S420" i="2" s="1"/>
  <c r="Q420" i="2"/>
  <c r="O420" i="2"/>
  <c r="M420" i="2"/>
  <c r="L420" i="2"/>
  <c r="N420" i="2" s="1"/>
  <c r="P420" i="2" s="1"/>
  <c r="R419" i="2"/>
  <c r="S419" i="2" s="1"/>
  <c r="Q419" i="2"/>
  <c r="O419" i="2"/>
  <c r="M419" i="2"/>
  <c r="L419" i="2"/>
  <c r="N419" i="2" s="1"/>
  <c r="P419" i="2" s="1"/>
  <c r="R418" i="2"/>
  <c r="T418" i="2" s="1"/>
  <c r="Q418" i="2"/>
  <c r="O418" i="2"/>
  <c r="M418" i="2"/>
  <c r="L418" i="2"/>
  <c r="N418" i="2" s="1"/>
  <c r="P418" i="2" s="1"/>
  <c r="R417" i="2"/>
  <c r="Q417" i="2"/>
  <c r="O417" i="2"/>
  <c r="M417" i="2"/>
  <c r="L417" i="2"/>
  <c r="N417" i="2" s="1"/>
  <c r="P417" i="2" s="1"/>
  <c r="R416" i="2"/>
  <c r="Q416" i="2"/>
  <c r="O416" i="2"/>
  <c r="M416" i="2"/>
  <c r="L416" i="2"/>
  <c r="N416" i="2" s="1"/>
  <c r="P416" i="2" s="1"/>
  <c r="R415" i="2"/>
  <c r="S415" i="2" s="1"/>
  <c r="Q415" i="2"/>
  <c r="O415" i="2"/>
  <c r="M415" i="2"/>
  <c r="L415" i="2"/>
  <c r="N415" i="2" s="1"/>
  <c r="P415" i="2" s="1"/>
  <c r="R414" i="2"/>
  <c r="Q414" i="2"/>
  <c r="O414" i="2"/>
  <c r="M414" i="2"/>
  <c r="L414" i="2"/>
  <c r="N414" i="2" s="1"/>
  <c r="P414" i="2" s="1"/>
  <c r="R413" i="2"/>
  <c r="S413" i="2" s="1"/>
  <c r="Q413" i="2"/>
  <c r="O413" i="2"/>
  <c r="M413" i="2"/>
  <c r="L413" i="2"/>
  <c r="N413" i="2" s="1"/>
  <c r="P413" i="2" s="1"/>
  <c r="R412" i="2"/>
  <c r="Q412" i="2"/>
  <c r="O412" i="2"/>
  <c r="M412" i="2"/>
  <c r="L412" i="2"/>
  <c r="N412" i="2" s="1"/>
  <c r="P412" i="2" s="1"/>
  <c r="R411" i="2"/>
  <c r="Q411" i="2"/>
  <c r="O411" i="2"/>
  <c r="M411" i="2"/>
  <c r="L411" i="2"/>
  <c r="N411" i="2" s="1"/>
  <c r="P411" i="2" s="1"/>
  <c r="R410" i="2"/>
  <c r="T410" i="2" s="1"/>
  <c r="Q410" i="2"/>
  <c r="O410" i="2"/>
  <c r="M410" i="2"/>
  <c r="L410" i="2"/>
  <c r="N410" i="2" s="1"/>
  <c r="P410" i="2" s="1"/>
  <c r="R409" i="2"/>
  <c r="Q409" i="2"/>
  <c r="O409" i="2"/>
  <c r="M409" i="2"/>
  <c r="L409" i="2"/>
  <c r="N409" i="2" s="1"/>
  <c r="P409" i="2" s="1"/>
  <c r="R408" i="2"/>
  <c r="T408" i="2" s="1"/>
  <c r="Q408" i="2"/>
  <c r="O408" i="2"/>
  <c r="M408" i="2"/>
  <c r="L408" i="2"/>
  <c r="N408" i="2" s="1"/>
  <c r="P408" i="2" s="1"/>
  <c r="R407" i="2"/>
  <c r="Q407" i="2"/>
  <c r="O407" i="2"/>
  <c r="M407" i="2"/>
  <c r="L407" i="2"/>
  <c r="N407" i="2" s="1"/>
  <c r="P407" i="2" s="1"/>
  <c r="R406" i="2"/>
  <c r="Q406" i="2"/>
  <c r="O406" i="2"/>
  <c r="M406" i="2"/>
  <c r="L406" i="2"/>
  <c r="N406" i="2" s="1"/>
  <c r="P406" i="2" s="1"/>
  <c r="R405" i="2"/>
  <c r="Q405" i="2"/>
  <c r="O405" i="2"/>
  <c r="M405" i="2"/>
  <c r="L405" i="2"/>
  <c r="N405" i="2" s="1"/>
  <c r="P405" i="2" s="1"/>
  <c r="R404" i="2"/>
  <c r="Q404" i="2"/>
  <c r="O404" i="2"/>
  <c r="M404" i="2"/>
  <c r="L404" i="2"/>
  <c r="N404" i="2" s="1"/>
  <c r="P404" i="2" s="1"/>
  <c r="R403" i="2"/>
  <c r="Q403" i="2"/>
  <c r="O403" i="2"/>
  <c r="M403" i="2"/>
  <c r="L403" i="2"/>
  <c r="N403" i="2" s="1"/>
  <c r="P403" i="2" s="1"/>
  <c r="R402" i="2"/>
  <c r="Q402" i="2"/>
  <c r="O402" i="2"/>
  <c r="M402" i="2"/>
  <c r="L402" i="2"/>
  <c r="N402" i="2" s="1"/>
  <c r="P402" i="2" s="1"/>
  <c r="R401" i="2"/>
  <c r="Q401" i="2"/>
  <c r="O401" i="2"/>
  <c r="M401" i="2"/>
  <c r="L401" i="2"/>
  <c r="N401" i="2" s="1"/>
  <c r="P401" i="2" s="1"/>
  <c r="R400" i="2"/>
  <c r="Q400" i="2"/>
  <c r="O400" i="2"/>
  <c r="M400" i="2"/>
  <c r="L400" i="2"/>
  <c r="N400" i="2" s="1"/>
  <c r="P400" i="2" s="1"/>
  <c r="R399" i="2"/>
  <c r="Q399" i="2"/>
  <c r="O399" i="2"/>
  <c r="M399" i="2"/>
  <c r="L399" i="2"/>
  <c r="N399" i="2" s="1"/>
  <c r="P399" i="2" s="1"/>
  <c r="R398" i="2"/>
  <c r="Q398" i="2"/>
  <c r="O398" i="2"/>
  <c r="M398" i="2"/>
  <c r="L398" i="2"/>
  <c r="N398" i="2" s="1"/>
  <c r="P398" i="2" s="1"/>
  <c r="R397" i="2"/>
  <c r="T397" i="2" s="1"/>
  <c r="Q397" i="2"/>
  <c r="O397" i="2"/>
  <c r="M397" i="2"/>
  <c r="L397" i="2"/>
  <c r="N397" i="2" s="1"/>
  <c r="P397" i="2" s="1"/>
  <c r="R396" i="2"/>
  <c r="S396" i="2" s="1"/>
  <c r="Q396" i="2"/>
  <c r="O396" i="2"/>
  <c r="M396" i="2"/>
  <c r="L396" i="2"/>
  <c r="N396" i="2" s="1"/>
  <c r="P396" i="2" s="1"/>
  <c r="R395" i="2"/>
  <c r="S395" i="2" s="1"/>
  <c r="Q395" i="2"/>
  <c r="O395" i="2"/>
  <c r="M395" i="2"/>
  <c r="L395" i="2"/>
  <c r="N395" i="2" s="1"/>
  <c r="P395" i="2" s="1"/>
  <c r="R394" i="2"/>
  <c r="T394" i="2" s="1"/>
  <c r="Q394" i="2"/>
  <c r="O394" i="2"/>
  <c r="M394" i="2"/>
  <c r="L394" i="2"/>
  <c r="N394" i="2" s="1"/>
  <c r="P394" i="2" s="1"/>
  <c r="R393" i="2"/>
  <c r="Q393" i="2"/>
  <c r="O393" i="2"/>
  <c r="M393" i="2"/>
  <c r="L393" i="2"/>
  <c r="N393" i="2" s="1"/>
  <c r="P393" i="2" s="1"/>
  <c r="R392" i="2"/>
  <c r="Q392" i="2"/>
  <c r="O392" i="2"/>
  <c r="M392" i="2"/>
  <c r="L392" i="2"/>
  <c r="N392" i="2" s="1"/>
  <c r="P392" i="2" s="1"/>
  <c r="R391" i="2"/>
  <c r="Q391" i="2"/>
  <c r="O391" i="2"/>
  <c r="M391" i="2"/>
  <c r="L391" i="2"/>
  <c r="N391" i="2" s="1"/>
  <c r="P391" i="2" s="1"/>
  <c r="R390" i="2"/>
  <c r="T390" i="2" s="1"/>
  <c r="Q390" i="2"/>
  <c r="O390" i="2"/>
  <c r="M390" i="2"/>
  <c r="L390" i="2"/>
  <c r="N390" i="2" s="1"/>
  <c r="P390" i="2" s="1"/>
  <c r="R389" i="2"/>
  <c r="Q389" i="2"/>
  <c r="O389" i="2"/>
  <c r="M389" i="2"/>
  <c r="L389" i="2"/>
  <c r="N389" i="2" s="1"/>
  <c r="P389" i="2" s="1"/>
  <c r="R388" i="2"/>
  <c r="Q388" i="2"/>
  <c r="O388" i="2"/>
  <c r="M388" i="2"/>
  <c r="L388" i="2"/>
  <c r="N388" i="2" s="1"/>
  <c r="P388" i="2" s="1"/>
  <c r="R387" i="2"/>
  <c r="Q387" i="2"/>
  <c r="O387" i="2"/>
  <c r="M387" i="2"/>
  <c r="L387" i="2"/>
  <c r="N387" i="2" s="1"/>
  <c r="P387" i="2" s="1"/>
  <c r="R386" i="2"/>
  <c r="Q386" i="2"/>
  <c r="O386" i="2"/>
  <c r="M386" i="2"/>
  <c r="L386" i="2"/>
  <c r="N386" i="2" s="1"/>
  <c r="P386" i="2" s="1"/>
  <c r="R385" i="2"/>
  <c r="Q385" i="2"/>
  <c r="O385" i="2"/>
  <c r="M385" i="2"/>
  <c r="L385" i="2"/>
  <c r="N385" i="2" s="1"/>
  <c r="P385" i="2" s="1"/>
  <c r="R384" i="2"/>
  <c r="T384" i="2" s="1"/>
  <c r="Q384" i="2"/>
  <c r="O384" i="2"/>
  <c r="M384" i="2"/>
  <c r="L384" i="2"/>
  <c r="N384" i="2" s="1"/>
  <c r="P384" i="2" s="1"/>
  <c r="R383" i="2"/>
  <c r="S383" i="2" s="1"/>
  <c r="Q383" i="2"/>
  <c r="O383" i="2"/>
  <c r="M383" i="2"/>
  <c r="L383" i="2"/>
  <c r="N383" i="2" s="1"/>
  <c r="P383" i="2" s="1"/>
  <c r="R382" i="2"/>
  <c r="S382" i="2" s="1"/>
  <c r="Q382" i="2"/>
  <c r="O382" i="2"/>
  <c r="M382" i="2"/>
  <c r="L382" i="2"/>
  <c r="N382" i="2" s="1"/>
  <c r="P382" i="2" s="1"/>
  <c r="R381" i="2"/>
  <c r="S381" i="2" s="1"/>
  <c r="Q381" i="2"/>
  <c r="O381" i="2"/>
  <c r="M381" i="2"/>
  <c r="L381" i="2"/>
  <c r="N381" i="2" s="1"/>
  <c r="P381" i="2" s="1"/>
  <c r="R380" i="2"/>
  <c r="S380" i="2" s="1"/>
  <c r="Q380" i="2"/>
  <c r="O380" i="2"/>
  <c r="M380" i="2"/>
  <c r="L380" i="2"/>
  <c r="N380" i="2" s="1"/>
  <c r="P380" i="2" s="1"/>
  <c r="R379" i="2"/>
  <c r="S379" i="2" s="1"/>
  <c r="Q379" i="2"/>
  <c r="O379" i="2"/>
  <c r="M379" i="2"/>
  <c r="L379" i="2"/>
  <c r="N379" i="2" s="1"/>
  <c r="P379" i="2" s="1"/>
  <c r="R378" i="2"/>
  <c r="S378" i="2" s="1"/>
  <c r="Q378" i="2"/>
  <c r="O378" i="2"/>
  <c r="M378" i="2"/>
  <c r="L378" i="2"/>
  <c r="N378" i="2" s="1"/>
  <c r="P378" i="2" s="1"/>
  <c r="R377" i="2"/>
  <c r="Q377" i="2"/>
  <c r="O377" i="2"/>
  <c r="M377" i="2"/>
  <c r="L377" i="2"/>
  <c r="N377" i="2" s="1"/>
  <c r="P377" i="2" s="1"/>
  <c r="R376" i="2"/>
  <c r="T376" i="2" s="1"/>
  <c r="Q376" i="2"/>
  <c r="O376" i="2"/>
  <c r="M376" i="2"/>
  <c r="L376" i="2"/>
  <c r="N376" i="2" s="1"/>
  <c r="P376" i="2" s="1"/>
  <c r="R375" i="2"/>
  <c r="S375" i="2" s="1"/>
  <c r="Q375" i="2"/>
  <c r="O375" i="2"/>
  <c r="M375" i="2"/>
  <c r="L375" i="2"/>
  <c r="N375" i="2" s="1"/>
  <c r="P375" i="2" s="1"/>
  <c r="R374" i="2"/>
  <c r="Q374" i="2"/>
  <c r="O374" i="2"/>
  <c r="M374" i="2"/>
  <c r="L374" i="2"/>
  <c r="N374" i="2" s="1"/>
  <c r="P374" i="2" s="1"/>
  <c r="R373" i="2"/>
  <c r="S373" i="2" s="1"/>
  <c r="Q373" i="2"/>
  <c r="O373" i="2"/>
  <c r="M373" i="2"/>
  <c r="L373" i="2"/>
  <c r="N373" i="2" s="1"/>
  <c r="P373" i="2" s="1"/>
  <c r="R372" i="2"/>
  <c r="Q372" i="2"/>
  <c r="O372" i="2"/>
  <c r="M372" i="2"/>
  <c r="L372" i="2"/>
  <c r="N372" i="2" s="1"/>
  <c r="P372" i="2" s="1"/>
  <c r="R371" i="2"/>
  <c r="Q371" i="2"/>
  <c r="O371" i="2"/>
  <c r="M371" i="2"/>
  <c r="L371" i="2"/>
  <c r="N371" i="2" s="1"/>
  <c r="P371" i="2" s="1"/>
  <c r="R370" i="2"/>
  <c r="Q370" i="2"/>
  <c r="O370" i="2"/>
  <c r="M370" i="2"/>
  <c r="L370" i="2"/>
  <c r="N370" i="2" s="1"/>
  <c r="P370" i="2" s="1"/>
  <c r="R369" i="2"/>
  <c r="Q369" i="2"/>
  <c r="O369" i="2"/>
  <c r="M369" i="2"/>
  <c r="L369" i="2"/>
  <c r="N369" i="2" s="1"/>
  <c r="P369" i="2" s="1"/>
  <c r="R368" i="2"/>
  <c r="T368" i="2" s="1"/>
  <c r="Q368" i="2"/>
  <c r="O368" i="2"/>
  <c r="M368" i="2"/>
  <c r="L368" i="2"/>
  <c r="N368" i="2" s="1"/>
  <c r="P368" i="2" s="1"/>
  <c r="R367" i="2"/>
  <c r="T367" i="2" s="1"/>
  <c r="Q367" i="2"/>
  <c r="O367" i="2"/>
  <c r="M367" i="2"/>
  <c r="L367" i="2"/>
  <c r="N367" i="2" s="1"/>
  <c r="P367" i="2" s="1"/>
  <c r="R366" i="2"/>
  <c r="Q366" i="2"/>
  <c r="O366" i="2"/>
  <c r="M366" i="2"/>
  <c r="L366" i="2"/>
  <c r="N366" i="2" s="1"/>
  <c r="P366" i="2" s="1"/>
  <c r="R365" i="2"/>
  <c r="T365" i="2" s="1"/>
  <c r="Q365" i="2"/>
  <c r="O365" i="2"/>
  <c r="M365" i="2"/>
  <c r="L365" i="2"/>
  <c r="N365" i="2" s="1"/>
  <c r="P365" i="2" s="1"/>
  <c r="R364" i="2"/>
  <c r="T364" i="2" s="1"/>
  <c r="Q364" i="2"/>
  <c r="O364" i="2"/>
  <c r="M364" i="2"/>
  <c r="L364" i="2"/>
  <c r="N364" i="2" s="1"/>
  <c r="P364" i="2" s="1"/>
  <c r="R363" i="2"/>
  <c r="Q363" i="2"/>
  <c r="O363" i="2"/>
  <c r="M363" i="2"/>
  <c r="L363" i="2"/>
  <c r="N363" i="2" s="1"/>
  <c r="P363" i="2" s="1"/>
  <c r="R362" i="2"/>
  <c r="Q362" i="2"/>
  <c r="O362" i="2"/>
  <c r="M362" i="2"/>
  <c r="L362" i="2"/>
  <c r="N362" i="2" s="1"/>
  <c r="P362" i="2" s="1"/>
  <c r="R361" i="2"/>
  <c r="Q361" i="2"/>
  <c r="O361" i="2"/>
  <c r="M361" i="2"/>
  <c r="L361" i="2"/>
  <c r="N361" i="2" s="1"/>
  <c r="P361" i="2" s="1"/>
  <c r="R360" i="2"/>
  <c r="Q360" i="2"/>
  <c r="O360" i="2"/>
  <c r="M360" i="2"/>
  <c r="L360" i="2"/>
  <c r="N360" i="2" s="1"/>
  <c r="P360" i="2" s="1"/>
  <c r="R359" i="2"/>
  <c r="Q359" i="2"/>
  <c r="O359" i="2"/>
  <c r="M359" i="2"/>
  <c r="L359" i="2"/>
  <c r="N359" i="2" s="1"/>
  <c r="P359" i="2" s="1"/>
  <c r="R358" i="2"/>
  <c r="T358" i="2" s="1"/>
  <c r="Q358" i="2"/>
  <c r="O358" i="2"/>
  <c r="M358" i="2"/>
  <c r="L358" i="2"/>
  <c r="N358" i="2" s="1"/>
  <c r="P358" i="2" s="1"/>
  <c r="R357" i="2"/>
  <c r="Q357" i="2"/>
  <c r="O357" i="2"/>
  <c r="M357" i="2"/>
  <c r="L357" i="2"/>
  <c r="N357" i="2" s="1"/>
  <c r="P357" i="2" s="1"/>
  <c r="R356" i="2"/>
  <c r="T356" i="2" s="1"/>
  <c r="Q356" i="2"/>
  <c r="O356" i="2"/>
  <c r="M356" i="2"/>
  <c r="L356" i="2"/>
  <c r="N356" i="2" s="1"/>
  <c r="P356" i="2" s="1"/>
  <c r="R355" i="2"/>
  <c r="S355" i="2" s="1"/>
  <c r="Q355" i="2"/>
  <c r="O355" i="2"/>
  <c r="M355" i="2"/>
  <c r="L355" i="2"/>
  <c r="N355" i="2" s="1"/>
  <c r="P355" i="2" s="1"/>
  <c r="R354" i="2"/>
  <c r="Q354" i="2"/>
  <c r="O354" i="2"/>
  <c r="M354" i="2"/>
  <c r="L354" i="2"/>
  <c r="N354" i="2" s="1"/>
  <c r="P354" i="2" s="1"/>
  <c r="R353" i="2"/>
  <c r="Q353" i="2"/>
  <c r="O353" i="2"/>
  <c r="M353" i="2"/>
  <c r="L353" i="2"/>
  <c r="N353" i="2" s="1"/>
  <c r="P353" i="2" s="1"/>
  <c r="R352" i="2"/>
  <c r="Q352" i="2"/>
  <c r="O352" i="2"/>
  <c r="M352" i="2"/>
  <c r="L352" i="2"/>
  <c r="N352" i="2" s="1"/>
  <c r="P352" i="2" s="1"/>
  <c r="R351" i="2"/>
  <c r="Q351" i="2"/>
  <c r="O351" i="2"/>
  <c r="M351" i="2"/>
  <c r="L351" i="2"/>
  <c r="N351" i="2" s="1"/>
  <c r="P351" i="2" s="1"/>
  <c r="R350" i="2"/>
  <c r="Q350" i="2"/>
  <c r="O350" i="2"/>
  <c r="M350" i="2"/>
  <c r="L350" i="2"/>
  <c r="N350" i="2" s="1"/>
  <c r="P350" i="2" s="1"/>
  <c r="R349" i="2"/>
  <c r="Q349" i="2"/>
  <c r="O349" i="2"/>
  <c r="M349" i="2"/>
  <c r="L349" i="2"/>
  <c r="N349" i="2" s="1"/>
  <c r="P349" i="2" s="1"/>
  <c r="R348" i="2"/>
  <c r="T348" i="2" s="1"/>
  <c r="Q348" i="2"/>
  <c r="O348" i="2"/>
  <c r="M348" i="2"/>
  <c r="L348" i="2"/>
  <c r="N348" i="2" s="1"/>
  <c r="P348" i="2" s="1"/>
  <c r="R347" i="2"/>
  <c r="Q347" i="2"/>
  <c r="O347" i="2"/>
  <c r="M347" i="2"/>
  <c r="L347" i="2"/>
  <c r="N347" i="2" s="1"/>
  <c r="P347" i="2" s="1"/>
  <c r="R346" i="2"/>
  <c r="Q346" i="2"/>
  <c r="O346" i="2"/>
  <c r="M346" i="2"/>
  <c r="L346" i="2"/>
  <c r="N346" i="2" s="1"/>
  <c r="P346" i="2" s="1"/>
  <c r="R345" i="2"/>
  <c r="Q345" i="2"/>
  <c r="O345" i="2"/>
  <c r="M345" i="2"/>
  <c r="L345" i="2"/>
  <c r="N345" i="2" s="1"/>
  <c r="P345" i="2" s="1"/>
  <c r="R344" i="2"/>
  <c r="Q344" i="2"/>
  <c r="O344" i="2"/>
  <c r="M344" i="2"/>
  <c r="L344" i="2"/>
  <c r="N344" i="2" s="1"/>
  <c r="P344" i="2" s="1"/>
  <c r="R343" i="2"/>
  <c r="S343" i="2" s="1"/>
  <c r="Q343" i="2"/>
  <c r="O343" i="2"/>
  <c r="M343" i="2"/>
  <c r="L343" i="2"/>
  <c r="N343" i="2" s="1"/>
  <c r="P343" i="2" s="1"/>
  <c r="R342" i="2"/>
  <c r="S342" i="2" s="1"/>
  <c r="Q342" i="2"/>
  <c r="O342" i="2"/>
  <c r="M342" i="2"/>
  <c r="L342" i="2"/>
  <c r="N342" i="2" s="1"/>
  <c r="P342" i="2" s="1"/>
  <c r="R341" i="2"/>
  <c r="S341" i="2" s="1"/>
  <c r="Q341" i="2"/>
  <c r="O341" i="2"/>
  <c r="M341" i="2"/>
  <c r="L341" i="2"/>
  <c r="N341" i="2" s="1"/>
  <c r="P341" i="2" s="1"/>
  <c r="R340" i="2"/>
  <c r="S340" i="2" s="1"/>
  <c r="Q340" i="2"/>
  <c r="O340" i="2"/>
  <c r="M340" i="2"/>
  <c r="L340" i="2"/>
  <c r="N340" i="2" s="1"/>
  <c r="P340" i="2" s="1"/>
  <c r="R339" i="2"/>
  <c r="S339" i="2" s="1"/>
  <c r="Q339" i="2"/>
  <c r="O339" i="2"/>
  <c r="M339" i="2"/>
  <c r="L339" i="2"/>
  <c r="N339" i="2" s="1"/>
  <c r="P339" i="2" s="1"/>
  <c r="R338" i="2"/>
  <c r="S338" i="2" s="1"/>
  <c r="Q338" i="2"/>
  <c r="O338" i="2"/>
  <c r="M338" i="2"/>
  <c r="L338" i="2"/>
  <c r="N338" i="2" s="1"/>
  <c r="P338" i="2" s="1"/>
  <c r="R337" i="2"/>
  <c r="T337" i="2" s="1"/>
  <c r="Q337" i="2"/>
  <c r="O337" i="2"/>
  <c r="M337" i="2"/>
  <c r="L337" i="2"/>
  <c r="N337" i="2" s="1"/>
  <c r="P337" i="2" s="1"/>
  <c r="R336" i="2"/>
  <c r="Q336" i="2"/>
  <c r="O336" i="2"/>
  <c r="M336" i="2"/>
  <c r="L336" i="2"/>
  <c r="N336" i="2" s="1"/>
  <c r="P336" i="2" s="1"/>
  <c r="R335" i="2"/>
  <c r="S335" i="2" s="1"/>
  <c r="Q335" i="2"/>
  <c r="O335" i="2"/>
  <c r="M335" i="2"/>
  <c r="L335" i="2"/>
  <c r="N335" i="2" s="1"/>
  <c r="P335" i="2" s="1"/>
  <c r="R334" i="2"/>
  <c r="Q334" i="2"/>
  <c r="O334" i="2"/>
  <c r="M334" i="2"/>
  <c r="L334" i="2"/>
  <c r="N334" i="2" s="1"/>
  <c r="P334" i="2" s="1"/>
  <c r="R333" i="2"/>
  <c r="S333" i="2" s="1"/>
  <c r="Q333" i="2"/>
  <c r="O333" i="2"/>
  <c r="M333" i="2"/>
  <c r="L333" i="2"/>
  <c r="N333" i="2" s="1"/>
  <c r="P333" i="2" s="1"/>
  <c r="R332" i="2"/>
  <c r="Q332" i="2"/>
  <c r="O332" i="2"/>
  <c r="M332" i="2"/>
  <c r="L332" i="2"/>
  <c r="N332" i="2" s="1"/>
  <c r="P332" i="2" s="1"/>
  <c r="R331" i="2"/>
  <c r="Q331" i="2"/>
  <c r="O331" i="2"/>
  <c r="M331" i="2"/>
  <c r="L331" i="2"/>
  <c r="N331" i="2" s="1"/>
  <c r="P331" i="2" s="1"/>
  <c r="R330" i="2"/>
  <c r="T330" i="2" s="1"/>
  <c r="Q330" i="2"/>
  <c r="O330" i="2"/>
  <c r="M330" i="2"/>
  <c r="L330" i="2"/>
  <c r="N330" i="2" s="1"/>
  <c r="P330" i="2" s="1"/>
  <c r="R329" i="2"/>
  <c r="Q329" i="2"/>
  <c r="O329" i="2"/>
  <c r="M329" i="2"/>
  <c r="L329" i="2"/>
  <c r="N329" i="2" s="1"/>
  <c r="P329" i="2" s="1"/>
  <c r="R328" i="2"/>
  <c r="Q328" i="2"/>
  <c r="O328" i="2"/>
  <c r="M328" i="2"/>
  <c r="L328" i="2"/>
  <c r="N328" i="2" s="1"/>
  <c r="P328" i="2" s="1"/>
  <c r="R327" i="2"/>
  <c r="Q327" i="2"/>
  <c r="O327" i="2"/>
  <c r="M327" i="2"/>
  <c r="L327" i="2"/>
  <c r="N327" i="2" s="1"/>
  <c r="P327" i="2" s="1"/>
  <c r="R326" i="2"/>
  <c r="Q326" i="2"/>
  <c r="O326" i="2"/>
  <c r="M326" i="2"/>
  <c r="L326" i="2"/>
  <c r="N326" i="2" s="1"/>
  <c r="P326" i="2" s="1"/>
  <c r="R325" i="2"/>
  <c r="Q325" i="2"/>
  <c r="O325" i="2"/>
  <c r="M325" i="2"/>
  <c r="L325" i="2"/>
  <c r="N325" i="2" s="1"/>
  <c r="P325" i="2" s="1"/>
  <c r="R324" i="2"/>
  <c r="Q324" i="2"/>
  <c r="O324" i="2"/>
  <c r="M324" i="2"/>
  <c r="L324" i="2"/>
  <c r="N324" i="2" s="1"/>
  <c r="P324" i="2" s="1"/>
  <c r="R323" i="2"/>
  <c r="Q323" i="2"/>
  <c r="O323" i="2"/>
  <c r="M323" i="2"/>
  <c r="L323" i="2"/>
  <c r="N323" i="2" s="1"/>
  <c r="P323" i="2" s="1"/>
  <c r="R322" i="2"/>
  <c r="S322" i="2" s="1"/>
  <c r="Q322" i="2"/>
  <c r="O322" i="2"/>
  <c r="M322" i="2"/>
  <c r="L322" i="2"/>
  <c r="N322" i="2" s="1"/>
  <c r="P322" i="2" s="1"/>
  <c r="R321" i="2"/>
  <c r="Q321" i="2"/>
  <c r="O321" i="2"/>
  <c r="M321" i="2"/>
  <c r="L321" i="2"/>
  <c r="N321" i="2" s="1"/>
  <c r="P321" i="2" s="1"/>
  <c r="R320" i="2"/>
  <c r="Q320" i="2"/>
  <c r="O320" i="2"/>
  <c r="M320" i="2"/>
  <c r="L320" i="2"/>
  <c r="N320" i="2" s="1"/>
  <c r="P320" i="2" s="1"/>
  <c r="R319" i="2"/>
  <c r="Q319" i="2"/>
  <c r="O319" i="2"/>
  <c r="M319" i="2"/>
  <c r="L319" i="2"/>
  <c r="N319" i="2" s="1"/>
  <c r="P319" i="2" s="1"/>
  <c r="R318" i="2"/>
  <c r="S318" i="2" s="1"/>
  <c r="Q318" i="2"/>
  <c r="O318" i="2"/>
  <c r="M318" i="2"/>
  <c r="L318" i="2"/>
  <c r="N318" i="2" s="1"/>
  <c r="P318" i="2" s="1"/>
  <c r="R317" i="2"/>
  <c r="Q317" i="2"/>
  <c r="O317" i="2"/>
  <c r="M317" i="2"/>
  <c r="L317" i="2"/>
  <c r="N317" i="2" s="1"/>
  <c r="P317" i="2" s="1"/>
  <c r="R316" i="2"/>
  <c r="S316" i="2" s="1"/>
  <c r="Q316" i="2"/>
  <c r="O316" i="2"/>
  <c r="M316" i="2"/>
  <c r="L316" i="2"/>
  <c r="N316" i="2" s="1"/>
  <c r="P316" i="2" s="1"/>
  <c r="R315" i="2"/>
  <c r="Q315" i="2"/>
  <c r="O315" i="2"/>
  <c r="M315" i="2"/>
  <c r="L315" i="2"/>
  <c r="N315" i="2" s="1"/>
  <c r="P315" i="2" s="1"/>
  <c r="R314" i="2"/>
  <c r="Q314" i="2"/>
  <c r="O314" i="2"/>
  <c r="M314" i="2"/>
  <c r="L314" i="2"/>
  <c r="N314" i="2" s="1"/>
  <c r="P314" i="2" s="1"/>
  <c r="R313" i="2"/>
  <c r="Q313" i="2"/>
  <c r="O313" i="2"/>
  <c r="M313" i="2"/>
  <c r="L313" i="2"/>
  <c r="N313" i="2" s="1"/>
  <c r="P313" i="2" s="1"/>
  <c r="R312" i="2"/>
  <c r="Q312" i="2"/>
  <c r="O312" i="2"/>
  <c r="M312" i="2"/>
  <c r="L312" i="2"/>
  <c r="N312" i="2" s="1"/>
  <c r="P312" i="2" s="1"/>
  <c r="R311" i="2"/>
  <c r="Q311" i="2"/>
  <c r="O311" i="2"/>
  <c r="M311" i="2"/>
  <c r="L311" i="2"/>
  <c r="N311" i="2" s="1"/>
  <c r="P311" i="2" s="1"/>
  <c r="R310" i="2"/>
  <c r="Q310" i="2"/>
  <c r="O310" i="2"/>
  <c r="M310" i="2"/>
  <c r="L310" i="2"/>
  <c r="N310" i="2" s="1"/>
  <c r="P310" i="2" s="1"/>
  <c r="R309" i="2"/>
  <c r="Q309" i="2"/>
  <c r="O309" i="2"/>
  <c r="M309" i="2"/>
  <c r="L309" i="2"/>
  <c r="N309" i="2" s="1"/>
  <c r="P309" i="2" s="1"/>
  <c r="R308" i="2"/>
  <c r="Q308" i="2"/>
  <c r="O308" i="2"/>
  <c r="M308" i="2"/>
  <c r="L308" i="2"/>
  <c r="N308" i="2" s="1"/>
  <c r="P308" i="2" s="1"/>
  <c r="R307" i="2"/>
  <c r="Q307" i="2"/>
  <c r="O307" i="2"/>
  <c r="M307" i="2"/>
  <c r="L307" i="2"/>
  <c r="N307" i="2" s="1"/>
  <c r="P307" i="2" s="1"/>
  <c r="R306" i="2"/>
  <c r="Q306" i="2"/>
  <c r="O306" i="2"/>
  <c r="M306" i="2"/>
  <c r="L306" i="2"/>
  <c r="N306" i="2" s="1"/>
  <c r="P306" i="2" s="1"/>
  <c r="R305" i="2"/>
  <c r="Q305" i="2"/>
  <c r="O305" i="2"/>
  <c r="M305" i="2"/>
  <c r="L305" i="2"/>
  <c r="N305" i="2" s="1"/>
  <c r="P305" i="2" s="1"/>
  <c r="R304" i="2"/>
  <c r="T304" i="2" s="1"/>
  <c r="Q304" i="2"/>
  <c r="O304" i="2"/>
  <c r="M304" i="2"/>
  <c r="L304" i="2"/>
  <c r="N304" i="2" s="1"/>
  <c r="P304" i="2" s="1"/>
  <c r="R303" i="2"/>
  <c r="S303" i="2" s="1"/>
  <c r="Q303" i="2"/>
  <c r="O303" i="2"/>
  <c r="M303" i="2"/>
  <c r="L303" i="2"/>
  <c r="N303" i="2" s="1"/>
  <c r="P303" i="2" s="1"/>
  <c r="R302" i="2"/>
  <c r="T302" i="2" s="1"/>
  <c r="Q302" i="2"/>
  <c r="O302" i="2"/>
  <c r="M302" i="2"/>
  <c r="L302" i="2"/>
  <c r="N302" i="2" s="1"/>
  <c r="P302" i="2" s="1"/>
  <c r="R301" i="2"/>
  <c r="T301" i="2" s="1"/>
  <c r="Q301" i="2"/>
  <c r="O301" i="2"/>
  <c r="M301" i="2"/>
  <c r="L301" i="2"/>
  <c r="N301" i="2" s="1"/>
  <c r="P301" i="2" s="1"/>
  <c r="R300" i="2"/>
  <c r="T300" i="2" s="1"/>
  <c r="Q300" i="2"/>
  <c r="O300" i="2"/>
  <c r="M300" i="2"/>
  <c r="L300" i="2"/>
  <c r="N300" i="2" s="1"/>
  <c r="P300" i="2" s="1"/>
  <c r="R299" i="2"/>
  <c r="S299" i="2" s="1"/>
  <c r="Q299" i="2"/>
  <c r="O299" i="2"/>
  <c r="M299" i="2"/>
  <c r="L299" i="2"/>
  <c r="N299" i="2" s="1"/>
  <c r="P299" i="2" s="1"/>
  <c r="R298" i="2"/>
  <c r="T298" i="2" s="1"/>
  <c r="Q298" i="2"/>
  <c r="O298" i="2"/>
  <c r="M298" i="2"/>
  <c r="L298" i="2"/>
  <c r="N298" i="2" s="1"/>
  <c r="P298" i="2" s="1"/>
  <c r="R297" i="2"/>
  <c r="T297" i="2" s="1"/>
  <c r="Q297" i="2"/>
  <c r="O297" i="2"/>
  <c r="M297" i="2"/>
  <c r="L297" i="2"/>
  <c r="N297" i="2" s="1"/>
  <c r="P297" i="2" s="1"/>
  <c r="R296" i="2"/>
  <c r="T296" i="2" s="1"/>
  <c r="Q296" i="2"/>
  <c r="O296" i="2"/>
  <c r="M296" i="2"/>
  <c r="L296" i="2"/>
  <c r="N296" i="2" s="1"/>
  <c r="P296" i="2" s="1"/>
  <c r="R295" i="2"/>
  <c r="S295" i="2" s="1"/>
  <c r="Q295" i="2"/>
  <c r="O295" i="2"/>
  <c r="M295" i="2"/>
  <c r="L295" i="2"/>
  <c r="N295" i="2" s="1"/>
  <c r="P295" i="2" s="1"/>
  <c r="R294" i="2"/>
  <c r="T294" i="2" s="1"/>
  <c r="Q294" i="2"/>
  <c r="O294" i="2"/>
  <c r="M294" i="2"/>
  <c r="L294" i="2"/>
  <c r="N294" i="2" s="1"/>
  <c r="P294" i="2" s="1"/>
  <c r="R293" i="2"/>
  <c r="T293" i="2" s="1"/>
  <c r="Q293" i="2"/>
  <c r="O293" i="2"/>
  <c r="M293" i="2"/>
  <c r="L293" i="2"/>
  <c r="N293" i="2" s="1"/>
  <c r="P293" i="2" s="1"/>
  <c r="R292" i="2"/>
  <c r="T292" i="2" s="1"/>
  <c r="Q292" i="2"/>
  <c r="O292" i="2"/>
  <c r="M292" i="2"/>
  <c r="L292" i="2"/>
  <c r="N292" i="2" s="1"/>
  <c r="P292" i="2" s="1"/>
  <c r="R291" i="2"/>
  <c r="Q291" i="2"/>
  <c r="O291" i="2"/>
  <c r="M291" i="2"/>
  <c r="L291" i="2"/>
  <c r="N291" i="2" s="1"/>
  <c r="P291" i="2" s="1"/>
  <c r="R290" i="2"/>
  <c r="T290" i="2" s="1"/>
  <c r="Q290" i="2"/>
  <c r="O290" i="2"/>
  <c r="M290" i="2"/>
  <c r="L290" i="2"/>
  <c r="N290" i="2" s="1"/>
  <c r="P290" i="2" s="1"/>
  <c r="R289" i="2"/>
  <c r="T289" i="2" s="1"/>
  <c r="Q289" i="2"/>
  <c r="O289" i="2"/>
  <c r="M289" i="2"/>
  <c r="L289" i="2"/>
  <c r="N289" i="2" s="1"/>
  <c r="P289" i="2" s="1"/>
  <c r="R288" i="2"/>
  <c r="T288" i="2" s="1"/>
  <c r="Q288" i="2"/>
  <c r="O288" i="2"/>
  <c r="M288" i="2"/>
  <c r="L288" i="2"/>
  <c r="N288" i="2" s="1"/>
  <c r="P288" i="2" s="1"/>
  <c r="R287" i="2"/>
  <c r="Q287" i="2"/>
  <c r="O287" i="2"/>
  <c r="M287" i="2"/>
  <c r="L287" i="2"/>
  <c r="N287" i="2" s="1"/>
  <c r="P287" i="2" s="1"/>
  <c r="R286" i="2"/>
  <c r="T286" i="2" s="1"/>
  <c r="Q286" i="2"/>
  <c r="O286" i="2"/>
  <c r="M286" i="2"/>
  <c r="L286" i="2"/>
  <c r="N286" i="2" s="1"/>
  <c r="P286" i="2" s="1"/>
  <c r="R285" i="2"/>
  <c r="T285" i="2" s="1"/>
  <c r="Q285" i="2"/>
  <c r="O285" i="2"/>
  <c r="M285" i="2"/>
  <c r="L285" i="2"/>
  <c r="N285" i="2" s="1"/>
  <c r="P285" i="2" s="1"/>
  <c r="R284" i="2"/>
  <c r="T284" i="2" s="1"/>
  <c r="Q284" i="2"/>
  <c r="O284" i="2"/>
  <c r="M284" i="2"/>
  <c r="L284" i="2"/>
  <c r="N284" i="2" s="1"/>
  <c r="P284" i="2" s="1"/>
  <c r="R283" i="2"/>
  <c r="Q283" i="2"/>
  <c r="O283" i="2"/>
  <c r="M283" i="2"/>
  <c r="L283" i="2"/>
  <c r="N283" i="2" s="1"/>
  <c r="P283" i="2" s="1"/>
  <c r="R282" i="2"/>
  <c r="T282" i="2" s="1"/>
  <c r="Q282" i="2"/>
  <c r="O282" i="2"/>
  <c r="M282" i="2"/>
  <c r="L282" i="2"/>
  <c r="N282" i="2" s="1"/>
  <c r="P282" i="2" s="1"/>
  <c r="R281" i="2"/>
  <c r="T281" i="2" s="1"/>
  <c r="Q281" i="2"/>
  <c r="O281" i="2"/>
  <c r="M281" i="2"/>
  <c r="L281" i="2"/>
  <c r="N281" i="2" s="1"/>
  <c r="P281" i="2" s="1"/>
  <c r="R280" i="2"/>
  <c r="T280" i="2" s="1"/>
  <c r="Q280" i="2"/>
  <c r="O280" i="2"/>
  <c r="M280" i="2"/>
  <c r="L280" i="2"/>
  <c r="N280" i="2" s="1"/>
  <c r="P280" i="2" s="1"/>
  <c r="R279" i="2"/>
  <c r="S279" i="2" s="1"/>
  <c r="Q279" i="2"/>
  <c r="O279" i="2"/>
  <c r="M279" i="2"/>
  <c r="L279" i="2"/>
  <c r="N279" i="2" s="1"/>
  <c r="P279" i="2" s="1"/>
  <c r="R278" i="2"/>
  <c r="T278" i="2" s="1"/>
  <c r="Q278" i="2"/>
  <c r="O278" i="2"/>
  <c r="M278" i="2"/>
  <c r="L278" i="2"/>
  <c r="N278" i="2" s="1"/>
  <c r="P278" i="2" s="1"/>
  <c r="R277" i="2"/>
  <c r="T277" i="2" s="1"/>
  <c r="Q277" i="2"/>
  <c r="O277" i="2"/>
  <c r="M277" i="2"/>
  <c r="L277" i="2"/>
  <c r="N277" i="2" s="1"/>
  <c r="P277" i="2" s="1"/>
  <c r="R276" i="2"/>
  <c r="T276" i="2" s="1"/>
  <c r="Q276" i="2"/>
  <c r="O276" i="2"/>
  <c r="M276" i="2"/>
  <c r="L276" i="2"/>
  <c r="N276" i="2" s="1"/>
  <c r="P276" i="2" s="1"/>
  <c r="R275" i="2"/>
  <c r="Q275" i="2"/>
  <c r="O275" i="2"/>
  <c r="M275" i="2"/>
  <c r="L275" i="2"/>
  <c r="N275" i="2" s="1"/>
  <c r="P275" i="2" s="1"/>
  <c r="R274" i="2"/>
  <c r="T274" i="2" s="1"/>
  <c r="Q274" i="2"/>
  <c r="O274" i="2"/>
  <c r="M274" i="2"/>
  <c r="L274" i="2"/>
  <c r="N274" i="2" s="1"/>
  <c r="P274" i="2" s="1"/>
  <c r="R273" i="2"/>
  <c r="T273" i="2" s="1"/>
  <c r="Q273" i="2"/>
  <c r="O273" i="2"/>
  <c r="M273" i="2"/>
  <c r="L273" i="2"/>
  <c r="N273" i="2" s="1"/>
  <c r="P273" i="2" s="1"/>
  <c r="R272" i="2"/>
  <c r="T272" i="2" s="1"/>
  <c r="Q272" i="2"/>
  <c r="O272" i="2"/>
  <c r="M272" i="2"/>
  <c r="L272" i="2"/>
  <c r="N272" i="2" s="1"/>
  <c r="P272" i="2" s="1"/>
  <c r="R271" i="2"/>
  <c r="Q271" i="2"/>
  <c r="O271" i="2"/>
  <c r="M271" i="2"/>
  <c r="L271" i="2"/>
  <c r="N271" i="2" s="1"/>
  <c r="P271" i="2" s="1"/>
  <c r="R270" i="2"/>
  <c r="T270" i="2" s="1"/>
  <c r="Q270" i="2"/>
  <c r="O270" i="2"/>
  <c r="M270" i="2"/>
  <c r="L270" i="2"/>
  <c r="N270" i="2" s="1"/>
  <c r="P270" i="2" s="1"/>
  <c r="R269" i="2"/>
  <c r="T269" i="2" s="1"/>
  <c r="Q269" i="2"/>
  <c r="O269" i="2"/>
  <c r="M269" i="2"/>
  <c r="L269" i="2"/>
  <c r="N269" i="2" s="1"/>
  <c r="P269" i="2" s="1"/>
  <c r="R268" i="2"/>
  <c r="T268" i="2" s="1"/>
  <c r="Q268" i="2"/>
  <c r="O268" i="2"/>
  <c r="M268" i="2"/>
  <c r="L268" i="2"/>
  <c r="N268" i="2" s="1"/>
  <c r="P268" i="2" s="1"/>
  <c r="R267" i="2"/>
  <c r="Q267" i="2"/>
  <c r="O267" i="2"/>
  <c r="M267" i="2"/>
  <c r="L267" i="2"/>
  <c r="N267" i="2" s="1"/>
  <c r="P267" i="2" s="1"/>
  <c r="R266" i="2"/>
  <c r="T266" i="2" s="1"/>
  <c r="Q266" i="2"/>
  <c r="O266" i="2"/>
  <c r="M266" i="2"/>
  <c r="L266" i="2"/>
  <c r="N266" i="2" s="1"/>
  <c r="P266" i="2" s="1"/>
  <c r="R265" i="2"/>
  <c r="T265" i="2" s="1"/>
  <c r="Q265" i="2"/>
  <c r="O265" i="2"/>
  <c r="M265" i="2"/>
  <c r="L265" i="2"/>
  <c r="N265" i="2" s="1"/>
  <c r="P265" i="2" s="1"/>
  <c r="R264" i="2"/>
  <c r="T264" i="2" s="1"/>
  <c r="Q264" i="2"/>
  <c r="O264" i="2"/>
  <c r="M264" i="2"/>
  <c r="L264" i="2"/>
  <c r="N264" i="2" s="1"/>
  <c r="P264" i="2" s="1"/>
  <c r="R263" i="2"/>
  <c r="S263" i="2" s="1"/>
  <c r="Q263" i="2"/>
  <c r="O263" i="2"/>
  <c r="M263" i="2"/>
  <c r="L263" i="2"/>
  <c r="N263" i="2" s="1"/>
  <c r="P263" i="2" s="1"/>
  <c r="R262" i="2"/>
  <c r="T262" i="2" s="1"/>
  <c r="Q262" i="2"/>
  <c r="O262" i="2"/>
  <c r="M262" i="2"/>
  <c r="L262" i="2"/>
  <c r="N262" i="2" s="1"/>
  <c r="P262" i="2" s="1"/>
  <c r="R261" i="2"/>
  <c r="T261" i="2" s="1"/>
  <c r="Q261" i="2"/>
  <c r="O261" i="2"/>
  <c r="M261" i="2"/>
  <c r="L261" i="2"/>
  <c r="N261" i="2" s="1"/>
  <c r="P261" i="2" s="1"/>
  <c r="R260" i="2"/>
  <c r="T260" i="2" s="1"/>
  <c r="Q260" i="2"/>
  <c r="O260" i="2"/>
  <c r="M260" i="2"/>
  <c r="L260" i="2"/>
  <c r="N260" i="2" s="1"/>
  <c r="P260" i="2" s="1"/>
  <c r="R259" i="2"/>
  <c r="S259" i="2" s="1"/>
  <c r="Q259" i="2"/>
  <c r="O259" i="2"/>
  <c r="M259" i="2"/>
  <c r="L259" i="2"/>
  <c r="N259" i="2" s="1"/>
  <c r="P259" i="2" s="1"/>
  <c r="R258" i="2"/>
  <c r="T258" i="2" s="1"/>
  <c r="Q258" i="2"/>
  <c r="O258" i="2"/>
  <c r="M258" i="2"/>
  <c r="L258" i="2"/>
  <c r="N258" i="2" s="1"/>
  <c r="P258" i="2" s="1"/>
  <c r="R257" i="2"/>
  <c r="T257" i="2" s="1"/>
  <c r="Q257" i="2"/>
  <c r="O257" i="2"/>
  <c r="M257" i="2"/>
  <c r="L257" i="2"/>
  <c r="N257" i="2" s="1"/>
  <c r="P257" i="2" s="1"/>
  <c r="R256" i="2"/>
  <c r="T256" i="2" s="1"/>
  <c r="Q256" i="2"/>
  <c r="O256" i="2"/>
  <c r="M256" i="2"/>
  <c r="L256" i="2"/>
  <c r="N256" i="2" s="1"/>
  <c r="P256" i="2" s="1"/>
  <c r="R255" i="2"/>
  <c r="S255" i="2" s="1"/>
  <c r="Q255" i="2"/>
  <c r="O255" i="2"/>
  <c r="M255" i="2"/>
  <c r="L255" i="2"/>
  <c r="N255" i="2" s="1"/>
  <c r="P255" i="2" s="1"/>
  <c r="R254" i="2"/>
  <c r="T254" i="2" s="1"/>
  <c r="Q254" i="2"/>
  <c r="O254" i="2"/>
  <c r="M254" i="2"/>
  <c r="L254" i="2"/>
  <c r="N254" i="2" s="1"/>
  <c r="P254" i="2" s="1"/>
  <c r="R253" i="2"/>
  <c r="T253" i="2" s="1"/>
  <c r="Q253" i="2"/>
  <c r="O253" i="2"/>
  <c r="M253" i="2"/>
  <c r="L253" i="2"/>
  <c r="N253" i="2" s="1"/>
  <c r="P253" i="2" s="1"/>
  <c r="R252" i="2"/>
  <c r="T252" i="2" s="1"/>
  <c r="Q252" i="2"/>
  <c r="O252" i="2"/>
  <c r="M252" i="2"/>
  <c r="L252" i="2"/>
  <c r="N252" i="2" s="1"/>
  <c r="P252" i="2" s="1"/>
  <c r="R251" i="2"/>
  <c r="Q251" i="2"/>
  <c r="O251" i="2"/>
  <c r="M251" i="2"/>
  <c r="L251" i="2"/>
  <c r="N251" i="2" s="1"/>
  <c r="P251" i="2" s="1"/>
  <c r="R250" i="2"/>
  <c r="T250" i="2" s="1"/>
  <c r="Q250" i="2"/>
  <c r="O250" i="2"/>
  <c r="M250" i="2"/>
  <c r="L250" i="2"/>
  <c r="N250" i="2" s="1"/>
  <c r="P250" i="2" s="1"/>
  <c r="R249" i="2"/>
  <c r="T249" i="2" s="1"/>
  <c r="Q249" i="2"/>
  <c r="O249" i="2"/>
  <c r="M249" i="2"/>
  <c r="L249" i="2"/>
  <c r="N249" i="2" s="1"/>
  <c r="P249" i="2" s="1"/>
  <c r="R248" i="2"/>
  <c r="T248" i="2" s="1"/>
  <c r="Q248" i="2"/>
  <c r="O248" i="2"/>
  <c r="M248" i="2"/>
  <c r="L248" i="2"/>
  <c r="N248" i="2" s="1"/>
  <c r="P248" i="2" s="1"/>
  <c r="R247" i="2"/>
  <c r="Q247" i="2"/>
  <c r="O247" i="2"/>
  <c r="M247" i="2"/>
  <c r="L247" i="2"/>
  <c r="N247" i="2" s="1"/>
  <c r="P247" i="2" s="1"/>
  <c r="R246" i="2"/>
  <c r="T246" i="2" s="1"/>
  <c r="Q246" i="2"/>
  <c r="O246" i="2"/>
  <c r="M246" i="2"/>
  <c r="L246" i="2"/>
  <c r="N246" i="2" s="1"/>
  <c r="P246" i="2" s="1"/>
  <c r="R245" i="2"/>
  <c r="T245" i="2" s="1"/>
  <c r="Q245" i="2"/>
  <c r="O245" i="2"/>
  <c r="M245" i="2"/>
  <c r="L245" i="2"/>
  <c r="N245" i="2" s="1"/>
  <c r="P245" i="2" s="1"/>
  <c r="R244" i="2"/>
  <c r="T244" i="2" s="1"/>
  <c r="Q244" i="2"/>
  <c r="O244" i="2"/>
  <c r="M244" i="2"/>
  <c r="L244" i="2"/>
  <c r="N244" i="2" s="1"/>
  <c r="P244" i="2" s="1"/>
  <c r="R243" i="2"/>
  <c r="Q243" i="2"/>
  <c r="O243" i="2"/>
  <c r="M243" i="2"/>
  <c r="L243" i="2"/>
  <c r="N243" i="2" s="1"/>
  <c r="P243" i="2" s="1"/>
  <c r="R242" i="2"/>
  <c r="T242" i="2" s="1"/>
  <c r="Q242" i="2"/>
  <c r="O242" i="2"/>
  <c r="M242" i="2"/>
  <c r="L242" i="2"/>
  <c r="N242" i="2" s="1"/>
  <c r="P242" i="2" s="1"/>
  <c r="R241" i="2"/>
  <c r="T241" i="2" s="1"/>
  <c r="Q241" i="2"/>
  <c r="O241" i="2"/>
  <c r="M241" i="2"/>
  <c r="L241" i="2"/>
  <c r="N241" i="2" s="1"/>
  <c r="P241" i="2" s="1"/>
  <c r="R240" i="2"/>
  <c r="T240" i="2" s="1"/>
  <c r="Q240" i="2"/>
  <c r="O240" i="2"/>
  <c r="M240" i="2"/>
  <c r="L240" i="2"/>
  <c r="N240" i="2" s="1"/>
  <c r="P240" i="2" s="1"/>
  <c r="R239" i="2"/>
  <c r="Q239" i="2"/>
  <c r="O239" i="2"/>
  <c r="M239" i="2"/>
  <c r="L239" i="2"/>
  <c r="N239" i="2" s="1"/>
  <c r="P239" i="2" s="1"/>
  <c r="R238" i="2"/>
  <c r="T238" i="2" s="1"/>
  <c r="Q238" i="2"/>
  <c r="O238" i="2"/>
  <c r="M238" i="2"/>
  <c r="L238" i="2"/>
  <c r="N238" i="2" s="1"/>
  <c r="P238" i="2" s="1"/>
  <c r="R237" i="2"/>
  <c r="T237" i="2" s="1"/>
  <c r="Q237" i="2"/>
  <c r="O237" i="2"/>
  <c r="M237" i="2"/>
  <c r="L237" i="2"/>
  <c r="N237" i="2" s="1"/>
  <c r="P237" i="2" s="1"/>
  <c r="R236" i="2"/>
  <c r="T236" i="2" s="1"/>
  <c r="Q236" i="2"/>
  <c r="O236" i="2"/>
  <c r="M236" i="2"/>
  <c r="L236" i="2"/>
  <c r="N236" i="2" s="1"/>
  <c r="P236" i="2" s="1"/>
  <c r="R235" i="2"/>
  <c r="Q235" i="2"/>
  <c r="O235" i="2"/>
  <c r="M235" i="2"/>
  <c r="L235" i="2"/>
  <c r="N235" i="2" s="1"/>
  <c r="P235" i="2" s="1"/>
  <c r="R234" i="2"/>
  <c r="T234" i="2" s="1"/>
  <c r="Q234" i="2"/>
  <c r="O234" i="2"/>
  <c r="M234" i="2"/>
  <c r="L234" i="2"/>
  <c r="N234" i="2" s="1"/>
  <c r="P234" i="2" s="1"/>
  <c r="R233" i="2"/>
  <c r="T233" i="2" s="1"/>
  <c r="Q233" i="2"/>
  <c r="O233" i="2"/>
  <c r="M233" i="2"/>
  <c r="L233" i="2"/>
  <c r="N233" i="2" s="1"/>
  <c r="P233" i="2" s="1"/>
  <c r="R232" i="2"/>
  <c r="T232" i="2" s="1"/>
  <c r="Q232" i="2"/>
  <c r="O232" i="2"/>
  <c r="M232" i="2"/>
  <c r="L232" i="2"/>
  <c r="N232" i="2" s="1"/>
  <c r="P232" i="2" s="1"/>
  <c r="R231" i="2"/>
  <c r="Q231" i="2"/>
  <c r="O231" i="2"/>
  <c r="M231" i="2"/>
  <c r="L231" i="2"/>
  <c r="N231" i="2" s="1"/>
  <c r="P231" i="2" s="1"/>
  <c r="R230" i="2"/>
  <c r="T230" i="2" s="1"/>
  <c r="Q230" i="2"/>
  <c r="O230" i="2"/>
  <c r="M230" i="2"/>
  <c r="L230" i="2"/>
  <c r="N230" i="2" s="1"/>
  <c r="P230" i="2" s="1"/>
  <c r="R229" i="2"/>
  <c r="T229" i="2" s="1"/>
  <c r="Q229" i="2"/>
  <c r="O229" i="2"/>
  <c r="M229" i="2"/>
  <c r="L229" i="2"/>
  <c r="N229" i="2" s="1"/>
  <c r="P229" i="2" s="1"/>
  <c r="R228" i="2"/>
  <c r="T228" i="2" s="1"/>
  <c r="Q228" i="2"/>
  <c r="O228" i="2"/>
  <c r="M228" i="2"/>
  <c r="L228" i="2"/>
  <c r="N228" i="2" s="1"/>
  <c r="P228" i="2" s="1"/>
  <c r="R227" i="2"/>
  <c r="Q227" i="2"/>
  <c r="O227" i="2"/>
  <c r="M227" i="2"/>
  <c r="L227" i="2"/>
  <c r="N227" i="2" s="1"/>
  <c r="P227" i="2" s="1"/>
  <c r="R226" i="2"/>
  <c r="T226" i="2" s="1"/>
  <c r="Q226" i="2"/>
  <c r="O226" i="2"/>
  <c r="M226" i="2"/>
  <c r="L226" i="2"/>
  <c r="N226" i="2" s="1"/>
  <c r="P226" i="2" s="1"/>
  <c r="R225" i="2"/>
  <c r="T225" i="2" s="1"/>
  <c r="Q225" i="2"/>
  <c r="O225" i="2"/>
  <c r="M225" i="2"/>
  <c r="L225" i="2"/>
  <c r="N225" i="2" s="1"/>
  <c r="P225" i="2" s="1"/>
  <c r="R224" i="2"/>
  <c r="T224" i="2" s="1"/>
  <c r="Q224" i="2"/>
  <c r="O224" i="2"/>
  <c r="M224" i="2"/>
  <c r="L224" i="2"/>
  <c r="N224" i="2" s="1"/>
  <c r="P224" i="2" s="1"/>
  <c r="R223" i="2"/>
  <c r="S223" i="2" s="1"/>
  <c r="Q223" i="2"/>
  <c r="O223" i="2"/>
  <c r="M223" i="2"/>
  <c r="L223" i="2"/>
  <c r="N223" i="2" s="1"/>
  <c r="P223" i="2" s="1"/>
  <c r="R222" i="2"/>
  <c r="T222" i="2" s="1"/>
  <c r="Q222" i="2"/>
  <c r="O222" i="2"/>
  <c r="M222" i="2"/>
  <c r="L222" i="2"/>
  <c r="N222" i="2" s="1"/>
  <c r="P222" i="2" s="1"/>
  <c r="R221" i="2"/>
  <c r="T221" i="2" s="1"/>
  <c r="Q221" i="2"/>
  <c r="O221" i="2"/>
  <c r="M221" i="2"/>
  <c r="L221" i="2"/>
  <c r="N221" i="2" s="1"/>
  <c r="P221" i="2" s="1"/>
  <c r="R220" i="2"/>
  <c r="T220" i="2" s="1"/>
  <c r="Q220" i="2"/>
  <c r="O220" i="2"/>
  <c r="M220" i="2"/>
  <c r="L220" i="2"/>
  <c r="N220" i="2" s="1"/>
  <c r="P220" i="2" s="1"/>
  <c r="R219" i="2"/>
  <c r="S219" i="2" s="1"/>
  <c r="Q219" i="2"/>
  <c r="O219" i="2"/>
  <c r="M219" i="2"/>
  <c r="L219" i="2"/>
  <c r="N219" i="2" s="1"/>
  <c r="P219" i="2" s="1"/>
  <c r="R218" i="2"/>
  <c r="T218" i="2" s="1"/>
  <c r="Q218" i="2"/>
  <c r="O218" i="2"/>
  <c r="M218" i="2"/>
  <c r="L218" i="2"/>
  <c r="N218" i="2" s="1"/>
  <c r="P218" i="2" s="1"/>
  <c r="R217" i="2"/>
  <c r="T217" i="2" s="1"/>
  <c r="Q217" i="2"/>
  <c r="O217" i="2"/>
  <c r="M217" i="2"/>
  <c r="L217" i="2"/>
  <c r="N217" i="2" s="1"/>
  <c r="P217" i="2" s="1"/>
  <c r="R216" i="2"/>
  <c r="T216" i="2" s="1"/>
  <c r="Q216" i="2"/>
  <c r="O216" i="2"/>
  <c r="M216" i="2"/>
  <c r="L216" i="2"/>
  <c r="N216" i="2" s="1"/>
  <c r="P216" i="2" s="1"/>
  <c r="R215" i="2"/>
  <c r="S215" i="2" s="1"/>
  <c r="Q215" i="2"/>
  <c r="O215" i="2"/>
  <c r="M215" i="2"/>
  <c r="L215" i="2"/>
  <c r="N215" i="2" s="1"/>
  <c r="P215" i="2" s="1"/>
  <c r="R214" i="2"/>
  <c r="T214" i="2" s="1"/>
  <c r="Q214" i="2"/>
  <c r="O214" i="2"/>
  <c r="M214" i="2"/>
  <c r="L214" i="2"/>
  <c r="N214" i="2" s="1"/>
  <c r="P214" i="2" s="1"/>
  <c r="R213" i="2"/>
  <c r="T213" i="2" s="1"/>
  <c r="Q213" i="2"/>
  <c r="O213" i="2"/>
  <c r="M213" i="2"/>
  <c r="L213" i="2"/>
  <c r="N213" i="2" s="1"/>
  <c r="P213" i="2" s="1"/>
  <c r="R212" i="2"/>
  <c r="T212" i="2" s="1"/>
  <c r="Q212" i="2"/>
  <c r="O212" i="2"/>
  <c r="M212" i="2"/>
  <c r="L212" i="2"/>
  <c r="N212" i="2" s="1"/>
  <c r="P212" i="2" s="1"/>
  <c r="R211" i="2"/>
  <c r="Q211" i="2"/>
  <c r="O211" i="2"/>
  <c r="M211" i="2"/>
  <c r="L211" i="2"/>
  <c r="N211" i="2" s="1"/>
  <c r="P211" i="2" s="1"/>
  <c r="R210" i="2"/>
  <c r="T210" i="2" s="1"/>
  <c r="Q210" i="2"/>
  <c r="O210" i="2"/>
  <c r="M210" i="2"/>
  <c r="L210" i="2"/>
  <c r="N210" i="2" s="1"/>
  <c r="P210" i="2" s="1"/>
  <c r="R209" i="2"/>
  <c r="T209" i="2" s="1"/>
  <c r="Q209" i="2"/>
  <c r="O209" i="2"/>
  <c r="M209" i="2"/>
  <c r="L209" i="2"/>
  <c r="N209" i="2" s="1"/>
  <c r="P209" i="2" s="1"/>
  <c r="R208" i="2"/>
  <c r="T208" i="2" s="1"/>
  <c r="Q208" i="2"/>
  <c r="O208" i="2"/>
  <c r="M208" i="2"/>
  <c r="L208" i="2"/>
  <c r="N208" i="2" s="1"/>
  <c r="P208" i="2" s="1"/>
  <c r="R207" i="2"/>
  <c r="Q207" i="2"/>
  <c r="O207" i="2"/>
  <c r="M207" i="2"/>
  <c r="L207" i="2"/>
  <c r="N207" i="2" s="1"/>
  <c r="P207" i="2" s="1"/>
  <c r="R206" i="2"/>
  <c r="T206" i="2" s="1"/>
  <c r="Q206" i="2"/>
  <c r="O206" i="2"/>
  <c r="M206" i="2"/>
  <c r="L206" i="2"/>
  <c r="N206" i="2" s="1"/>
  <c r="P206" i="2" s="1"/>
  <c r="R205" i="2"/>
  <c r="T205" i="2" s="1"/>
  <c r="Q205" i="2"/>
  <c r="O205" i="2"/>
  <c r="M205" i="2"/>
  <c r="L205" i="2"/>
  <c r="N205" i="2" s="1"/>
  <c r="P205" i="2" s="1"/>
  <c r="R204" i="2"/>
  <c r="T204" i="2" s="1"/>
  <c r="Q204" i="2"/>
  <c r="O204" i="2"/>
  <c r="M204" i="2"/>
  <c r="L204" i="2"/>
  <c r="N204" i="2" s="1"/>
  <c r="P204" i="2" s="1"/>
  <c r="R203" i="2"/>
  <c r="Q203" i="2"/>
  <c r="O203" i="2"/>
  <c r="M203" i="2"/>
  <c r="L203" i="2"/>
  <c r="N203" i="2" s="1"/>
  <c r="P203" i="2" s="1"/>
  <c r="R202" i="2"/>
  <c r="T202" i="2" s="1"/>
  <c r="Q202" i="2"/>
  <c r="O202" i="2"/>
  <c r="M202" i="2"/>
  <c r="L202" i="2"/>
  <c r="N202" i="2" s="1"/>
  <c r="P202" i="2" s="1"/>
  <c r="R201" i="2"/>
  <c r="T201" i="2" s="1"/>
  <c r="Q201" i="2"/>
  <c r="O201" i="2"/>
  <c r="M201" i="2"/>
  <c r="L201" i="2"/>
  <c r="N201" i="2" s="1"/>
  <c r="P201" i="2" s="1"/>
  <c r="R200" i="2"/>
  <c r="T200" i="2" s="1"/>
  <c r="Q200" i="2"/>
  <c r="O200" i="2"/>
  <c r="M200" i="2"/>
  <c r="L200" i="2"/>
  <c r="N200" i="2" s="1"/>
  <c r="P200" i="2" s="1"/>
  <c r="R199" i="2"/>
  <c r="Q199" i="2"/>
  <c r="O199" i="2"/>
  <c r="M199" i="2"/>
  <c r="L199" i="2"/>
  <c r="N199" i="2" s="1"/>
  <c r="P199" i="2" s="1"/>
  <c r="R198" i="2"/>
  <c r="T198" i="2" s="1"/>
  <c r="Q198" i="2"/>
  <c r="O198" i="2"/>
  <c r="M198" i="2"/>
  <c r="L198" i="2"/>
  <c r="N198" i="2" s="1"/>
  <c r="P198" i="2" s="1"/>
  <c r="R197" i="2"/>
  <c r="T197" i="2" s="1"/>
  <c r="Q197" i="2"/>
  <c r="O197" i="2"/>
  <c r="M197" i="2"/>
  <c r="L197" i="2"/>
  <c r="N197" i="2" s="1"/>
  <c r="P197" i="2" s="1"/>
  <c r="R196" i="2"/>
  <c r="T196" i="2" s="1"/>
  <c r="Q196" i="2"/>
  <c r="O196" i="2"/>
  <c r="M196" i="2"/>
  <c r="L196" i="2"/>
  <c r="N196" i="2" s="1"/>
  <c r="P196" i="2" s="1"/>
  <c r="R195" i="2"/>
  <c r="Q195" i="2"/>
  <c r="O195" i="2"/>
  <c r="M195" i="2"/>
  <c r="L195" i="2"/>
  <c r="N195" i="2" s="1"/>
  <c r="P195" i="2" s="1"/>
  <c r="R194" i="2"/>
  <c r="T194" i="2" s="1"/>
  <c r="Q194" i="2"/>
  <c r="O194" i="2"/>
  <c r="M194" i="2"/>
  <c r="L194" i="2"/>
  <c r="N194" i="2" s="1"/>
  <c r="P194" i="2" s="1"/>
  <c r="R193" i="2"/>
  <c r="T193" i="2" s="1"/>
  <c r="Q193" i="2"/>
  <c r="O193" i="2"/>
  <c r="M193" i="2"/>
  <c r="L193" i="2"/>
  <c r="N193" i="2" s="1"/>
  <c r="P193" i="2" s="1"/>
  <c r="R192" i="2"/>
  <c r="T192" i="2" s="1"/>
  <c r="Q192" i="2"/>
  <c r="O192" i="2"/>
  <c r="M192" i="2"/>
  <c r="L192" i="2"/>
  <c r="N192" i="2" s="1"/>
  <c r="P192" i="2" s="1"/>
  <c r="R191" i="2"/>
  <c r="Q191" i="2"/>
  <c r="O191" i="2"/>
  <c r="M191" i="2"/>
  <c r="L191" i="2"/>
  <c r="N191" i="2" s="1"/>
  <c r="P191" i="2" s="1"/>
  <c r="R190" i="2"/>
  <c r="T190" i="2" s="1"/>
  <c r="Q190" i="2"/>
  <c r="O190" i="2"/>
  <c r="M190" i="2"/>
  <c r="L190" i="2"/>
  <c r="N190" i="2" s="1"/>
  <c r="P190" i="2" s="1"/>
  <c r="R189" i="2"/>
  <c r="T189" i="2" s="1"/>
  <c r="Q189" i="2"/>
  <c r="O189" i="2"/>
  <c r="M189" i="2"/>
  <c r="L189" i="2"/>
  <c r="N189" i="2" s="1"/>
  <c r="P189" i="2" s="1"/>
  <c r="R188" i="2"/>
  <c r="T188" i="2" s="1"/>
  <c r="Q188" i="2"/>
  <c r="O188" i="2"/>
  <c r="M188" i="2"/>
  <c r="L188" i="2"/>
  <c r="N188" i="2" s="1"/>
  <c r="P188" i="2" s="1"/>
  <c r="R187" i="2"/>
  <c r="Q187" i="2"/>
  <c r="O187" i="2"/>
  <c r="M187" i="2"/>
  <c r="L187" i="2"/>
  <c r="N187" i="2" s="1"/>
  <c r="P187" i="2" s="1"/>
  <c r="R186" i="2"/>
  <c r="T186" i="2" s="1"/>
  <c r="Q186" i="2"/>
  <c r="O186" i="2"/>
  <c r="M186" i="2"/>
  <c r="L186" i="2"/>
  <c r="N186" i="2" s="1"/>
  <c r="P186" i="2" s="1"/>
  <c r="R185" i="2"/>
  <c r="T185" i="2" s="1"/>
  <c r="Q185" i="2"/>
  <c r="O185" i="2"/>
  <c r="M185" i="2"/>
  <c r="L185" i="2"/>
  <c r="N185" i="2" s="1"/>
  <c r="P185" i="2" s="1"/>
  <c r="R184" i="2"/>
  <c r="T184" i="2" s="1"/>
  <c r="Q184" i="2"/>
  <c r="O184" i="2"/>
  <c r="M184" i="2"/>
  <c r="L184" i="2"/>
  <c r="N184" i="2" s="1"/>
  <c r="P184" i="2" s="1"/>
  <c r="R183" i="2"/>
  <c r="S183" i="2" s="1"/>
  <c r="Q183" i="2"/>
  <c r="O183" i="2"/>
  <c r="M183" i="2"/>
  <c r="L183" i="2"/>
  <c r="N183" i="2" s="1"/>
  <c r="P183" i="2" s="1"/>
  <c r="R182" i="2"/>
  <c r="T182" i="2" s="1"/>
  <c r="Q182" i="2"/>
  <c r="O182" i="2"/>
  <c r="M182" i="2"/>
  <c r="L182" i="2"/>
  <c r="N182" i="2" s="1"/>
  <c r="P182" i="2" s="1"/>
  <c r="R181" i="2"/>
  <c r="T181" i="2" s="1"/>
  <c r="Q181" i="2"/>
  <c r="O181" i="2"/>
  <c r="M181" i="2"/>
  <c r="L181" i="2"/>
  <c r="N181" i="2" s="1"/>
  <c r="P181" i="2" s="1"/>
  <c r="R180" i="2"/>
  <c r="T180" i="2" s="1"/>
  <c r="Q180" i="2"/>
  <c r="O180" i="2"/>
  <c r="M180" i="2"/>
  <c r="L180" i="2"/>
  <c r="N180" i="2" s="1"/>
  <c r="P180" i="2" s="1"/>
  <c r="R179" i="2"/>
  <c r="S179" i="2" s="1"/>
  <c r="Q179" i="2"/>
  <c r="O179" i="2"/>
  <c r="M179" i="2"/>
  <c r="L179" i="2"/>
  <c r="N179" i="2" s="1"/>
  <c r="P179" i="2" s="1"/>
  <c r="R178" i="2"/>
  <c r="T178" i="2" s="1"/>
  <c r="Q178" i="2"/>
  <c r="O178" i="2"/>
  <c r="M178" i="2"/>
  <c r="L178" i="2"/>
  <c r="N178" i="2" s="1"/>
  <c r="P178" i="2" s="1"/>
  <c r="R177" i="2"/>
  <c r="T177" i="2" s="1"/>
  <c r="Q177" i="2"/>
  <c r="O177" i="2"/>
  <c r="M177" i="2"/>
  <c r="L177" i="2"/>
  <c r="N177" i="2" s="1"/>
  <c r="P177" i="2" s="1"/>
  <c r="R176" i="2"/>
  <c r="T176" i="2" s="1"/>
  <c r="Q176" i="2"/>
  <c r="O176" i="2"/>
  <c r="M176" i="2"/>
  <c r="L176" i="2"/>
  <c r="N176" i="2" s="1"/>
  <c r="P176" i="2" s="1"/>
  <c r="R175" i="2"/>
  <c r="S175" i="2" s="1"/>
  <c r="Q175" i="2"/>
  <c r="O175" i="2"/>
  <c r="M175" i="2"/>
  <c r="L175" i="2"/>
  <c r="N175" i="2" s="1"/>
  <c r="P175" i="2" s="1"/>
  <c r="R174" i="2"/>
  <c r="T174" i="2" s="1"/>
  <c r="Q174" i="2"/>
  <c r="O174" i="2"/>
  <c r="M174" i="2"/>
  <c r="L174" i="2"/>
  <c r="N174" i="2" s="1"/>
  <c r="P174" i="2" s="1"/>
  <c r="R173" i="2"/>
  <c r="T173" i="2" s="1"/>
  <c r="Q173" i="2"/>
  <c r="O173" i="2"/>
  <c r="M173" i="2"/>
  <c r="L173" i="2"/>
  <c r="N173" i="2" s="1"/>
  <c r="P173" i="2" s="1"/>
  <c r="R172" i="2"/>
  <c r="T172" i="2" s="1"/>
  <c r="Q172" i="2"/>
  <c r="O172" i="2"/>
  <c r="M172" i="2"/>
  <c r="L172" i="2"/>
  <c r="N172" i="2" s="1"/>
  <c r="P172" i="2" s="1"/>
  <c r="R171" i="2"/>
  <c r="Q171" i="2"/>
  <c r="O171" i="2"/>
  <c r="M171" i="2"/>
  <c r="L171" i="2"/>
  <c r="N171" i="2" s="1"/>
  <c r="P171" i="2" s="1"/>
  <c r="R170" i="2"/>
  <c r="T170" i="2" s="1"/>
  <c r="Q170" i="2"/>
  <c r="O170" i="2"/>
  <c r="M170" i="2"/>
  <c r="L170" i="2"/>
  <c r="N170" i="2" s="1"/>
  <c r="P170" i="2" s="1"/>
  <c r="R169" i="2"/>
  <c r="T169" i="2" s="1"/>
  <c r="Q169" i="2"/>
  <c r="O169" i="2"/>
  <c r="M169" i="2"/>
  <c r="L169" i="2"/>
  <c r="N169" i="2" s="1"/>
  <c r="P169" i="2" s="1"/>
  <c r="R168" i="2"/>
  <c r="T168" i="2" s="1"/>
  <c r="Q168" i="2"/>
  <c r="O168" i="2"/>
  <c r="M168" i="2"/>
  <c r="L168" i="2"/>
  <c r="N168" i="2" s="1"/>
  <c r="P168" i="2" s="1"/>
  <c r="R167" i="2"/>
  <c r="Q167" i="2"/>
  <c r="O167" i="2"/>
  <c r="M167" i="2"/>
  <c r="L167" i="2"/>
  <c r="N167" i="2" s="1"/>
  <c r="P167" i="2" s="1"/>
  <c r="R166" i="2"/>
  <c r="T166" i="2" s="1"/>
  <c r="Q166" i="2"/>
  <c r="O166" i="2"/>
  <c r="M166" i="2"/>
  <c r="L166" i="2"/>
  <c r="N166" i="2" s="1"/>
  <c r="P166" i="2" s="1"/>
  <c r="R165" i="2"/>
  <c r="T165" i="2" s="1"/>
  <c r="Q165" i="2"/>
  <c r="O165" i="2"/>
  <c r="M165" i="2"/>
  <c r="L165" i="2"/>
  <c r="N165" i="2" s="1"/>
  <c r="P165" i="2" s="1"/>
  <c r="R164" i="2"/>
  <c r="T164" i="2" s="1"/>
  <c r="Q164" i="2"/>
  <c r="O164" i="2"/>
  <c r="M164" i="2"/>
  <c r="L164" i="2"/>
  <c r="N164" i="2" s="1"/>
  <c r="P164" i="2" s="1"/>
  <c r="R163" i="2"/>
  <c r="Q163" i="2"/>
  <c r="O163" i="2"/>
  <c r="M163" i="2"/>
  <c r="L163" i="2"/>
  <c r="N163" i="2" s="1"/>
  <c r="P163" i="2" s="1"/>
  <c r="R162" i="2"/>
  <c r="T162" i="2" s="1"/>
  <c r="Q162" i="2"/>
  <c r="O162" i="2"/>
  <c r="M162" i="2"/>
  <c r="L162" i="2"/>
  <c r="N162" i="2" s="1"/>
  <c r="P162" i="2" s="1"/>
  <c r="R161" i="2"/>
  <c r="T161" i="2" s="1"/>
  <c r="Q161" i="2"/>
  <c r="O161" i="2"/>
  <c r="M161" i="2"/>
  <c r="L161" i="2"/>
  <c r="N161" i="2" s="1"/>
  <c r="P161" i="2" s="1"/>
  <c r="R160" i="2"/>
  <c r="T160" i="2" s="1"/>
  <c r="Q160" i="2"/>
  <c r="O160" i="2"/>
  <c r="M160" i="2"/>
  <c r="L160" i="2"/>
  <c r="N160" i="2" s="1"/>
  <c r="P160" i="2" s="1"/>
  <c r="R159" i="2"/>
  <c r="Q159" i="2"/>
  <c r="O159" i="2"/>
  <c r="M159" i="2"/>
  <c r="L159" i="2"/>
  <c r="N159" i="2" s="1"/>
  <c r="P159" i="2" s="1"/>
  <c r="R158" i="2"/>
  <c r="T158" i="2" s="1"/>
  <c r="Q158" i="2"/>
  <c r="O158" i="2"/>
  <c r="M158" i="2"/>
  <c r="L158" i="2"/>
  <c r="N158" i="2" s="1"/>
  <c r="P158" i="2" s="1"/>
  <c r="R157" i="2"/>
  <c r="T157" i="2" s="1"/>
  <c r="Q157" i="2"/>
  <c r="O157" i="2"/>
  <c r="M157" i="2"/>
  <c r="L157" i="2"/>
  <c r="N157" i="2" s="1"/>
  <c r="P157" i="2" s="1"/>
  <c r="R156" i="2"/>
  <c r="T156" i="2" s="1"/>
  <c r="Q156" i="2"/>
  <c r="O156" i="2"/>
  <c r="M156" i="2"/>
  <c r="L156" i="2"/>
  <c r="N156" i="2" s="1"/>
  <c r="P156" i="2" s="1"/>
  <c r="R155" i="2"/>
  <c r="Q155" i="2"/>
  <c r="O155" i="2"/>
  <c r="M155" i="2"/>
  <c r="L155" i="2"/>
  <c r="N155" i="2" s="1"/>
  <c r="P155" i="2" s="1"/>
  <c r="R154" i="2"/>
  <c r="T154" i="2" s="1"/>
  <c r="Q154" i="2"/>
  <c r="O154" i="2"/>
  <c r="M154" i="2"/>
  <c r="L154" i="2"/>
  <c r="N154" i="2" s="1"/>
  <c r="P154" i="2" s="1"/>
  <c r="R153" i="2"/>
  <c r="T153" i="2" s="1"/>
  <c r="Q153" i="2"/>
  <c r="O153" i="2"/>
  <c r="M153" i="2"/>
  <c r="L153" i="2"/>
  <c r="N153" i="2" s="1"/>
  <c r="P153" i="2" s="1"/>
  <c r="R152" i="2"/>
  <c r="T152" i="2" s="1"/>
  <c r="Q152" i="2"/>
  <c r="O152" i="2"/>
  <c r="M152" i="2"/>
  <c r="L152" i="2"/>
  <c r="N152" i="2" s="1"/>
  <c r="P152" i="2" s="1"/>
  <c r="R151" i="2"/>
  <c r="Q151" i="2"/>
  <c r="O151" i="2"/>
  <c r="M151" i="2"/>
  <c r="L151" i="2"/>
  <c r="N151" i="2" s="1"/>
  <c r="P151" i="2" s="1"/>
  <c r="R150" i="2"/>
  <c r="T150" i="2" s="1"/>
  <c r="Q150" i="2"/>
  <c r="O150" i="2"/>
  <c r="M150" i="2"/>
  <c r="L150" i="2"/>
  <c r="N150" i="2" s="1"/>
  <c r="P150" i="2" s="1"/>
  <c r="R149" i="2"/>
  <c r="T149" i="2" s="1"/>
  <c r="Q149" i="2"/>
  <c r="O149" i="2"/>
  <c r="M149" i="2"/>
  <c r="L149" i="2"/>
  <c r="N149" i="2" s="1"/>
  <c r="P149" i="2" s="1"/>
  <c r="R148" i="2"/>
  <c r="T148" i="2" s="1"/>
  <c r="Q148" i="2"/>
  <c r="O148" i="2"/>
  <c r="M148" i="2"/>
  <c r="L148" i="2"/>
  <c r="N148" i="2" s="1"/>
  <c r="P148" i="2" s="1"/>
  <c r="R147" i="2"/>
  <c r="S147" i="2" s="1"/>
  <c r="Q147" i="2"/>
  <c r="O147" i="2"/>
  <c r="M147" i="2"/>
  <c r="L147" i="2"/>
  <c r="N147" i="2" s="1"/>
  <c r="P147" i="2" s="1"/>
  <c r="R146" i="2"/>
  <c r="T146" i="2" s="1"/>
  <c r="Q146" i="2"/>
  <c r="O146" i="2"/>
  <c r="M146" i="2"/>
  <c r="L146" i="2"/>
  <c r="N146" i="2" s="1"/>
  <c r="P146" i="2" s="1"/>
  <c r="R145" i="2"/>
  <c r="T145" i="2" s="1"/>
  <c r="Q145" i="2"/>
  <c r="O145" i="2"/>
  <c r="M145" i="2"/>
  <c r="L145" i="2"/>
  <c r="N145" i="2" s="1"/>
  <c r="P145" i="2" s="1"/>
  <c r="R144" i="2"/>
  <c r="T144" i="2" s="1"/>
  <c r="Q144" i="2"/>
  <c r="O144" i="2"/>
  <c r="M144" i="2"/>
  <c r="L144" i="2"/>
  <c r="N144" i="2" s="1"/>
  <c r="P144" i="2" s="1"/>
  <c r="R143" i="2"/>
  <c r="S143" i="2" s="1"/>
  <c r="Q143" i="2"/>
  <c r="O143" i="2"/>
  <c r="M143" i="2"/>
  <c r="L143" i="2"/>
  <c r="N143" i="2" s="1"/>
  <c r="P143" i="2" s="1"/>
  <c r="R142" i="2"/>
  <c r="T142" i="2" s="1"/>
  <c r="Q142" i="2"/>
  <c r="O142" i="2"/>
  <c r="M142" i="2"/>
  <c r="L142" i="2"/>
  <c r="N142" i="2" s="1"/>
  <c r="P142" i="2" s="1"/>
  <c r="R141" i="2"/>
  <c r="T141" i="2" s="1"/>
  <c r="Q141" i="2"/>
  <c r="O141" i="2"/>
  <c r="M141" i="2"/>
  <c r="L141" i="2"/>
  <c r="N141" i="2" s="1"/>
  <c r="P141" i="2" s="1"/>
  <c r="R140" i="2"/>
  <c r="T140" i="2" s="1"/>
  <c r="Q140" i="2"/>
  <c r="O140" i="2"/>
  <c r="M140" i="2"/>
  <c r="L140" i="2"/>
  <c r="N140" i="2" s="1"/>
  <c r="P140" i="2" s="1"/>
  <c r="R139" i="2"/>
  <c r="S139" i="2" s="1"/>
  <c r="Q139" i="2"/>
  <c r="O139" i="2"/>
  <c r="M139" i="2"/>
  <c r="L139" i="2"/>
  <c r="N139" i="2" s="1"/>
  <c r="P139" i="2" s="1"/>
  <c r="R138" i="2"/>
  <c r="T138" i="2" s="1"/>
  <c r="Q138" i="2"/>
  <c r="O138" i="2"/>
  <c r="M138" i="2"/>
  <c r="L138" i="2"/>
  <c r="N138" i="2" s="1"/>
  <c r="P138" i="2" s="1"/>
  <c r="R137" i="2"/>
  <c r="T137" i="2" s="1"/>
  <c r="Q137" i="2"/>
  <c r="O137" i="2"/>
  <c r="M137" i="2"/>
  <c r="L137" i="2"/>
  <c r="N137" i="2" s="1"/>
  <c r="P137" i="2" s="1"/>
  <c r="R136" i="2"/>
  <c r="T136" i="2" s="1"/>
  <c r="Q136" i="2"/>
  <c r="O136" i="2"/>
  <c r="M136" i="2"/>
  <c r="L136" i="2"/>
  <c r="N136" i="2" s="1"/>
  <c r="P136" i="2" s="1"/>
  <c r="R135" i="2"/>
  <c r="S135" i="2" s="1"/>
  <c r="Q135" i="2"/>
  <c r="O135" i="2"/>
  <c r="M135" i="2"/>
  <c r="L135" i="2"/>
  <c r="N135" i="2" s="1"/>
  <c r="P135" i="2" s="1"/>
  <c r="R134" i="2"/>
  <c r="T134" i="2" s="1"/>
  <c r="Q134" i="2"/>
  <c r="O134" i="2"/>
  <c r="M134" i="2"/>
  <c r="L134" i="2"/>
  <c r="N134" i="2" s="1"/>
  <c r="P134" i="2" s="1"/>
  <c r="R133" i="2"/>
  <c r="T133" i="2" s="1"/>
  <c r="Q133" i="2"/>
  <c r="O133" i="2"/>
  <c r="M133" i="2"/>
  <c r="L133" i="2"/>
  <c r="N133" i="2" s="1"/>
  <c r="P133" i="2" s="1"/>
  <c r="R132" i="2"/>
  <c r="T132" i="2" s="1"/>
  <c r="Q132" i="2"/>
  <c r="O132" i="2"/>
  <c r="M132" i="2"/>
  <c r="L132" i="2"/>
  <c r="N132" i="2" s="1"/>
  <c r="P132" i="2" s="1"/>
  <c r="R131" i="2"/>
  <c r="Q131" i="2"/>
  <c r="O131" i="2"/>
  <c r="M131" i="2"/>
  <c r="L131" i="2"/>
  <c r="N131" i="2" s="1"/>
  <c r="P131" i="2" s="1"/>
  <c r="R130" i="2"/>
  <c r="T130" i="2" s="1"/>
  <c r="Q130" i="2"/>
  <c r="O130" i="2"/>
  <c r="M130" i="2"/>
  <c r="L130" i="2"/>
  <c r="N130" i="2" s="1"/>
  <c r="P130" i="2" s="1"/>
  <c r="R129" i="2"/>
  <c r="T129" i="2" s="1"/>
  <c r="Q129" i="2"/>
  <c r="O129" i="2"/>
  <c r="M129" i="2"/>
  <c r="L129" i="2"/>
  <c r="N129" i="2" s="1"/>
  <c r="P129" i="2" s="1"/>
  <c r="R128" i="2"/>
  <c r="T128" i="2" s="1"/>
  <c r="Q128" i="2"/>
  <c r="O128" i="2"/>
  <c r="M128" i="2"/>
  <c r="L128" i="2"/>
  <c r="N128" i="2" s="1"/>
  <c r="P128" i="2" s="1"/>
  <c r="R127" i="2"/>
  <c r="Q127" i="2"/>
  <c r="O127" i="2"/>
  <c r="M127" i="2"/>
  <c r="L127" i="2"/>
  <c r="N127" i="2" s="1"/>
  <c r="P127" i="2" s="1"/>
  <c r="R126" i="2"/>
  <c r="T126" i="2" s="1"/>
  <c r="Q126" i="2"/>
  <c r="O126" i="2"/>
  <c r="M126" i="2"/>
  <c r="L126" i="2"/>
  <c r="N126" i="2" s="1"/>
  <c r="P126" i="2" s="1"/>
  <c r="R125" i="2"/>
  <c r="T125" i="2" s="1"/>
  <c r="Q125" i="2"/>
  <c r="O125" i="2"/>
  <c r="M125" i="2"/>
  <c r="L125" i="2"/>
  <c r="N125" i="2" s="1"/>
  <c r="P125" i="2" s="1"/>
  <c r="R124" i="2"/>
  <c r="T124" i="2" s="1"/>
  <c r="Q124" i="2"/>
  <c r="O124" i="2"/>
  <c r="M124" i="2"/>
  <c r="L124" i="2"/>
  <c r="N124" i="2" s="1"/>
  <c r="P124" i="2" s="1"/>
  <c r="R123" i="2"/>
  <c r="Q123" i="2"/>
  <c r="O123" i="2"/>
  <c r="M123" i="2"/>
  <c r="L123" i="2"/>
  <c r="N123" i="2" s="1"/>
  <c r="P123" i="2" s="1"/>
  <c r="R122" i="2"/>
  <c r="T122" i="2" s="1"/>
  <c r="Q122" i="2"/>
  <c r="O122" i="2"/>
  <c r="M122" i="2"/>
  <c r="L122" i="2"/>
  <c r="N122" i="2" s="1"/>
  <c r="P122" i="2" s="1"/>
  <c r="R121" i="2"/>
  <c r="T121" i="2" s="1"/>
  <c r="Q121" i="2"/>
  <c r="O121" i="2"/>
  <c r="M121" i="2"/>
  <c r="L121" i="2"/>
  <c r="N121" i="2" s="1"/>
  <c r="P121" i="2" s="1"/>
  <c r="R120" i="2"/>
  <c r="T120" i="2" s="1"/>
  <c r="Q120" i="2"/>
  <c r="O120" i="2"/>
  <c r="M120" i="2"/>
  <c r="L120" i="2"/>
  <c r="N120" i="2" s="1"/>
  <c r="P120" i="2" s="1"/>
  <c r="R119" i="2"/>
  <c r="Q119" i="2"/>
  <c r="O119" i="2"/>
  <c r="M119" i="2"/>
  <c r="L119" i="2"/>
  <c r="N119" i="2" s="1"/>
  <c r="P119" i="2" s="1"/>
  <c r="R118" i="2"/>
  <c r="T118" i="2" s="1"/>
  <c r="Q118" i="2"/>
  <c r="O118" i="2"/>
  <c r="M118" i="2"/>
  <c r="L118" i="2"/>
  <c r="N118" i="2" s="1"/>
  <c r="P118" i="2" s="1"/>
  <c r="R117" i="2"/>
  <c r="T117" i="2" s="1"/>
  <c r="Q117" i="2"/>
  <c r="O117" i="2"/>
  <c r="M117" i="2"/>
  <c r="L117" i="2"/>
  <c r="N117" i="2" s="1"/>
  <c r="P117" i="2" s="1"/>
  <c r="R116" i="2"/>
  <c r="T116" i="2" s="1"/>
  <c r="Q116" i="2"/>
  <c r="O116" i="2"/>
  <c r="M116" i="2"/>
  <c r="L116" i="2"/>
  <c r="N116" i="2" s="1"/>
  <c r="P116" i="2" s="1"/>
  <c r="R115" i="2"/>
  <c r="Q115" i="2"/>
  <c r="O115" i="2"/>
  <c r="M115" i="2"/>
  <c r="L115" i="2"/>
  <c r="N115" i="2" s="1"/>
  <c r="P115" i="2" s="1"/>
  <c r="R114" i="2"/>
  <c r="T114" i="2" s="1"/>
  <c r="Q114" i="2"/>
  <c r="O114" i="2"/>
  <c r="M114" i="2"/>
  <c r="L114" i="2"/>
  <c r="N114" i="2" s="1"/>
  <c r="P114" i="2" s="1"/>
  <c r="R113" i="2"/>
  <c r="T113" i="2" s="1"/>
  <c r="Q113" i="2"/>
  <c r="O113" i="2"/>
  <c r="M113" i="2"/>
  <c r="L113" i="2"/>
  <c r="N113" i="2" s="1"/>
  <c r="P113" i="2" s="1"/>
  <c r="R112" i="2"/>
  <c r="T112" i="2" s="1"/>
  <c r="Q112" i="2"/>
  <c r="O112" i="2"/>
  <c r="M112" i="2"/>
  <c r="L112" i="2"/>
  <c r="N112" i="2" s="1"/>
  <c r="P112" i="2" s="1"/>
  <c r="R111" i="2"/>
  <c r="Q111" i="2"/>
  <c r="O111" i="2"/>
  <c r="M111" i="2"/>
  <c r="L111" i="2"/>
  <c r="N111" i="2" s="1"/>
  <c r="P111" i="2" s="1"/>
  <c r="R110" i="2"/>
  <c r="T110" i="2" s="1"/>
  <c r="Q110" i="2"/>
  <c r="O110" i="2"/>
  <c r="M110" i="2"/>
  <c r="L110" i="2"/>
  <c r="N110" i="2" s="1"/>
  <c r="P110" i="2" s="1"/>
  <c r="R109" i="2"/>
  <c r="T109" i="2" s="1"/>
  <c r="Q109" i="2"/>
  <c r="O109" i="2"/>
  <c r="M109" i="2"/>
  <c r="L109" i="2"/>
  <c r="N109" i="2" s="1"/>
  <c r="P109" i="2" s="1"/>
  <c r="R108" i="2"/>
  <c r="T108" i="2" s="1"/>
  <c r="Q108" i="2"/>
  <c r="O108" i="2"/>
  <c r="M108" i="2"/>
  <c r="L108" i="2"/>
  <c r="N108" i="2" s="1"/>
  <c r="P108" i="2" s="1"/>
  <c r="R107" i="2"/>
  <c r="Q107" i="2"/>
  <c r="O107" i="2"/>
  <c r="M107" i="2"/>
  <c r="L107" i="2"/>
  <c r="N107" i="2" s="1"/>
  <c r="P107" i="2" s="1"/>
  <c r="R106" i="2"/>
  <c r="T106" i="2" s="1"/>
  <c r="Q106" i="2"/>
  <c r="O106" i="2"/>
  <c r="M106" i="2"/>
  <c r="L106" i="2"/>
  <c r="N106" i="2" s="1"/>
  <c r="P106" i="2" s="1"/>
  <c r="R105" i="2"/>
  <c r="Q105" i="2"/>
  <c r="O105" i="2"/>
  <c r="M105" i="2"/>
  <c r="L105" i="2"/>
  <c r="N105" i="2" s="1"/>
  <c r="P105" i="2" s="1"/>
  <c r="R104" i="2"/>
  <c r="Q104" i="2"/>
  <c r="O104" i="2"/>
  <c r="M104" i="2"/>
  <c r="L104" i="2"/>
  <c r="N104" i="2" s="1"/>
  <c r="P104" i="2" s="1"/>
  <c r="R103" i="2"/>
  <c r="S103" i="2" s="1"/>
  <c r="Q103" i="2"/>
  <c r="O103" i="2"/>
  <c r="M103" i="2"/>
  <c r="L103" i="2"/>
  <c r="N103" i="2" s="1"/>
  <c r="P103" i="2" s="1"/>
  <c r="R102" i="2"/>
  <c r="S102" i="2" s="1"/>
  <c r="Q102" i="2"/>
  <c r="O102" i="2"/>
  <c r="M102" i="2"/>
  <c r="L102" i="2"/>
  <c r="N102" i="2" s="1"/>
  <c r="P102" i="2" s="1"/>
  <c r="R101" i="2"/>
  <c r="S101" i="2" s="1"/>
  <c r="Q101" i="2"/>
  <c r="O101" i="2"/>
  <c r="M101" i="2"/>
  <c r="L101" i="2"/>
  <c r="N101" i="2" s="1"/>
  <c r="P101" i="2" s="1"/>
  <c r="R100" i="2"/>
  <c r="S100" i="2" s="1"/>
  <c r="Q100" i="2"/>
  <c r="O100" i="2"/>
  <c r="M100" i="2"/>
  <c r="L100" i="2"/>
  <c r="N100" i="2" s="1"/>
  <c r="P100" i="2" s="1"/>
  <c r="R99" i="2"/>
  <c r="S99" i="2" s="1"/>
  <c r="Q99" i="2"/>
  <c r="O99" i="2"/>
  <c r="M99" i="2"/>
  <c r="L99" i="2"/>
  <c r="N99" i="2" s="1"/>
  <c r="P99" i="2" s="1"/>
  <c r="R98" i="2"/>
  <c r="S98" i="2" s="1"/>
  <c r="Q98" i="2"/>
  <c r="O98" i="2"/>
  <c r="M98" i="2"/>
  <c r="L98" i="2"/>
  <c r="N98" i="2" s="1"/>
  <c r="P98" i="2" s="1"/>
  <c r="R97" i="2"/>
  <c r="Q97" i="2"/>
  <c r="O97" i="2"/>
  <c r="M97" i="2"/>
  <c r="L97" i="2"/>
  <c r="N97" i="2" s="1"/>
  <c r="P97" i="2" s="1"/>
  <c r="R96" i="2"/>
  <c r="Q96" i="2"/>
  <c r="O96" i="2"/>
  <c r="M96" i="2"/>
  <c r="L96" i="2"/>
  <c r="N96" i="2" s="1"/>
  <c r="P96" i="2" s="1"/>
  <c r="R95" i="2"/>
  <c r="S95" i="2" s="1"/>
  <c r="Q95" i="2"/>
  <c r="O95" i="2"/>
  <c r="M95" i="2"/>
  <c r="L95" i="2"/>
  <c r="N95" i="2" s="1"/>
  <c r="P95" i="2" s="1"/>
  <c r="R94" i="2"/>
  <c r="Q94" i="2"/>
  <c r="O94" i="2"/>
  <c r="M94" i="2"/>
  <c r="L94" i="2"/>
  <c r="N94" i="2" s="1"/>
  <c r="P94" i="2" s="1"/>
  <c r="R93" i="2"/>
  <c r="S93" i="2" s="1"/>
  <c r="Q93" i="2"/>
  <c r="O93" i="2"/>
  <c r="M93" i="2"/>
  <c r="L93" i="2"/>
  <c r="N93" i="2" s="1"/>
  <c r="P93" i="2" s="1"/>
  <c r="R92" i="2"/>
  <c r="Q92" i="2"/>
  <c r="O92" i="2"/>
  <c r="M92" i="2"/>
  <c r="L92" i="2"/>
  <c r="N92" i="2" s="1"/>
  <c r="P92" i="2" s="1"/>
  <c r="R91" i="2"/>
  <c r="Q91" i="2"/>
  <c r="O91" i="2"/>
  <c r="M91" i="2"/>
  <c r="L91" i="2"/>
  <c r="N91" i="2" s="1"/>
  <c r="P91" i="2" s="1"/>
  <c r="R90" i="2"/>
  <c r="Q90" i="2"/>
  <c r="O90" i="2"/>
  <c r="M90" i="2"/>
  <c r="L90" i="2"/>
  <c r="N90" i="2" s="1"/>
  <c r="P90" i="2" s="1"/>
  <c r="R89" i="2"/>
  <c r="Q89" i="2"/>
  <c r="O89" i="2"/>
  <c r="M89" i="2"/>
  <c r="L89" i="2"/>
  <c r="N89" i="2" s="1"/>
  <c r="P89" i="2" s="1"/>
  <c r="R88" i="2"/>
  <c r="Q88" i="2"/>
  <c r="O88" i="2"/>
  <c r="M88" i="2"/>
  <c r="L88" i="2"/>
  <c r="N88" i="2" s="1"/>
  <c r="P88" i="2" s="1"/>
  <c r="R87" i="2"/>
  <c r="Q87" i="2"/>
  <c r="O87" i="2"/>
  <c r="M87" i="2"/>
  <c r="L87" i="2"/>
  <c r="N87" i="2" s="1"/>
  <c r="P87" i="2" s="1"/>
  <c r="R86" i="2"/>
  <c r="Q86" i="2"/>
  <c r="O86" i="2"/>
  <c r="M86" i="2"/>
  <c r="L86" i="2"/>
  <c r="N86" i="2" s="1"/>
  <c r="P86" i="2" s="1"/>
  <c r="R85" i="2"/>
  <c r="Q85" i="2"/>
  <c r="O85" i="2"/>
  <c r="M85" i="2"/>
  <c r="L85" i="2"/>
  <c r="N85" i="2" s="1"/>
  <c r="P85" i="2" s="1"/>
  <c r="R84" i="2"/>
  <c r="Q84" i="2"/>
  <c r="O84" i="2"/>
  <c r="M84" i="2"/>
  <c r="L84" i="2"/>
  <c r="N84" i="2" s="1"/>
  <c r="P84" i="2" s="1"/>
  <c r="R83" i="2"/>
  <c r="Q83" i="2"/>
  <c r="O83" i="2"/>
  <c r="M83" i="2"/>
  <c r="L83" i="2"/>
  <c r="N83" i="2" s="1"/>
  <c r="P83" i="2" s="1"/>
  <c r="R82" i="2"/>
  <c r="Q82" i="2"/>
  <c r="O82" i="2"/>
  <c r="M82" i="2"/>
  <c r="L82" i="2"/>
  <c r="N82" i="2" s="1"/>
  <c r="P82" i="2" s="1"/>
  <c r="R81" i="2"/>
  <c r="Q81" i="2"/>
  <c r="O81" i="2"/>
  <c r="M81" i="2"/>
  <c r="L81" i="2"/>
  <c r="N81" i="2" s="1"/>
  <c r="P81" i="2" s="1"/>
  <c r="R80" i="2"/>
  <c r="Q80" i="2"/>
  <c r="O80" i="2"/>
  <c r="M80" i="2"/>
  <c r="L80" i="2"/>
  <c r="N80" i="2" s="1"/>
  <c r="P80" i="2" s="1"/>
  <c r="R79" i="2"/>
  <c r="Q79" i="2"/>
  <c r="O79" i="2"/>
  <c r="M79" i="2"/>
  <c r="L79" i="2"/>
  <c r="N79" i="2" s="1"/>
  <c r="P79" i="2" s="1"/>
  <c r="R78" i="2"/>
  <c r="Q78" i="2"/>
  <c r="O78" i="2"/>
  <c r="M78" i="2"/>
  <c r="L78" i="2"/>
  <c r="N78" i="2" s="1"/>
  <c r="P78" i="2" s="1"/>
  <c r="R77" i="2"/>
  <c r="Q77" i="2"/>
  <c r="O77" i="2"/>
  <c r="M77" i="2"/>
  <c r="L77" i="2"/>
  <c r="N77" i="2" s="1"/>
  <c r="P77" i="2" s="1"/>
  <c r="R76" i="2"/>
  <c r="S76" i="2" s="1"/>
  <c r="Q76" i="2"/>
  <c r="O76" i="2"/>
  <c r="M76" i="2"/>
  <c r="L76" i="2"/>
  <c r="N76" i="2" s="1"/>
  <c r="P76" i="2" s="1"/>
  <c r="R75" i="2"/>
  <c r="Q75" i="2"/>
  <c r="O75" i="2"/>
  <c r="M75" i="2"/>
  <c r="L75" i="2"/>
  <c r="N75" i="2" s="1"/>
  <c r="P75" i="2" s="1"/>
  <c r="R74" i="2"/>
  <c r="Q74" i="2"/>
  <c r="O74" i="2"/>
  <c r="M74" i="2"/>
  <c r="L74" i="2"/>
  <c r="N74" i="2" s="1"/>
  <c r="P74" i="2" s="1"/>
  <c r="R73" i="2"/>
  <c r="Q73" i="2"/>
  <c r="O73" i="2"/>
  <c r="M73" i="2"/>
  <c r="L73" i="2"/>
  <c r="N73" i="2" s="1"/>
  <c r="P73" i="2" s="1"/>
  <c r="R72" i="2"/>
  <c r="Q72" i="2"/>
  <c r="O72" i="2"/>
  <c r="M72" i="2"/>
  <c r="L72" i="2"/>
  <c r="N72" i="2" s="1"/>
  <c r="P72" i="2" s="1"/>
  <c r="R71" i="2"/>
  <c r="Q71" i="2"/>
  <c r="O71" i="2"/>
  <c r="M71" i="2"/>
  <c r="L71" i="2"/>
  <c r="N71" i="2" s="1"/>
  <c r="P71" i="2" s="1"/>
  <c r="R70" i="2"/>
  <c r="Q70" i="2"/>
  <c r="O70" i="2"/>
  <c r="M70" i="2"/>
  <c r="L70" i="2"/>
  <c r="N70" i="2" s="1"/>
  <c r="P70" i="2" s="1"/>
  <c r="R69" i="2"/>
  <c r="Q69" i="2"/>
  <c r="O69" i="2"/>
  <c r="M69" i="2"/>
  <c r="L69" i="2"/>
  <c r="N69" i="2" s="1"/>
  <c r="P69" i="2" s="1"/>
  <c r="R68" i="2"/>
  <c r="Q68" i="2"/>
  <c r="O68" i="2"/>
  <c r="M68" i="2"/>
  <c r="L68" i="2"/>
  <c r="N68" i="2" s="1"/>
  <c r="P68" i="2" s="1"/>
  <c r="R67" i="2"/>
  <c r="Q67" i="2"/>
  <c r="O67" i="2"/>
  <c r="M67" i="2"/>
  <c r="L67" i="2"/>
  <c r="N67" i="2" s="1"/>
  <c r="P67" i="2" s="1"/>
  <c r="R66" i="2"/>
  <c r="Q66" i="2"/>
  <c r="O66" i="2"/>
  <c r="M66" i="2"/>
  <c r="L66" i="2"/>
  <c r="N66" i="2" s="1"/>
  <c r="P66" i="2" s="1"/>
  <c r="R65" i="2"/>
  <c r="Q65" i="2"/>
  <c r="O65" i="2"/>
  <c r="M65" i="2"/>
  <c r="L65" i="2"/>
  <c r="N65" i="2" s="1"/>
  <c r="P65" i="2" s="1"/>
  <c r="R64" i="2"/>
  <c r="Q64" i="2"/>
  <c r="O64" i="2"/>
  <c r="M64" i="2"/>
  <c r="L64" i="2"/>
  <c r="N64" i="2" s="1"/>
  <c r="P64" i="2" s="1"/>
  <c r="R63" i="2"/>
  <c r="S63" i="2" s="1"/>
  <c r="Q63" i="2"/>
  <c r="O63" i="2"/>
  <c r="M63" i="2"/>
  <c r="L63" i="2"/>
  <c r="N63" i="2" s="1"/>
  <c r="P63" i="2" s="1"/>
  <c r="R62" i="2"/>
  <c r="S62" i="2" s="1"/>
  <c r="Q62" i="2"/>
  <c r="O62" i="2"/>
  <c r="M62" i="2"/>
  <c r="L62" i="2"/>
  <c r="N62" i="2" s="1"/>
  <c r="P62" i="2" s="1"/>
  <c r="R61" i="2"/>
  <c r="S61" i="2" s="1"/>
  <c r="Q61" i="2"/>
  <c r="O61" i="2"/>
  <c r="M61" i="2"/>
  <c r="L61" i="2"/>
  <c r="N61" i="2" s="1"/>
  <c r="P61" i="2" s="1"/>
  <c r="R60" i="2"/>
  <c r="S60" i="2" s="1"/>
  <c r="Q60" i="2"/>
  <c r="O60" i="2"/>
  <c r="M60" i="2"/>
  <c r="L60" i="2"/>
  <c r="N60" i="2" s="1"/>
  <c r="P60" i="2" s="1"/>
  <c r="R59" i="2"/>
  <c r="S59" i="2" s="1"/>
  <c r="Q59" i="2"/>
  <c r="O59" i="2"/>
  <c r="M59" i="2"/>
  <c r="L59" i="2"/>
  <c r="N59" i="2" s="1"/>
  <c r="P59" i="2" s="1"/>
  <c r="R58" i="2"/>
  <c r="S58" i="2" s="1"/>
  <c r="Q58" i="2"/>
  <c r="O58" i="2"/>
  <c r="M58" i="2"/>
  <c r="L58" i="2"/>
  <c r="N58" i="2" s="1"/>
  <c r="P58" i="2" s="1"/>
  <c r="R57" i="2"/>
  <c r="Q57" i="2"/>
  <c r="O57" i="2"/>
  <c r="M57" i="2"/>
  <c r="L57" i="2"/>
  <c r="N57" i="2" s="1"/>
  <c r="P57" i="2" s="1"/>
  <c r="R56" i="2"/>
  <c r="Q56" i="2"/>
  <c r="O56" i="2"/>
  <c r="M56" i="2"/>
  <c r="L56" i="2"/>
  <c r="N56" i="2" s="1"/>
  <c r="P56" i="2" s="1"/>
  <c r="R55" i="2"/>
  <c r="S55" i="2" s="1"/>
  <c r="Q55" i="2"/>
  <c r="O55" i="2"/>
  <c r="M55" i="2"/>
  <c r="L55" i="2"/>
  <c r="N55" i="2" s="1"/>
  <c r="P55" i="2" s="1"/>
  <c r="R54" i="2"/>
  <c r="Q54" i="2"/>
  <c r="O54" i="2"/>
  <c r="M54" i="2"/>
  <c r="L54" i="2"/>
  <c r="N54" i="2" s="1"/>
  <c r="P54" i="2" s="1"/>
  <c r="R53" i="2"/>
  <c r="S53" i="2" s="1"/>
  <c r="Q53" i="2"/>
  <c r="O53" i="2"/>
  <c r="M53" i="2"/>
  <c r="L53" i="2"/>
  <c r="N53" i="2" s="1"/>
  <c r="P53" i="2" s="1"/>
  <c r="R52" i="2"/>
  <c r="Q52" i="2"/>
  <c r="O52" i="2"/>
  <c r="M52" i="2"/>
  <c r="L52" i="2"/>
  <c r="N52" i="2" s="1"/>
  <c r="P52" i="2" s="1"/>
  <c r="R51" i="2"/>
  <c r="Q51" i="2"/>
  <c r="O51" i="2"/>
  <c r="M51" i="2"/>
  <c r="L51" i="2"/>
  <c r="N51" i="2" s="1"/>
  <c r="P51" i="2" s="1"/>
  <c r="R50" i="2"/>
  <c r="Q50" i="2"/>
  <c r="O50" i="2"/>
  <c r="M50" i="2"/>
  <c r="L50" i="2"/>
  <c r="N50" i="2" s="1"/>
  <c r="P50" i="2" s="1"/>
  <c r="R49" i="2"/>
  <c r="Q49" i="2"/>
  <c r="O49" i="2"/>
  <c r="M49" i="2"/>
  <c r="L49" i="2"/>
  <c r="N49" i="2" s="1"/>
  <c r="P49" i="2" s="1"/>
  <c r="R48" i="2"/>
  <c r="Q48" i="2"/>
  <c r="O48" i="2"/>
  <c r="M48" i="2"/>
  <c r="L48" i="2"/>
  <c r="N48" i="2" s="1"/>
  <c r="P48" i="2" s="1"/>
  <c r="R47" i="2"/>
  <c r="Q47" i="2"/>
  <c r="O47" i="2"/>
  <c r="M47" i="2"/>
  <c r="L47" i="2"/>
  <c r="N47" i="2" s="1"/>
  <c r="P47" i="2" s="1"/>
  <c r="R46" i="2"/>
  <c r="Q46" i="2"/>
  <c r="O46" i="2"/>
  <c r="M46" i="2"/>
  <c r="L46" i="2"/>
  <c r="N46" i="2" s="1"/>
  <c r="P46" i="2" s="1"/>
  <c r="R44" i="2"/>
  <c r="Q44" i="2"/>
  <c r="O44" i="2"/>
  <c r="M44" i="2"/>
  <c r="L44" i="2"/>
  <c r="N44" i="2" s="1"/>
  <c r="P44" i="2" s="1"/>
  <c r="R43" i="2"/>
  <c r="Q43" i="2"/>
  <c r="O43" i="2"/>
  <c r="M43" i="2"/>
  <c r="L43" i="2"/>
  <c r="N43" i="2" s="1"/>
  <c r="P43" i="2" s="1"/>
  <c r="R42" i="2"/>
  <c r="S42" i="2" s="1"/>
  <c r="Q42" i="2"/>
  <c r="O42" i="2"/>
  <c r="M42" i="2"/>
  <c r="L42" i="2"/>
  <c r="N42" i="2" s="1"/>
  <c r="P42" i="2" s="1"/>
  <c r="R41" i="2"/>
  <c r="S41" i="2" s="1"/>
  <c r="Q41" i="2"/>
  <c r="O41" i="2"/>
  <c r="M41" i="2"/>
  <c r="L41" i="2"/>
  <c r="N41" i="2" s="1"/>
  <c r="P41" i="2" s="1"/>
  <c r="R40" i="2"/>
  <c r="Q40" i="2"/>
  <c r="O40" i="2"/>
  <c r="M40" i="2"/>
  <c r="L40" i="2"/>
  <c r="N40" i="2" s="1"/>
  <c r="P40" i="2" s="1"/>
  <c r="R39" i="2"/>
  <c r="Q39" i="2"/>
  <c r="O39" i="2"/>
  <c r="M39" i="2"/>
  <c r="L39" i="2"/>
  <c r="N39" i="2" s="1"/>
  <c r="P39" i="2" s="1"/>
  <c r="R38" i="2"/>
  <c r="S38" i="2" s="1"/>
  <c r="Q38" i="2"/>
  <c r="O38" i="2"/>
  <c r="M38" i="2"/>
  <c r="L38" i="2"/>
  <c r="N38" i="2" s="1"/>
  <c r="P38" i="2" s="1"/>
  <c r="R37" i="2"/>
  <c r="Q37" i="2"/>
  <c r="O37" i="2"/>
  <c r="M37" i="2"/>
  <c r="L37" i="2"/>
  <c r="N37" i="2" s="1"/>
  <c r="P37" i="2" s="1"/>
  <c r="R36" i="2"/>
  <c r="S36" i="2" s="1"/>
  <c r="Q36" i="2"/>
  <c r="O36" i="2"/>
  <c r="M36" i="2"/>
  <c r="L36" i="2"/>
  <c r="N36" i="2" s="1"/>
  <c r="P36" i="2" s="1"/>
  <c r="R35" i="2"/>
  <c r="Q35" i="2"/>
  <c r="O35" i="2"/>
  <c r="M35" i="2"/>
  <c r="L35" i="2"/>
  <c r="N35" i="2" s="1"/>
  <c r="P35" i="2" s="1"/>
  <c r="R34" i="2"/>
  <c r="Q34" i="2"/>
  <c r="O34" i="2"/>
  <c r="M34" i="2"/>
  <c r="L34" i="2"/>
  <c r="N34" i="2" s="1"/>
  <c r="P34" i="2" s="1"/>
  <c r="R32" i="2"/>
  <c r="Q32" i="2"/>
  <c r="O32" i="2"/>
  <c r="M32" i="2"/>
  <c r="L32" i="2"/>
  <c r="R31" i="2"/>
  <c r="Q31" i="2"/>
  <c r="O31" i="2"/>
  <c r="M31" i="2"/>
  <c r="L31" i="2"/>
  <c r="R30" i="2"/>
  <c r="Q30" i="2"/>
  <c r="O30" i="2"/>
  <c r="M30" i="2"/>
  <c r="L30" i="2"/>
  <c r="R29" i="2"/>
  <c r="Q29" i="2"/>
  <c r="O29" i="2"/>
  <c r="M29" i="2"/>
  <c r="L29" i="2"/>
  <c r="R28" i="2"/>
  <c r="Q28" i="2"/>
  <c r="O28" i="2"/>
  <c r="M28" i="2"/>
  <c r="L28" i="2"/>
  <c r="R26" i="2"/>
  <c r="Q26" i="2"/>
  <c r="O26" i="2"/>
  <c r="M26" i="2"/>
  <c r="L26" i="2"/>
  <c r="R21" i="2"/>
  <c r="Q21" i="2"/>
  <c r="O21" i="2"/>
  <c r="M21" i="2"/>
  <c r="L21" i="2"/>
  <c r="R19" i="2"/>
  <c r="Q19" i="2"/>
  <c r="O19" i="2"/>
  <c r="M19" i="2"/>
  <c r="L19" i="2"/>
  <c r="R17" i="2"/>
  <c r="Q17" i="2"/>
  <c r="O17" i="2"/>
  <c r="M17" i="2"/>
  <c r="L17" i="2"/>
  <c r="R15" i="2"/>
  <c r="Q15" i="2"/>
  <c r="O15" i="2"/>
  <c r="M15" i="2"/>
  <c r="L15" i="2"/>
  <c r="R13" i="2"/>
  <c r="Q13" i="2"/>
  <c r="O13" i="2"/>
  <c r="M13" i="2"/>
  <c r="L13" i="2"/>
  <c r="R11" i="2"/>
  <c r="Q11" i="2"/>
  <c r="O11" i="2"/>
  <c r="M11" i="2"/>
  <c r="L11" i="2"/>
  <c r="R9" i="2"/>
  <c r="Q9" i="2"/>
  <c r="O9" i="2"/>
  <c r="M9" i="2"/>
  <c r="L9" i="2"/>
  <c r="R3" i="2"/>
  <c r="Q3" i="2"/>
  <c r="O3" i="2"/>
  <c r="M3" i="2"/>
  <c r="L3" i="2"/>
  <c r="R7" i="2"/>
  <c r="Q7" i="2"/>
  <c r="O7" i="2"/>
  <c r="M7" i="2"/>
  <c r="L7" i="2"/>
  <c r="N19" i="2" l="1"/>
  <c r="P19" i="2" s="1"/>
  <c r="T263" i="2"/>
  <c r="S799" i="2"/>
  <c r="S1027" i="2"/>
  <c r="T59" i="2"/>
  <c r="T1135" i="2"/>
  <c r="S966" i="2"/>
  <c r="S970" i="2"/>
  <c r="S982" i="2"/>
  <c r="S986" i="2"/>
  <c r="T27" i="2"/>
  <c r="T33" i="2"/>
  <c r="S816" i="2"/>
  <c r="S908" i="2"/>
  <c r="S940" i="2"/>
  <c r="S1036" i="2"/>
  <c r="S1044" i="2"/>
  <c r="S1056" i="2"/>
  <c r="S1072" i="2"/>
  <c r="S1080" i="2"/>
  <c r="S1084" i="2"/>
  <c r="S1092" i="2"/>
  <c r="S1100" i="2"/>
  <c r="S1104" i="2"/>
  <c r="S840" i="2"/>
  <c r="S856" i="2"/>
  <c r="S868" i="2"/>
  <c r="S880" i="2"/>
  <c r="S884" i="2"/>
  <c r="T1620" i="2"/>
  <c r="S1321" i="2"/>
  <c r="S1333" i="2"/>
  <c r="T1615" i="2"/>
  <c r="S700" i="2"/>
  <c r="T1536" i="2"/>
  <c r="T1381" i="2"/>
  <c r="T1567" i="2"/>
  <c r="T1361" i="2"/>
  <c r="T1181" i="2"/>
  <c r="T1627" i="2"/>
  <c r="S867" i="2"/>
  <c r="T1180" i="2"/>
  <c r="T1622" i="2"/>
  <c r="N692" i="2"/>
  <c r="P692" i="2" s="1"/>
  <c r="S1286" i="2"/>
  <c r="S1326" i="2"/>
  <c r="T1619" i="2"/>
  <c r="T1583" i="2"/>
  <c r="S528" i="2"/>
  <c r="S943" i="2"/>
  <c r="S947" i="2"/>
  <c r="S951" i="2"/>
  <c r="S975" i="2"/>
  <c r="S979" i="2"/>
  <c r="T1178" i="2"/>
  <c r="T1535" i="2"/>
  <c r="N689" i="2"/>
  <c r="P689" i="2" s="1"/>
  <c r="S980" i="2"/>
  <c r="N490" i="2"/>
  <c r="P490" i="2" s="1"/>
  <c r="T1519" i="2"/>
  <c r="S873" i="2"/>
  <c r="T1503" i="2"/>
  <c r="T778" i="2"/>
  <c r="N617" i="2"/>
  <c r="P617" i="2" s="1"/>
  <c r="T1475" i="2"/>
  <c r="T1643" i="2"/>
  <c r="T1398" i="2"/>
  <c r="T659" i="2"/>
  <c r="T1642" i="2"/>
  <c r="T655" i="2"/>
  <c r="T1639" i="2"/>
  <c r="T636" i="2"/>
  <c r="S886" i="2"/>
  <c r="T1637" i="2"/>
  <c r="T540" i="2"/>
  <c r="S575" i="2"/>
  <c r="T1617" i="2"/>
  <c r="T693" i="2"/>
  <c r="S500" i="2"/>
  <c r="S1028" i="2"/>
  <c r="S1307" i="2"/>
  <c r="S1311" i="2"/>
  <c r="S1327" i="2"/>
  <c r="S1331" i="2"/>
  <c r="T1613" i="2"/>
  <c r="T1473" i="2"/>
  <c r="T493" i="2"/>
  <c r="S866" i="2"/>
  <c r="S870" i="2"/>
  <c r="S878" i="2"/>
  <c r="T1607" i="2"/>
  <c r="T1461" i="2"/>
  <c r="T476" i="2"/>
  <c r="T1603" i="2"/>
  <c r="T1458" i="2"/>
  <c r="T1267" i="2"/>
  <c r="T461" i="2"/>
  <c r="S1226" i="2"/>
  <c r="S364" i="2"/>
  <c r="N1051" i="2"/>
  <c r="P1051" i="2" s="1"/>
  <c r="S1234" i="2"/>
  <c r="T1621" i="2"/>
  <c r="N492" i="2"/>
  <c r="P492" i="2" s="1"/>
  <c r="T582" i="2"/>
  <c r="T1417" i="2"/>
  <c r="T1261" i="2"/>
  <c r="T460" i="2"/>
  <c r="S454" i="2"/>
  <c r="S898" i="2"/>
  <c r="S902" i="2"/>
  <c r="S906" i="2"/>
  <c r="T1407" i="2"/>
  <c r="T1256" i="2"/>
  <c r="T382" i="2"/>
  <c r="S28" i="2"/>
  <c r="N610" i="2"/>
  <c r="P610" i="2" s="1"/>
  <c r="S602" i="2"/>
  <c r="N1115" i="2"/>
  <c r="P1115" i="2" s="1"/>
  <c r="S863" i="2"/>
  <c r="S910" i="2"/>
  <c r="T1593" i="2"/>
  <c r="T1233" i="2"/>
  <c r="T299" i="2"/>
  <c r="T653" i="2"/>
  <c r="S521" i="2"/>
  <c r="S871" i="2"/>
  <c r="S914" i="2"/>
  <c r="S938" i="2"/>
  <c r="S950" i="2"/>
  <c r="S954" i="2"/>
  <c r="T1402" i="2"/>
  <c r="T1222" i="2"/>
  <c r="S1273" i="2"/>
  <c r="N1107" i="2"/>
  <c r="P1107" i="2" s="1"/>
  <c r="T1618" i="2"/>
  <c r="N705" i="2"/>
  <c r="P705" i="2" s="1"/>
  <c r="S978" i="2"/>
  <c r="T1587" i="2"/>
  <c r="T1401" i="2"/>
  <c r="T1182" i="2"/>
  <c r="T1215" i="2"/>
  <c r="S384" i="2"/>
  <c r="N458" i="2"/>
  <c r="P458" i="2" s="1"/>
  <c r="N599" i="2"/>
  <c r="P599" i="2" s="1"/>
  <c r="S1253" i="2"/>
  <c r="T1624" i="2"/>
  <c r="T1547" i="2"/>
  <c r="T1416" i="2"/>
  <c r="T1207" i="2"/>
  <c r="T893" i="2"/>
  <c r="T716" i="2"/>
  <c r="T102" i="2"/>
  <c r="T1555" i="2"/>
  <c r="T895" i="2"/>
  <c r="T303" i="2"/>
  <c r="N611" i="2"/>
  <c r="P611" i="2" s="1"/>
  <c r="S630" i="2"/>
  <c r="N670" i="2"/>
  <c r="P670" i="2" s="1"/>
  <c r="N674" i="2"/>
  <c r="P674" i="2" s="1"/>
  <c r="S933" i="2"/>
  <c r="S1035" i="2"/>
  <c r="S1039" i="2"/>
  <c r="S1047" i="2"/>
  <c r="S1075" i="2"/>
  <c r="S1083" i="2"/>
  <c r="S1095" i="2"/>
  <c r="T1623" i="2"/>
  <c r="T1543" i="2"/>
  <c r="T1478" i="2"/>
  <c r="T1415" i="2"/>
  <c r="T1357" i="2"/>
  <c r="T1199" i="2"/>
  <c r="T1127" i="2"/>
  <c r="T703" i="2"/>
  <c r="T499" i="2"/>
  <c r="T101" i="2"/>
  <c r="S792" i="2"/>
  <c r="S800" i="2"/>
  <c r="S1004" i="2"/>
  <c r="S1332" i="2"/>
  <c r="T1595" i="2"/>
  <c r="T1540" i="2"/>
  <c r="T1477" i="2"/>
  <c r="T1353" i="2"/>
  <c r="T1195" i="2"/>
  <c r="T495" i="2"/>
  <c r="T93" i="2"/>
  <c r="T1516" i="2"/>
  <c r="T1453" i="2"/>
  <c r="T1397" i="2"/>
  <c r="T623" i="2"/>
  <c r="T453" i="2"/>
  <c r="T223" i="2"/>
  <c r="T658" i="2"/>
  <c r="S643" i="2"/>
  <c r="S432" i="2"/>
  <c r="S612" i="2"/>
  <c r="T1580" i="2"/>
  <c r="T1515" i="2"/>
  <c r="T1442" i="2"/>
  <c r="T1393" i="2"/>
  <c r="T1255" i="2"/>
  <c r="T1176" i="2"/>
  <c r="T621" i="2"/>
  <c r="T413" i="2"/>
  <c r="T219" i="2"/>
  <c r="S482" i="2"/>
  <c r="S533" i="2"/>
  <c r="T1520" i="2"/>
  <c r="S592" i="2"/>
  <c r="N503" i="2"/>
  <c r="P503" i="2" s="1"/>
  <c r="T1644" i="2"/>
  <c r="T1616" i="2"/>
  <c r="T1457" i="2"/>
  <c r="T1258" i="2"/>
  <c r="T1179" i="2"/>
  <c r="T458" i="2"/>
  <c r="S730" i="2"/>
  <c r="N1089" i="2"/>
  <c r="P1089" i="2" s="1"/>
  <c r="S1243" i="2"/>
  <c r="S538" i="2"/>
  <c r="N578" i="2"/>
  <c r="P578" i="2" s="1"/>
  <c r="S589" i="2"/>
  <c r="S695" i="2"/>
  <c r="S845" i="2"/>
  <c r="S888" i="2"/>
  <c r="S923" i="2"/>
  <c r="S990" i="2"/>
  <c r="S998" i="2"/>
  <c r="S1053" i="2"/>
  <c r="S1057" i="2"/>
  <c r="S1125" i="2"/>
  <c r="S1318" i="2"/>
  <c r="T1641" i="2"/>
  <c r="T1611" i="2"/>
  <c r="T1576" i="2"/>
  <c r="T1507" i="2"/>
  <c r="T1441" i="2"/>
  <c r="T1382" i="2"/>
  <c r="T1175" i="2"/>
  <c r="T618" i="2"/>
  <c r="T383" i="2"/>
  <c r="T1187" i="2"/>
  <c r="S1191" i="2"/>
  <c r="N1577" i="2"/>
  <c r="P1577" i="2" s="1"/>
  <c r="S451" i="2"/>
  <c r="S518" i="2"/>
  <c r="T1640" i="2"/>
  <c r="T781" i="2"/>
  <c r="T215" i="2"/>
  <c r="T1167" i="2"/>
  <c r="T935" i="2"/>
  <c r="T773" i="2"/>
  <c r="S348" i="2"/>
  <c r="N469" i="2"/>
  <c r="P469" i="2" s="1"/>
  <c r="N524" i="2"/>
  <c r="P524" i="2" s="1"/>
  <c r="S586" i="2"/>
  <c r="S684" i="2"/>
  <c r="S983" i="2"/>
  <c r="S1022" i="2"/>
  <c r="S1299" i="2"/>
  <c r="T1636" i="2"/>
  <c r="T1602" i="2"/>
  <c r="T1560" i="2"/>
  <c r="T1495" i="2"/>
  <c r="T1436" i="2"/>
  <c r="T1221" i="2"/>
  <c r="T1140" i="2"/>
  <c r="T903" i="2"/>
  <c r="T567" i="2"/>
  <c r="T379" i="2"/>
  <c r="N647" i="2"/>
  <c r="P647" i="2" s="1"/>
  <c r="N663" i="2"/>
  <c r="P663" i="2" s="1"/>
  <c r="N1573" i="2"/>
  <c r="P1573" i="2" s="1"/>
  <c r="T1440" i="2"/>
  <c r="T1604" i="2"/>
  <c r="T1438" i="2"/>
  <c r="T1223" i="2"/>
  <c r="S656" i="2"/>
  <c r="N1078" i="2"/>
  <c r="P1078" i="2" s="1"/>
  <c r="T1437" i="2"/>
  <c r="T1377" i="2"/>
  <c r="T1156" i="2"/>
  <c r="T573" i="2"/>
  <c r="S418" i="2"/>
  <c r="S924" i="2"/>
  <c r="S995" i="2"/>
  <c r="S1050" i="2"/>
  <c r="S1054" i="2"/>
  <c r="S1276" i="2"/>
  <c r="T1635" i="2"/>
  <c r="T1601" i="2"/>
  <c r="T1559" i="2"/>
  <c r="T1433" i="2"/>
  <c r="T1373" i="2"/>
  <c r="T1220" i="2"/>
  <c r="T1139" i="2"/>
  <c r="T741" i="2"/>
  <c r="T556" i="2"/>
  <c r="T373" i="2"/>
  <c r="T143" i="2"/>
  <c r="T462" i="2"/>
  <c r="S558" i="2"/>
  <c r="T381" i="2"/>
  <c r="T380" i="2"/>
  <c r="T1633" i="2"/>
  <c r="T1558" i="2"/>
  <c r="T1219" i="2"/>
  <c r="T1138" i="2"/>
  <c r="T543" i="2"/>
  <c r="T342" i="2"/>
  <c r="T135" i="2"/>
  <c r="T1476" i="2"/>
  <c r="T1183" i="2"/>
  <c r="T295" i="2"/>
  <c r="S358" i="2"/>
  <c r="N534" i="2"/>
  <c r="P534" i="2" s="1"/>
  <c r="S545" i="2"/>
  <c r="N516" i="2"/>
  <c r="P516" i="2" s="1"/>
  <c r="T1564" i="2"/>
  <c r="S390" i="2"/>
  <c r="N547" i="2"/>
  <c r="P547" i="2" s="1"/>
  <c r="N1070" i="2"/>
  <c r="P1070" i="2" s="1"/>
  <c r="N591" i="2"/>
  <c r="P591" i="2" s="1"/>
  <c r="S594" i="2"/>
  <c r="N642" i="2"/>
  <c r="P642" i="2" s="1"/>
  <c r="S649" i="2"/>
  <c r="S964" i="2"/>
  <c r="S1007" i="2"/>
  <c r="S1292" i="2"/>
  <c r="T1631" i="2"/>
  <c r="T1556" i="2"/>
  <c r="T1482" i="2"/>
  <c r="T1362" i="2"/>
  <c r="T1218" i="2"/>
  <c r="T896" i="2"/>
  <c r="T738" i="2"/>
  <c r="T542" i="2"/>
  <c r="T333" i="2"/>
  <c r="S107" i="2"/>
  <c r="T107" i="2"/>
  <c r="S501" i="2"/>
  <c r="S671" i="2"/>
  <c r="T671" i="2"/>
  <c r="S71" i="2"/>
  <c r="T71" i="2"/>
  <c r="S305" i="2"/>
  <c r="T305" i="2"/>
  <c r="S309" i="2"/>
  <c r="T309" i="2"/>
  <c r="S347" i="2"/>
  <c r="T347" i="2"/>
  <c r="S362" i="2"/>
  <c r="T362" i="2"/>
  <c r="S369" i="2"/>
  <c r="T369" i="2"/>
  <c r="S439" i="2"/>
  <c r="T439" i="2"/>
  <c r="S466" i="2"/>
  <c r="T466" i="2"/>
  <c r="S470" i="2"/>
  <c r="T470" i="2"/>
  <c r="S561" i="2"/>
  <c r="T561" i="2"/>
  <c r="S565" i="2"/>
  <c r="T565" i="2"/>
  <c r="S569" i="2"/>
  <c r="T569" i="2"/>
  <c r="S627" i="2"/>
  <c r="T627" i="2"/>
  <c r="T654" i="2"/>
  <c r="S654" i="2"/>
  <c r="T1262" i="2"/>
  <c r="T663" i="2"/>
  <c r="T581" i="2"/>
  <c r="S119" i="2"/>
  <c r="T119" i="2"/>
  <c r="S490" i="2"/>
  <c r="T490" i="2"/>
  <c r="S679" i="2"/>
  <c r="T679" i="2"/>
  <c r="S43" i="2"/>
  <c r="T43" i="2"/>
  <c r="S75" i="2"/>
  <c r="T75" i="2"/>
  <c r="S313" i="2"/>
  <c r="T313" i="2"/>
  <c r="S332" i="2"/>
  <c r="T332" i="2"/>
  <c r="S336" i="2"/>
  <c r="T336" i="2"/>
  <c r="S410" i="2"/>
  <c r="S474" i="2"/>
  <c r="S489" i="2"/>
  <c r="S504" i="2"/>
  <c r="T504" i="2"/>
  <c r="S523" i="2"/>
  <c r="T523" i="2"/>
  <c r="N535" i="2"/>
  <c r="P535" i="2" s="1"/>
  <c r="S577" i="2"/>
  <c r="T577" i="2"/>
  <c r="S631" i="2"/>
  <c r="T631" i="2"/>
  <c r="S635" i="2"/>
  <c r="T635" i="2"/>
  <c r="T666" i="2"/>
  <c r="S666" i="2"/>
  <c r="S786" i="2"/>
  <c r="T786" i="2"/>
  <c r="S897" i="2"/>
  <c r="T1196" i="2"/>
  <c r="T662" i="2"/>
  <c r="T580" i="2"/>
  <c r="T415" i="2"/>
  <c r="T316" i="2"/>
  <c r="T58" i="2"/>
  <c r="S171" i="2"/>
  <c r="T171" i="2"/>
  <c r="S48" i="2"/>
  <c r="T48" i="2"/>
  <c r="S79" i="2"/>
  <c r="T79" i="2"/>
  <c r="S52" i="2"/>
  <c r="T52" i="2"/>
  <c r="S56" i="2"/>
  <c r="T56" i="2"/>
  <c r="S83" i="2"/>
  <c r="T83" i="2"/>
  <c r="S267" i="2"/>
  <c r="T267" i="2"/>
  <c r="S271" i="2"/>
  <c r="T271" i="2"/>
  <c r="S317" i="2"/>
  <c r="T317" i="2"/>
  <c r="S321" i="2"/>
  <c r="T321" i="2"/>
  <c r="S325" i="2"/>
  <c r="T325" i="2"/>
  <c r="T351" i="2"/>
  <c r="S351" i="2"/>
  <c r="S425" i="2"/>
  <c r="T425" i="2"/>
  <c r="S443" i="2"/>
  <c r="T443" i="2"/>
  <c r="N471" i="2"/>
  <c r="P471" i="2" s="1"/>
  <c r="S478" i="2"/>
  <c r="T478" i="2"/>
  <c r="S508" i="2"/>
  <c r="S512" i="2"/>
  <c r="T512" i="2"/>
  <c r="S527" i="2"/>
  <c r="T527" i="2"/>
  <c r="S546" i="2"/>
  <c r="S585" i="2"/>
  <c r="T585" i="2"/>
  <c r="N624" i="2"/>
  <c r="P624" i="2" s="1"/>
  <c r="S639" i="2"/>
  <c r="T639" i="2"/>
  <c r="S728" i="2"/>
  <c r="T728" i="2"/>
  <c r="S790" i="2"/>
  <c r="T790" i="2"/>
  <c r="S802" i="2"/>
  <c r="S905" i="2"/>
  <c r="T905" i="2"/>
  <c r="S920" i="2"/>
  <c r="S928" i="2"/>
  <c r="T928" i="2"/>
  <c r="S1266" i="2"/>
  <c r="T1260" i="2"/>
  <c r="T661" i="2"/>
  <c r="T579" i="2"/>
  <c r="T498" i="2"/>
  <c r="T139" i="2"/>
  <c r="T55" i="2"/>
  <c r="S1225" i="2"/>
  <c r="T1225" i="2"/>
  <c r="S94" i="2"/>
  <c r="T94" i="2"/>
  <c r="S17" i="2"/>
  <c r="S87" i="2"/>
  <c r="T87" i="2"/>
  <c r="S275" i="2"/>
  <c r="T275" i="2"/>
  <c r="S399" i="2"/>
  <c r="T399" i="2"/>
  <c r="S403" i="2"/>
  <c r="T403" i="2"/>
  <c r="S414" i="2"/>
  <c r="T414" i="2"/>
  <c r="S429" i="2"/>
  <c r="T429" i="2"/>
  <c r="S447" i="2"/>
  <c r="T447" i="2"/>
  <c r="S531" i="2"/>
  <c r="T531" i="2"/>
  <c r="S550" i="2"/>
  <c r="T550" i="2"/>
  <c r="S554" i="2"/>
  <c r="T554" i="2"/>
  <c r="S600" i="2"/>
  <c r="T600" i="2"/>
  <c r="S647" i="2"/>
  <c r="T647" i="2"/>
  <c r="S705" i="2"/>
  <c r="T705" i="2"/>
  <c r="S709" i="2"/>
  <c r="T709" i="2"/>
  <c r="S713" i="2"/>
  <c r="T713" i="2"/>
  <c r="S806" i="2"/>
  <c r="S821" i="2"/>
  <c r="S909" i="2"/>
  <c r="T909" i="2"/>
  <c r="S936" i="2"/>
  <c r="T936" i="2"/>
  <c r="S948" i="2"/>
  <c r="S956" i="2"/>
  <c r="S1235" i="2"/>
  <c r="T1235" i="2"/>
  <c r="S1239" i="2"/>
  <c r="T1239" i="2"/>
  <c r="T1479" i="2"/>
  <c r="T1259" i="2"/>
  <c r="T660" i="2"/>
  <c r="T578" i="2"/>
  <c r="T396" i="2"/>
  <c r="T53" i="2"/>
  <c r="S392" i="2"/>
  <c r="T392" i="2"/>
  <c r="N483" i="2"/>
  <c r="P483" i="2" s="1"/>
  <c r="S65" i="2"/>
  <c r="T65" i="2"/>
  <c r="S483" i="2"/>
  <c r="T483" i="2"/>
  <c r="S1122" i="2"/>
  <c r="T1122" i="2"/>
  <c r="S1130" i="2"/>
  <c r="T1130" i="2"/>
  <c r="S1134" i="2"/>
  <c r="T1134" i="2"/>
  <c r="S1244" i="2"/>
  <c r="T1244" i="2"/>
  <c r="S1252" i="2"/>
  <c r="T1252" i="2"/>
  <c r="T1236" i="2"/>
  <c r="T733" i="2"/>
  <c r="T378" i="2"/>
  <c r="T183" i="2"/>
  <c r="S69" i="2"/>
  <c r="T69" i="2"/>
  <c r="S73" i="2"/>
  <c r="T73" i="2"/>
  <c r="S92" i="2"/>
  <c r="T92" i="2"/>
  <c r="S96" i="2"/>
  <c r="T96" i="2"/>
  <c r="S104" i="2"/>
  <c r="T104" i="2"/>
  <c r="S187" i="2"/>
  <c r="T187" i="2"/>
  <c r="S307" i="2"/>
  <c r="T307" i="2"/>
  <c r="S330" i="2"/>
  <c r="S345" i="2"/>
  <c r="T345" i="2"/>
  <c r="S360" i="2"/>
  <c r="T360" i="2"/>
  <c r="S408" i="2"/>
  <c r="S437" i="2"/>
  <c r="S456" i="2"/>
  <c r="T456" i="2"/>
  <c r="S464" i="2"/>
  <c r="T464" i="2"/>
  <c r="S468" i="2"/>
  <c r="T468" i="2"/>
  <c r="S472" i="2"/>
  <c r="T472" i="2"/>
  <c r="S487" i="2"/>
  <c r="T487" i="2"/>
  <c r="S617" i="2"/>
  <c r="T617" i="2"/>
  <c r="S625" i="2"/>
  <c r="T625" i="2"/>
  <c r="S629" i="2"/>
  <c r="T629" i="2"/>
  <c r="S652" i="2"/>
  <c r="N672" i="2"/>
  <c r="P672" i="2" s="1"/>
  <c r="N676" i="2"/>
  <c r="P676" i="2" s="1"/>
  <c r="S996" i="2"/>
  <c r="S1193" i="2"/>
  <c r="T1193" i="2"/>
  <c r="S1197" i="2"/>
  <c r="T1197" i="2"/>
  <c r="S1201" i="2"/>
  <c r="T1201" i="2"/>
  <c r="S1205" i="2"/>
  <c r="T1205" i="2"/>
  <c r="S1209" i="2"/>
  <c r="T1209" i="2"/>
  <c r="S1217" i="2"/>
  <c r="T1217" i="2"/>
  <c r="T622" i="2"/>
  <c r="T541" i="2"/>
  <c r="T459" i="2"/>
  <c r="T375" i="2"/>
  <c r="T100" i="2"/>
  <c r="T329" i="2"/>
  <c r="S329" i="2"/>
  <c r="S604" i="2"/>
  <c r="T604" i="2"/>
  <c r="S717" i="2"/>
  <c r="T717" i="2"/>
  <c r="S72" i="2"/>
  <c r="T72" i="2"/>
  <c r="S127" i="2"/>
  <c r="T127" i="2"/>
  <c r="S359" i="2"/>
  <c r="T359" i="2"/>
  <c r="S616" i="2"/>
  <c r="T616" i="2"/>
  <c r="N706" i="2"/>
  <c r="P706" i="2" s="1"/>
  <c r="S1192" i="2"/>
  <c r="T1192" i="2"/>
  <c r="S1216" i="2"/>
  <c r="T1216" i="2"/>
  <c r="S1533" i="2"/>
  <c r="T1533" i="2"/>
  <c r="S1545" i="2"/>
  <c r="T1545" i="2"/>
  <c r="S1549" i="2"/>
  <c r="T1549" i="2"/>
  <c r="S283" i="2"/>
  <c r="T283" i="2"/>
  <c r="S440" i="2"/>
  <c r="S505" i="2"/>
  <c r="T505" i="2"/>
  <c r="S524" i="2"/>
  <c r="T524" i="2"/>
  <c r="T463" i="2"/>
  <c r="S57" i="2"/>
  <c r="T57" i="2"/>
  <c r="S422" i="2"/>
  <c r="N472" i="2"/>
  <c r="P472" i="2" s="1"/>
  <c r="S760" i="2"/>
  <c r="T760" i="2"/>
  <c r="S356" i="2"/>
  <c r="S448" i="2"/>
  <c r="T448" i="2"/>
  <c r="S367" i="2"/>
  <c r="N480" i="2"/>
  <c r="P480" i="2" s="1"/>
  <c r="S691" i="2"/>
  <c r="T691" i="2"/>
  <c r="S722" i="2"/>
  <c r="T722" i="2"/>
  <c r="S776" i="2"/>
  <c r="T776" i="2"/>
  <c r="S64" i="2"/>
  <c r="T64" i="2"/>
  <c r="S91" i="2"/>
  <c r="T91" i="2"/>
  <c r="S407" i="2"/>
  <c r="T407" i="2"/>
  <c r="T608" i="2"/>
  <c r="S608" i="2"/>
  <c r="S694" i="2"/>
  <c r="T694" i="2"/>
  <c r="T36" i="2"/>
  <c r="S68" i="2"/>
  <c r="T68" i="2"/>
  <c r="S115" i="2"/>
  <c r="T115" i="2"/>
  <c r="S1200" i="2"/>
  <c r="T1200" i="2"/>
  <c r="S385" i="2"/>
  <c r="T385" i="2"/>
  <c r="S475" i="2"/>
  <c r="T475" i="2"/>
  <c r="S752" i="2"/>
  <c r="T752" i="2"/>
  <c r="S411" i="2"/>
  <c r="T411" i="2"/>
  <c r="S29" i="2"/>
  <c r="S729" i="2"/>
  <c r="T729" i="2"/>
  <c r="S167" i="2"/>
  <c r="T167" i="2"/>
  <c r="S714" i="2"/>
  <c r="T506" i="2"/>
  <c r="S506" i="2"/>
  <c r="S664" i="2"/>
  <c r="T664" i="2"/>
  <c r="S319" i="2"/>
  <c r="T319" i="2"/>
  <c r="S445" i="2"/>
  <c r="T445" i="2"/>
  <c r="N572" i="2"/>
  <c r="P572" i="2" s="1"/>
  <c r="S598" i="2"/>
  <c r="S641" i="2"/>
  <c r="T641" i="2"/>
  <c r="S726" i="2"/>
  <c r="S788" i="2"/>
  <c r="T788" i="2"/>
  <c r="S1146" i="2"/>
  <c r="S1154" i="2"/>
  <c r="T1154" i="2"/>
  <c r="S1272" i="2"/>
  <c r="T1272" i="2"/>
  <c r="T702" i="2"/>
  <c r="T620" i="2"/>
  <c r="T539" i="2"/>
  <c r="T455" i="2"/>
  <c r="T98" i="2"/>
  <c r="S13" i="2"/>
  <c r="S30" i="2"/>
  <c r="S34" i="2"/>
  <c r="T34" i="2"/>
  <c r="S199" i="2"/>
  <c r="T199" i="2"/>
  <c r="S203" i="2"/>
  <c r="T203" i="2"/>
  <c r="S207" i="2"/>
  <c r="T207" i="2"/>
  <c r="S211" i="2"/>
  <c r="T211" i="2"/>
  <c r="S327" i="2"/>
  <c r="T327" i="2"/>
  <c r="S397" i="2"/>
  <c r="S401" i="2"/>
  <c r="T401" i="2"/>
  <c r="S412" i="2"/>
  <c r="T412" i="2"/>
  <c r="S416" i="2"/>
  <c r="T416" i="2"/>
  <c r="S529" i="2"/>
  <c r="T529" i="2"/>
  <c r="S552" i="2"/>
  <c r="T552" i="2"/>
  <c r="S587" i="2"/>
  <c r="T587" i="2"/>
  <c r="N638" i="2"/>
  <c r="P638" i="2" s="1"/>
  <c r="S645" i="2"/>
  <c r="T645" i="2"/>
  <c r="N657" i="2"/>
  <c r="P657" i="2" s="1"/>
  <c r="S672" i="2"/>
  <c r="T672" i="2"/>
  <c r="S680" i="2"/>
  <c r="T680" i="2"/>
  <c r="S707" i="2"/>
  <c r="T707" i="2"/>
  <c r="S711" i="2"/>
  <c r="T711" i="2"/>
  <c r="S946" i="2"/>
  <c r="S1012" i="2"/>
  <c r="S1162" i="2"/>
  <c r="T1162" i="2"/>
  <c r="S1166" i="2"/>
  <c r="T1166" i="2"/>
  <c r="S1170" i="2"/>
  <c r="T1170" i="2"/>
  <c r="S1174" i="2"/>
  <c r="T1174" i="2"/>
  <c r="S1186" i="2"/>
  <c r="T1186" i="2"/>
  <c r="S1190" i="2"/>
  <c r="T1190" i="2"/>
  <c r="S45" i="2"/>
  <c r="T45" i="2"/>
  <c r="T1561" i="2"/>
  <c r="T1447" i="2"/>
  <c r="T701" i="2"/>
  <c r="T619" i="2"/>
  <c r="T343" i="2"/>
  <c r="T179" i="2"/>
  <c r="T95" i="2"/>
  <c r="S131" i="2"/>
  <c r="T131" i="2"/>
  <c r="S363" i="2"/>
  <c r="T363" i="2"/>
  <c r="S471" i="2"/>
  <c r="T471" i="2"/>
  <c r="S520" i="2"/>
  <c r="T624" i="2"/>
  <c r="S624" i="2"/>
  <c r="S1204" i="2"/>
  <c r="T1204" i="2"/>
  <c r="S1485" i="2"/>
  <c r="T1485" i="2"/>
  <c r="S1525" i="2"/>
  <c r="T1525" i="2"/>
  <c r="S1541" i="2"/>
  <c r="T1541" i="2"/>
  <c r="S1557" i="2"/>
  <c r="T1557" i="2"/>
  <c r="S44" i="2"/>
  <c r="T44" i="2"/>
  <c r="S80" i="2"/>
  <c r="T80" i="2"/>
  <c r="S374" i="2"/>
  <c r="T374" i="2"/>
  <c r="N464" i="2"/>
  <c r="P464" i="2" s="1"/>
  <c r="S509" i="2"/>
  <c r="T509" i="2"/>
  <c r="S768" i="2"/>
  <c r="T768" i="2"/>
  <c r="S921" i="2"/>
  <c r="T921" i="2"/>
  <c r="S929" i="2"/>
  <c r="T929" i="2"/>
  <c r="S1232" i="2"/>
  <c r="T1232" i="2"/>
  <c r="S404" i="2"/>
  <c r="T404" i="2"/>
  <c r="S494" i="2"/>
  <c r="S644" i="2"/>
  <c r="T644" i="2"/>
  <c r="N660" i="2"/>
  <c r="P660" i="2" s="1"/>
  <c r="S706" i="2"/>
  <c r="T706" i="2"/>
  <c r="S1240" i="2"/>
  <c r="T1240" i="2"/>
  <c r="T1247" i="2"/>
  <c r="S163" i="2"/>
  <c r="T163" i="2"/>
  <c r="S46" i="2"/>
  <c r="T46" i="2"/>
  <c r="S77" i="2"/>
  <c r="T77" i="2"/>
  <c r="S334" i="2"/>
  <c r="T334" i="2"/>
  <c r="S371" i="2"/>
  <c r="T371" i="2"/>
  <c r="S386" i="2"/>
  <c r="T386" i="2"/>
  <c r="S491" i="2"/>
  <c r="T491" i="2"/>
  <c r="S633" i="2"/>
  <c r="T633" i="2"/>
  <c r="S784" i="2"/>
  <c r="T784" i="2"/>
  <c r="T99" i="2"/>
  <c r="S195" i="2"/>
  <c r="T195" i="2"/>
  <c r="S353" i="2"/>
  <c r="T353" i="2"/>
  <c r="S441" i="2"/>
  <c r="T441" i="2"/>
  <c r="S548" i="2"/>
  <c r="T548" i="2"/>
  <c r="N614" i="2"/>
  <c r="P614" i="2" s="1"/>
  <c r="N626" i="2"/>
  <c r="P626" i="2" s="1"/>
  <c r="S357" i="2"/>
  <c r="T357" i="2"/>
  <c r="T405" i="2"/>
  <c r="S405" i="2"/>
  <c r="S431" i="2"/>
  <c r="T431" i="2"/>
  <c r="S537" i="2"/>
  <c r="T537" i="2"/>
  <c r="S591" i="2"/>
  <c r="T591" i="2"/>
  <c r="S606" i="2"/>
  <c r="T606" i="2"/>
  <c r="S688" i="2"/>
  <c r="T688" i="2"/>
  <c r="S692" i="2"/>
  <c r="T692" i="2"/>
  <c r="S715" i="2"/>
  <c r="T715" i="2"/>
  <c r="S719" i="2"/>
  <c r="T719" i="2"/>
  <c r="S723" i="2"/>
  <c r="T723" i="2"/>
  <c r="S1119" i="2"/>
  <c r="T1119" i="2"/>
  <c r="S1123" i="2"/>
  <c r="T1123" i="2"/>
  <c r="S1131" i="2"/>
  <c r="T1131" i="2"/>
  <c r="S1411" i="2"/>
  <c r="T1411" i="2"/>
  <c r="S1419" i="2"/>
  <c r="T1419" i="2"/>
  <c r="S1423" i="2"/>
  <c r="T1423" i="2"/>
  <c r="S1427" i="2"/>
  <c r="T1427" i="2"/>
  <c r="S1431" i="2"/>
  <c r="T1431" i="2"/>
  <c r="S1435" i="2"/>
  <c r="T1435" i="2"/>
  <c r="S1439" i="2"/>
  <c r="T1439" i="2"/>
  <c r="S1451" i="2"/>
  <c r="T1451" i="2"/>
  <c r="S1455" i="2"/>
  <c r="T1455" i="2"/>
  <c r="S1459" i="2"/>
  <c r="T1459" i="2"/>
  <c r="S1463" i="2"/>
  <c r="T1463" i="2"/>
  <c r="S1467" i="2"/>
  <c r="T1467" i="2"/>
  <c r="S1471" i="2"/>
  <c r="T1471" i="2"/>
  <c r="T1443" i="2"/>
  <c r="T535" i="2"/>
  <c r="T436" i="2"/>
  <c r="S70" i="2"/>
  <c r="T70" i="2"/>
  <c r="S74" i="2"/>
  <c r="T74" i="2"/>
  <c r="S97" i="2"/>
  <c r="T97" i="2"/>
  <c r="S105" i="2"/>
  <c r="T105" i="2"/>
  <c r="S308" i="2"/>
  <c r="T308" i="2"/>
  <c r="S331" i="2"/>
  <c r="T331" i="2"/>
  <c r="S346" i="2"/>
  <c r="T346" i="2"/>
  <c r="S361" i="2"/>
  <c r="T361" i="2"/>
  <c r="S368" i="2"/>
  <c r="S394" i="2"/>
  <c r="S409" i="2"/>
  <c r="T409" i="2"/>
  <c r="N515" i="2"/>
  <c r="P515" i="2" s="1"/>
  <c r="N530" i="2"/>
  <c r="P530" i="2" s="1"/>
  <c r="S560" i="2"/>
  <c r="S564" i="2"/>
  <c r="T564" i="2"/>
  <c r="S568" i="2"/>
  <c r="T568" i="2"/>
  <c r="S572" i="2"/>
  <c r="T572" i="2"/>
  <c r="N588" i="2"/>
  <c r="P588" i="2" s="1"/>
  <c r="S614" i="2"/>
  <c r="T614" i="2"/>
  <c r="S626" i="2"/>
  <c r="T626" i="2"/>
  <c r="N673" i="2"/>
  <c r="P673" i="2" s="1"/>
  <c r="N708" i="2"/>
  <c r="P708" i="2" s="1"/>
  <c r="N1092" i="2"/>
  <c r="P1092" i="2" s="1"/>
  <c r="S1214" i="2"/>
  <c r="T1214" i="2"/>
  <c r="S1257" i="2"/>
  <c r="T1257" i="2"/>
  <c r="T1143" i="2"/>
  <c r="T699" i="2"/>
  <c r="T615" i="2"/>
  <c r="T423" i="2"/>
  <c r="T341" i="2"/>
  <c r="T259" i="2"/>
  <c r="T175" i="2"/>
  <c r="T76" i="2"/>
  <c r="S349" i="2"/>
  <c r="T349" i="2"/>
  <c r="S312" i="2"/>
  <c r="T312" i="2"/>
  <c r="S492" i="2"/>
  <c r="T492" i="2"/>
  <c r="S507" i="2"/>
  <c r="T507" i="2"/>
  <c r="S576" i="2"/>
  <c r="T576" i="2"/>
  <c r="S595" i="2"/>
  <c r="T595" i="2"/>
  <c r="S634" i="2"/>
  <c r="T634" i="2"/>
  <c r="S657" i="2"/>
  <c r="T657" i="2"/>
  <c r="S665" i="2"/>
  <c r="T665" i="2"/>
  <c r="S696" i="2"/>
  <c r="T696" i="2"/>
  <c r="T1142" i="2"/>
  <c r="T698" i="2"/>
  <c r="T613" i="2"/>
  <c r="T516" i="2"/>
  <c r="T340" i="2"/>
  <c r="T63" i="2"/>
  <c r="S111" i="2"/>
  <c r="T111" i="2"/>
  <c r="S683" i="2"/>
  <c r="T683" i="2"/>
  <c r="S584" i="2"/>
  <c r="T584" i="2"/>
  <c r="S638" i="2"/>
  <c r="S642" i="2"/>
  <c r="T642" i="2"/>
  <c r="N654" i="2"/>
  <c r="P654" i="2" s="1"/>
  <c r="S727" i="2"/>
  <c r="T727" i="2"/>
  <c r="S904" i="2"/>
  <c r="T904" i="2"/>
  <c r="S1147" i="2"/>
  <c r="T1147" i="2"/>
  <c r="S1151" i="2"/>
  <c r="T1151" i="2"/>
  <c r="S1155" i="2"/>
  <c r="T1155" i="2"/>
  <c r="T927" i="2"/>
  <c r="T596" i="2"/>
  <c r="T503" i="2"/>
  <c r="T421" i="2"/>
  <c r="T339" i="2"/>
  <c r="T255" i="2"/>
  <c r="T62" i="2"/>
  <c r="S40" i="2"/>
  <c r="T40" i="2"/>
  <c r="S686" i="2"/>
  <c r="T686" i="2"/>
  <c r="S913" i="2"/>
  <c r="T913" i="2"/>
  <c r="S467" i="2"/>
  <c r="T467" i="2"/>
  <c r="S725" i="2"/>
  <c r="S1212" i="2"/>
  <c r="T1212" i="2"/>
  <c r="S1537" i="2"/>
  <c r="T1537" i="2"/>
  <c r="S287" i="2"/>
  <c r="T287" i="2"/>
  <c r="S370" i="2"/>
  <c r="T370" i="2"/>
  <c r="S433" i="2"/>
  <c r="T433" i="2"/>
  <c r="N498" i="2"/>
  <c r="P498" i="2" s="1"/>
  <c r="S597" i="2"/>
  <c r="T597" i="2"/>
  <c r="S667" i="2"/>
  <c r="T667" i="2"/>
  <c r="N695" i="2"/>
  <c r="P695" i="2" s="1"/>
  <c r="S352" i="2"/>
  <c r="T352" i="2"/>
  <c r="S479" i="2"/>
  <c r="T479" i="2"/>
  <c r="T1271" i="2"/>
  <c r="S1271" i="2"/>
  <c r="N491" i="2"/>
  <c r="P491" i="2" s="1"/>
  <c r="S513" i="2"/>
  <c r="S648" i="2"/>
  <c r="T648" i="2"/>
  <c r="S710" i="2"/>
  <c r="T710" i="2"/>
  <c r="S159" i="2"/>
  <c r="T159" i="2"/>
  <c r="S393" i="2"/>
  <c r="T393" i="2"/>
  <c r="S452" i="2"/>
  <c r="T452" i="2"/>
  <c r="S81" i="2"/>
  <c r="T81" i="2"/>
  <c r="S311" i="2"/>
  <c r="T311" i="2"/>
  <c r="S637" i="2"/>
  <c r="T637" i="2"/>
  <c r="S749" i="2"/>
  <c r="T749" i="2"/>
  <c r="S323" i="2"/>
  <c r="T323" i="2"/>
  <c r="S434" i="2"/>
  <c r="S668" i="2"/>
  <c r="S757" i="2"/>
  <c r="T757" i="2"/>
  <c r="S66" i="2"/>
  <c r="T66" i="2"/>
  <c r="S51" i="2"/>
  <c r="T51" i="2"/>
  <c r="S82" i="2"/>
  <c r="T82" i="2"/>
  <c r="S372" i="2"/>
  <c r="T372" i="2"/>
  <c r="S387" i="2"/>
  <c r="T387" i="2"/>
  <c r="S231" i="2"/>
  <c r="T231" i="2"/>
  <c r="S320" i="2"/>
  <c r="T320" i="2"/>
  <c r="S354" i="2"/>
  <c r="T354" i="2"/>
  <c r="S376" i="2"/>
  <c r="S31" i="2"/>
  <c r="S90" i="2"/>
  <c r="T90" i="2"/>
  <c r="S239" i="2"/>
  <c r="T239" i="2"/>
  <c r="S243" i="2"/>
  <c r="T243" i="2"/>
  <c r="S247" i="2"/>
  <c r="T247" i="2"/>
  <c r="S328" i="2"/>
  <c r="T328" i="2"/>
  <c r="S365" i="2"/>
  <c r="S398" i="2"/>
  <c r="T398" i="2"/>
  <c r="S402" i="2"/>
  <c r="T402" i="2"/>
  <c r="S446" i="2"/>
  <c r="S450" i="2"/>
  <c r="T450" i="2"/>
  <c r="S481" i="2"/>
  <c r="N504" i="2"/>
  <c r="P504" i="2" s="1"/>
  <c r="S515" i="2"/>
  <c r="T515" i="2"/>
  <c r="N523" i="2"/>
  <c r="P523" i="2" s="1"/>
  <c r="S530" i="2"/>
  <c r="T530" i="2"/>
  <c r="S549" i="2"/>
  <c r="S553" i="2"/>
  <c r="T553" i="2"/>
  <c r="S557" i="2"/>
  <c r="T557" i="2"/>
  <c r="N577" i="2"/>
  <c r="P577" i="2" s="1"/>
  <c r="S588" i="2"/>
  <c r="T588" i="2"/>
  <c r="S599" i="2"/>
  <c r="N635" i="2"/>
  <c r="P635" i="2" s="1"/>
  <c r="S646" i="2"/>
  <c r="T646" i="2"/>
  <c r="S669" i="2"/>
  <c r="S673" i="2"/>
  <c r="T673" i="2"/>
  <c r="S677" i="2"/>
  <c r="T677" i="2"/>
  <c r="S681" i="2"/>
  <c r="T681" i="2"/>
  <c r="S704" i="2"/>
  <c r="T704" i="2"/>
  <c r="S708" i="2"/>
  <c r="T708" i="2"/>
  <c r="S712" i="2"/>
  <c r="T712" i="2"/>
  <c r="S912" i="2"/>
  <c r="T912" i="2"/>
  <c r="S1159" i="2"/>
  <c r="T1159" i="2"/>
  <c r="S1163" i="2"/>
  <c r="T1163" i="2"/>
  <c r="T1213" i="2"/>
  <c r="T583" i="2"/>
  <c r="T502" i="2"/>
  <c r="T420" i="2"/>
  <c r="T338" i="2"/>
  <c r="T61" i="2"/>
  <c r="S497" i="2"/>
  <c r="T497" i="2"/>
  <c r="S690" i="2"/>
  <c r="T690" i="2"/>
  <c r="S721" i="2"/>
  <c r="T721" i="2"/>
  <c r="S123" i="2"/>
  <c r="T123" i="2"/>
  <c r="S486" i="2"/>
  <c r="S736" i="2"/>
  <c r="T736" i="2"/>
  <c r="S1208" i="2"/>
  <c r="T1208" i="2"/>
  <c r="S49" i="2"/>
  <c r="T49" i="2"/>
  <c r="S744" i="2"/>
  <c r="T744" i="2"/>
  <c r="S1145" i="2"/>
  <c r="T1145" i="2"/>
  <c r="S444" i="2"/>
  <c r="T444" i="2"/>
  <c r="S925" i="2"/>
  <c r="T925" i="2"/>
  <c r="S1228" i="2"/>
  <c r="T1228" i="2"/>
  <c r="T103" i="2"/>
  <c r="T19" i="2"/>
  <c r="S155" i="2"/>
  <c r="T155" i="2"/>
  <c r="S389" i="2"/>
  <c r="T389" i="2"/>
  <c r="S400" i="2"/>
  <c r="T400" i="2"/>
  <c r="S426" i="2"/>
  <c r="T426" i="2"/>
  <c r="N502" i="2"/>
  <c r="P502" i="2" s="1"/>
  <c r="T532" i="2"/>
  <c r="S532" i="2"/>
  <c r="S675" i="2"/>
  <c r="T675" i="2"/>
  <c r="S430" i="2"/>
  <c r="S687" i="2"/>
  <c r="T687" i="2"/>
  <c r="S718" i="2"/>
  <c r="T718" i="2"/>
  <c r="S50" i="2"/>
  <c r="T50" i="2"/>
  <c r="S54" i="2"/>
  <c r="T54" i="2"/>
  <c r="S315" i="2"/>
  <c r="T315" i="2"/>
  <c r="S480" i="2"/>
  <c r="T480" i="2"/>
  <c r="S765" i="2"/>
  <c r="T765" i="2"/>
  <c r="S610" i="2"/>
  <c r="T610" i="2"/>
  <c r="S47" i="2"/>
  <c r="T47" i="2"/>
  <c r="S78" i="2"/>
  <c r="T78" i="2"/>
  <c r="S227" i="2"/>
  <c r="T227" i="2"/>
  <c r="S522" i="2"/>
  <c r="T522" i="2"/>
  <c r="S235" i="2"/>
  <c r="T235" i="2"/>
  <c r="S324" i="2"/>
  <c r="T324" i="2"/>
  <c r="S350" i="2"/>
  <c r="T350" i="2"/>
  <c r="S442" i="2"/>
  <c r="T442" i="2"/>
  <c r="S477" i="2"/>
  <c r="T477" i="2"/>
  <c r="S511" i="2"/>
  <c r="T511" i="2"/>
  <c r="S526" i="2"/>
  <c r="N542" i="2"/>
  <c r="P542" i="2" s="1"/>
  <c r="S15" i="2"/>
  <c r="S26" i="2"/>
  <c r="S86" i="2"/>
  <c r="T86" i="2"/>
  <c r="N28" i="2"/>
  <c r="P28" i="2" s="1"/>
  <c r="T28" i="2" s="1"/>
  <c r="N32" i="2"/>
  <c r="P32" i="2" s="1"/>
  <c r="T32" i="2" s="1"/>
  <c r="S35" i="2"/>
  <c r="T35" i="2"/>
  <c r="S39" i="2"/>
  <c r="T39" i="2"/>
  <c r="S67" i="2"/>
  <c r="T67" i="2"/>
  <c r="S251" i="2"/>
  <c r="T251" i="2"/>
  <c r="N478" i="2"/>
  <c r="P478" i="2" s="1"/>
  <c r="S485" i="2"/>
  <c r="T485" i="2"/>
  <c r="S496" i="2"/>
  <c r="N512" i="2"/>
  <c r="P512" i="2" s="1"/>
  <c r="S519" i="2"/>
  <c r="T519" i="2"/>
  <c r="N527" i="2"/>
  <c r="P527" i="2" s="1"/>
  <c r="S534" i="2"/>
  <c r="T534" i="2"/>
  <c r="S603" i="2"/>
  <c r="T603" i="2"/>
  <c r="S607" i="2"/>
  <c r="T607" i="2"/>
  <c r="S611" i="2"/>
  <c r="T611" i="2"/>
  <c r="S650" i="2"/>
  <c r="T650" i="2"/>
  <c r="T685" i="2"/>
  <c r="S685" i="2"/>
  <c r="S809" i="2"/>
  <c r="S916" i="2"/>
  <c r="S959" i="2"/>
  <c r="S963" i="2"/>
  <c r="S967" i="2"/>
  <c r="S1289" i="2"/>
  <c r="S1408" i="2"/>
  <c r="T1408" i="2"/>
  <c r="S1424" i="2"/>
  <c r="T1424" i="2"/>
  <c r="S1432" i="2"/>
  <c r="T1432" i="2"/>
  <c r="S1444" i="2"/>
  <c r="T1444" i="2"/>
  <c r="S1448" i="2"/>
  <c r="T1448" i="2"/>
  <c r="S1452" i="2"/>
  <c r="T1452" i="2"/>
  <c r="S1456" i="2"/>
  <c r="T1456" i="2"/>
  <c r="S1460" i="2"/>
  <c r="T1460" i="2"/>
  <c r="S1464" i="2"/>
  <c r="T1464" i="2"/>
  <c r="S1468" i="2"/>
  <c r="T1468" i="2"/>
  <c r="S1472" i="2"/>
  <c r="T1472" i="2"/>
  <c r="T1553" i="2"/>
  <c r="T1263" i="2"/>
  <c r="T676" i="2"/>
  <c r="T419" i="2"/>
  <c r="T335" i="2"/>
  <c r="T60" i="2"/>
  <c r="T555" i="2"/>
  <c r="T435" i="2"/>
  <c r="T395" i="2"/>
  <c r="T355" i="2"/>
  <c r="S1251" i="2"/>
  <c r="T1251" i="2"/>
  <c r="S1270" i="2"/>
  <c r="T1270" i="2"/>
  <c r="S1316" i="2"/>
  <c r="N1480" i="2"/>
  <c r="P1480" i="2" s="1"/>
  <c r="S1511" i="2"/>
  <c r="T1511" i="2"/>
  <c r="S1551" i="2"/>
  <c r="T1551" i="2"/>
  <c r="S1571" i="2"/>
  <c r="T1571" i="2"/>
  <c r="T1527" i="2"/>
  <c r="T1487" i="2"/>
  <c r="T1418" i="2"/>
  <c r="T1153" i="2"/>
  <c r="T593" i="2"/>
  <c r="T473" i="2"/>
  <c r="S962" i="2"/>
  <c r="S1098" i="2"/>
  <c r="S1106" i="2"/>
  <c r="S1110" i="2"/>
  <c r="S1114" i="2"/>
  <c r="S1177" i="2"/>
  <c r="T1177" i="2"/>
  <c r="S1185" i="2"/>
  <c r="T1185" i="2"/>
  <c r="S1189" i="2"/>
  <c r="T1189" i="2"/>
  <c r="S1224" i="2"/>
  <c r="T1224" i="2"/>
  <c r="T1563" i="2"/>
  <c r="T1227" i="2"/>
  <c r="T547" i="2"/>
  <c r="T427" i="2"/>
  <c r="T147" i="2"/>
  <c r="S1194" i="2"/>
  <c r="T1194" i="2"/>
  <c r="S1237" i="2"/>
  <c r="T1237" i="2"/>
  <c r="T536" i="2"/>
  <c r="N7" i="2"/>
  <c r="N21" i="2"/>
  <c r="P21" i="2" s="1"/>
  <c r="T21" i="2" s="1"/>
  <c r="N30" i="2"/>
  <c r="P30" i="2" s="1"/>
  <c r="T30" i="2" s="1"/>
  <c r="S37" i="2"/>
  <c r="T37" i="2"/>
  <c r="S84" i="2"/>
  <c r="T84" i="2"/>
  <c r="S88" i="2"/>
  <c r="T88" i="2"/>
  <c r="S151" i="2"/>
  <c r="T151" i="2"/>
  <c r="S306" i="2"/>
  <c r="T306" i="2"/>
  <c r="N484" i="2"/>
  <c r="P484" i="2" s="1"/>
  <c r="N495" i="2"/>
  <c r="P495" i="2" s="1"/>
  <c r="N510" i="2"/>
  <c r="P510" i="2" s="1"/>
  <c r="S517" i="2"/>
  <c r="T517" i="2"/>
  <c r="N536" i="2"/>
  <c r="P536" i="2" s="1"/>
  <c r="N551" i="2"/>
  <c r="P551" i="2" s="1"/>
  <c r="S566" i="2"/>
  <c r="T566" i="2"/>
  <c r="S570" i="2"/>
  <c r="T570" i="2"/>
  <c r="S574" i="2"/>
  <c r="T574" i="2"/>
  <c r="N651" i="2"/>
  <c r="P651" i="2" s="1"/>
  <c r="S746" i="2"/>
  <c r="T746" i="2"/>
  <c r="S972" i="2"/>
  <c r="S1018" i="2"/>
  <c r="N1057" i="2"/>
  <c r="P1057" i="2" s="1"/>
  <c r="S1124" i="2"/>
  <c r="T1124" i="2"/>
  <c r="S1128" i="2"/>
  <c r="T1128" i="2"/>
  <c r="S1132" i="2"/>
  <c r="T1132" i="2"/>
  <c r="S1230" i="2"/>
  <c r="T1230" i="2"/>
  <c r="S1303" i="2"/>
  <c r="S1338" i="2"/>
  <c r="T1542" i="2"/>
  <c r="T1203" i="2"/>
  <c r="T563" i="2"/>
  <c r="S1265" i="2"/>
  <c r="T1265" i="2"/>
  <c r="S1366" i="2"/>
  <c r="T1366" i="2"/>
  <c r="S1370" i="2"/>
  <c r="T1370" i="2"/>
  <c r="S1386" i="2"/>
  <c r="T1386" i="2"/>
  <c r="S1390" i="2"/>
  <c r="T1390" i="2"/>
  <c r="S1394" i="2"/>
  <c r="T1394" i="2"/>
  <c r="S1410" i="2"/>
  <c r="T1410" i="2"/>
  <c r="S1426" i="2"/>
  <c r="T1426" i="2"/>
  <c r="S1434" i="2"/>
  <c r="T1434" i="2"/>
  <c r="S1446" i="2"/>
  <c r="T1446" i="2"/>
  <c r="S1450" i="2"/>
  <c r="T1450" i="2"/>
  <c r="S1454" i="2"/>
  <c r="T1454" i="2"/>
  <c r="S1466" i="2"/>
  <c r="T1466" i="2"/>
  <c r="S1470" i="2"/>
  <c r="T1470" i="2"/>
  <c r="S1474" i="2"/>
  <c r="T1474" i="2"/>
  <c r="T1242" i="2"/>
  <c r="T1202" i="2"/>
  <c r="T762" i="2"/>
  <c r="T682" i="2"/>
  <c r="T562" i="2"/>
  <c r="T322" i="2"/>
  <c r="T42" i="2"/>
  <c r="S291" i="2"/>
  <c r="T291" i="2"/>
  <c r="S310" i="2"/>
  <c r="T310" i="2"/>
  <c r="S391" i="2"/>
  <c r="T391" i="2"/>
  <c r="S449" i="2"/>
  <c r="T449" i="2"/>
  <c r="N544" i="2"/>
  <c r="P544" i="2" s="1"/>
  <c r="N567" i="2"/>
  <c r="P567" i="2" s="1"/>
  <c r="N594" i="2"/>
  <c r="P594" i="2" s="1"/>
  <c r="S628" i="2"/>
  <c r="T628" i="2"/>
  <c r="S689" i="2"/>
  <c r="T689" i="2"/>
  <c r="S724" i="2"/>
  <c r="T724" i="2"/>
  <c r="S754" i="2"/>
  <c r="T754" i="2"/>
  <c r="S827" i="2"/>
  <c r="S877" i="2"/>
  <c r="S1211" i="2"/>
  <c r="S1246" i="2"/>
  <c r="T1246" i="2"/>
  <c r="T1579" i="2"/>
  <c r="T1462" i="2"/>
  <c r="T1241" i="2"/>
  <c r="T1121" i="2"/>
  <c r="T601" i="2"/>
  <c r="T41" i="2"/>
  <c r="S344" i="2"/>
  <c r="T344" i="2"/>
  <c r="S484" i="2"/>
  <c r="T484" i="2"/>
  <c r="S510" i="2"/>
  <c r="T510" i="2"/>
  <c r="S551" i="2"/>
  <c r="T551" i="2"/>
  <c r="S632" i="2"/>
  <c r="T632" i="2"/>
  <c r="S651" i="2"/>
  <c r="T651" i="2"/>
  <c r="S911" i="2"/>
  <c r="T911" i="2"/>
  <c r="S930" i="2"/>
  <c r="S1003" i="2"/>
  <c r="S1030" i="2"/>
  <c r="S1069" i="2"/>
  <c r="S1148" i="2"/>
  <c r="T1148" i="2"/>
  <c r="S1152" i="2"/>
  <c r="T1152" i="2"/>
  <c r="S1250" i="2"/>
  <c r="S1269" i="2"/>
  <c r="S1315" i="2"/>
  <c r="S1319" i="2"/>
  <c r="S1490" i="2"/>
  <c r="T1490" i="2"/>
  <c r="S1526" i="2"/>
  <c r="T1526" i="2"/>
  <c r="S1534" i="2"/>
  <c r="T1534" i="2"/>
  <c r="S1546" i="2"/>
  <c r="T1546" i="2"/>
  <c r="S1550" i="2"/>
  <c r="T1550" i="2"/>
  <c r="S1554" i="2"/>
  <c r="T1554" i="2"/>
  <c r="T1539" i="2"/>
  <c r="T1499" i="2"/>
  <c r="T1160" i="2"/>
  <c r="T1120" i="2"/>
  <c r="T720" i="2"/>
  <c r="T640" i="2"/>
  <c r="S314" i="2"/>
  <c r="T314" i="2"/>
  <c r="S366" i="2"/>
  <c r="T366" i="2"/>
  <c r="S377" i="2"/>
  <c r="T377" i="2"/>
  <c r="S417" i="2"/>
  <c r="T417" i="2"/>
  <c r="S424" i="2"/>
  <c r="S438" i="2"/>
  <c r="S457" i="2"/>
  <c r="T457" i="2"/>
  <c r="S465" i="2"/>
  <c r="T465" i="2"/>
  <c r="S469" i="2"/>
  <c r="T469" i="2"/>
  <c r="S525" i="2"/>
  <c r="N548" i="2"/>
  <c r="P548" i="2" s="1"/>
  <c r="N583" i="2"/>
  <c r="P583" i="2" s="1"/>
  <c r="S590" i="2"/>
  <c r="T590" i="2"/>
  <c r="S605" i="2"/>
  <c r="T605" i="2"/>
  <c r="S670" i="2"/>
  <c r="T670" i="2"/>
  <c r="S674" i="2"/>
  <c r="T674" i="2"/>
  <c r="N686" i="2"/>
  <c r="P686" i="2" s="1"/>
  <c r="N690" i="2"/>
  <c r="P690" i="2" s="1"/>
  <c r="S697" i="2"/>
  <c r="T697" i="2"/>
  <c r="S770" i="2"/>
  <c r="T770" i="2"/>
  <c r="S789" i="2"/>
  <c r="T789" i="2"/>
  <c r="S1164" i="2"/>
  <c r="T1164" i="2"/>
  <c r="S1172" i="2"/>
  <c r="T1172" i="2"/>
  <c r="S1184" i="2"/>
  <c r="T1184" i="2"/>
  <c r="S1188" i="2"/>
  <c r="T1188" i="2"/>
  <c r="S1254" i="2"/>
  <c r="T1254" i="2"/>
  <c r="T1638" i="2"/>
  <c r="T1538" i="2"/>
  <c r="T919" i="2"/>
  <c r="T559" i="2"/>
  <c r="T279" i="2"/>
  <c r="N3" i="2"/>
  <c r="P3" i="2" s="1"/>
  <c r="T3" i="2" s="1"/>
  <c r="S85" i="2"/>
  <c r="T85" i="2"/>
  <c r="S89" i="2"/>
  <c r="T89" i="2"/>
  <c r="S191" i="2"/>
  <c r="T191" i="2"/>
  <c r="S326" i="2"/>
  <c r="T326" i="2"/>
  <c r="S337" i="2"/>
  <c r="S388" i="2"/>
  <c r="T388" i="2"/>
  <c r="S406" i="2"/>
  <c r="T406" i="2"/>
  <c r="S428" i="2"/>
  <c r="T428" i="2"/>
  <c r="S488" i="2"/>
  <c r="S514" i="2"/>
  <c r="N522" i="2"/>
  <c r="P522" i="2" s="1"/>
  <c r="S544" i="2"/>
  <c r="T544" i="2"/>
  <c r="N552" i="2"/>
  <c r="P552" i="2" s="1"/>
  <c r="S571" i="2"/>
  <c r="T571" i="2"/>
  <c r="S609" i="2"/>
  <c r="T609" i="2"/>
  <c r="N633" i="2"/>
  <c r="P633" i="2" s="1"/>
  <c r="S858" i="2"/>
  <c r="S862" i="2"/>
  <c r="S900" i="2"/>
  <c r="S1011" i="2"/>
  <c r="S1015" i="2"/>
  <c r="N1054" i="2"/>
  <c r="P1054" i="2" s="1"/>
  <c r="N1062" i="2"/>
  <c r="P1062" i="2" s="1"/>
  <c r="S1231" i="2"/>
  <c r="T1231" i="2"/>
  <c r="S1304" i="2"/>
  <c r="S1586" i="2"/>
  <c r="T1586" i="2"/>
  <c r="S1594" i="2"/>
  <c r="T1594" i="2"/>
  <c r="S1606" i="2"/>
  <c r="T1606" i="2"/>
  <c r="S1610" i="2"/>
  <c r="T1610" i="2"/>
  <c r="S1614" i="2"/>
  <c r="T1614" i="2"/>
  <c r="S1626" i="2"/>
  <c r="T1626" i="2"/>
  <c r="S1630" i="2"/>
  <c r="T1630" i="2"/>
  <c r="S1634" i="2"/>
  <c r="T1634" i="2"/>
  <c r="S1646" i="2"/>
  <c r="T1646" i="2"/>
  <c r="T1575" i="2"/>
  <c r="T1238" i="2"/>
  <c r="T1198" i="2"/>
  <c r="T678" i="2"/>
  <c r="T318" i="2"/>
  <c r="T38" i="2"/>
  <c r="T1206" i="2"/>
  <c r="T1645" i="2"/>
  <c r="T1625" i="2"/>
  <c r="T1605" i="2"/>
  <c r="T1585" i="2"/>
  <c r="T1465" i="2"/>
  <c r="T1445" i="2"/>
  <c r="T1425" i="2"/>
  <c r="T1385" i="2"/>
  <c r="T1365" i="2"/>
  <c r="T1345" i="2"/>
  <c r="T1245" i="2"/>
  <c r="T1544" i="2"/>
  <c r="T1264" i="2"/>
  <c r="N1108" i="2"/>
  <c r="P1108" i="2" s="1"/>
  <c r="S1301" i="2"/>
  <c r="S1340" i="2"/>
  <c r="S1275" i="2"/>
  <c r="T1632" i="2"/>
  <c r="T1612" i="2"/>
  <c r="T1552" i="2"/>
  <c r="T1171" i="2"/>
  <c r="T1210" i="2"/>
  <c r="T1629" i="2"/>
  <c r="T1609" i="2"/>
  <c r="T1469" i="2"/>
  <c r="T1449" i="2"/>
  <c r="T1409" i="2"/>
  <c r="T1389" i="2"/>
  <c r="T1369" i="2"/>
  <c r="T1349" i="2"/>
  <c r="T1249" i="2"/>
  <c r="T1229" i="2"/>
  <c r="T1628" i="2"/>
  <c r="T1608" i="2"/>
  <c r="T1548" i="2"/>
  <c r="T1528" i="2"/>
  <c r="T1268" i="2"/>
  <c r="T1248" i="2"/>
  <c r="S32" i="2"/>
  <c r="N31" i="2"/>
  <c r="P31" i="2" s="1"/>
  <c r="T31" i="2" s="1"/>
  <c r="N29" i="2"/>
  <c r="P29" i="2" s="1"/>
  <c r="T29" i="2" s="1"/>
  <c r="N26" i="2"/>
  <c r="P26" i="2" s="1"/>
  <c r="T26" i="2" s="1"/>
  <c r="N11" i="2"/>
  <c r="P11" i="2" s="1"/>
  <c r="T11" i="2" s="1"/>
  <c r="S1109" i="2"/>
  <c r="S3" i="2"/>
  <c r="N455" i="2"/>
  <c r="P455" i="2" s="1"/>
  <c r="N476" i="2"/>
  <c r="P476" i="2" s="1"/>
  <c r="N487" i="2"/>
  <c r="P487" i="2" s="1"/>
  <c r="N494" i="2"/>
  <c r="P494" i="2" s="1"/>
  <c r="N508" i="2"/>
  <c r="P508" i="2" s="1"/>
  <c r="N519" i="2"/>
  <c r="P519" i="2" s="1"/>
  <c r="N526" i="2"/>
  <c r="P526" i="2" s="1"/>
  <c r="N540" i="2"/>
  <c r="P540" i="2" s="1"/>
  <c r="N587" i="2"/>
  <c r="P587" i="2" s="1"/>
  <c r="N641" i="2"/>
  <c r="P641" i="2" s="1"/>
  <c r="N644" i="2"/>
  <c r="P644" i="2" s="1"/>
  <c r="S934" i="2"/>
  <c r="S1046" i="2"/>
  <c r="N1105" i="2"/>
  <c r="P1105" i="2" s="1"/>
  <c r="S1014" i="2"/>
  <c r="S1043" i="2"/>
  <c r="S1086" i="2"/>
  <c r="S1094" i="2"/>
  <c r="N1099" i="2"/>
  <c r="P1099" i="2" s="1"/>
  <c r="S1334" i="2"/>
  <c r="N460" i="2"/>
  <c r="P460" i="2" s="1"/>
  <c r="N479" i="2"/>
  <c r="P479" i="2" s="1"/>
  <c r="N486" i="2"/>
  <c r="P486" i="2" s="1"/>
  <c r="N500" i="2"/>
  <c r="P500" i="2" s="1"/>
  <c r="N511" i="2"/>
  <c r="P511" i="2" s="1"/>
  <c r="N518" i="2"/>
  <c r="P518" i="2" s="1"/>
  <c r="N532" i="2"/>
  <c r="P532" i="2" s="1"/>
  <c r="N543" i="2"/>
  <c r="P543" i="2" s="1"/>
  <c r="N556" i="2"/>
  <c r="P556" i="2" s="1"/>
  <c r="N598" i="2"/>
  <c r="P598" i="2" s="1"/>
  <c r="N619" i="2"/>
  <c r="P619" i="2" s="1"/>
  <c r="N622" i="2"/>
  <c r="P622" i="2" s="1"/>
  <c r="N628" i="2"/>
  <c r="P628" i="2" s="1"/>
  <c r="N631" i="2"/>
  <c r="P631" i="2" s="1"/>
  <c r="S11" i="2"/>
  <c r="N13" i="2"/>
  <c r="P13" i="2" s="1"/>
  <c r="T13" i="2" s="1"/>
  <c r="S21" i="2"/>
  <c r="N448" i="2"/>
  <c r="P448" i="2" s="1"/>
  <c r="N475" i="2"/>
  <c r="P475" i="2" s="1"/>
  <c r="N482" i="2"/>
  <c r="P482" i="2" s="1"/>
  <c r="N496" i="2"/>
  <c r="P496" i="2" s="1"/>
  <c r="N507" i="2"/>
  <c r="P507" i="2" s="1"/>
  <c r="N514" i="2"/>
  <c r="P514" i="2" s="1"/>
  <c r="N528" i="2"/>
  <c r="P528" i="2" s="1"/>
  <c r="N539" i="2"/>
  <c r="P539" i="2" s="1"/>
  <c r="N546" i="2"/>
  <c r="P546" i="2" s="1"/>
  <c r="N559" i="2"/>
  <c r="P559" i="2" s="1"/>
  <c r="N562" i="2"/>
  <c r="P562" i="2" s="1"/>
  <c r="S860" i="2"/>
  <c r="S1165" i="2"/>
  <c r="S1168" i="2"/>
  <c r="S1328" i="2"/>
  <c r="S9" i="2"/>
  <c r="N17" i="2"/>
  <c r="P17" i="2" s="1"/>
  <c r="T17" i="2" s="1"/>
  <c r="N453" i="2"/>
  <c r="P453" i="2" s="1"/>
  <c r="N474" i="2"/>
  <c r="P474" i="2" s="1"/>
  <c r="N488" i="2"/>
  <c r="P488" i="2" s="1"/>
  <c r="N499" i="2"/>
  <c r="P499" i="2" s="1"/>
  <c r="N506" i="2"/>
  <c r="P506" i="2" s="1"/>
  <c r="N520" i="2"/>
  <c r="P520" i="2" s="1"/>
  <c r="N531" i="2"/>
  <c r="P531" i="2" s="1"/>
  <c r="N538" i="2"/>
  <c r="P538" i="2" s="1"/>
  <c r="N555" i="2"/>
  <c r="P555" i="2" s="1"/>
  <c r="N612" i="2"/>
  <c r="P612" i="2" s="1"/>
  <c r="N615" i="2"/>
  <c r="P615" i="2" s="1"/>
  <c r="S854" i="2"/>
  <c r="S1293" i="2"/>
  <c r="S1322" i="2"/>
  <c r="N561" i="2"/>
  <c r="P561" i="2" s="1"/>
  <c r="N585" i="2"/>
  <c r="P585" i="2" s="1"/>
  <c r="N658" i="2"/>
  <c r="P658" i="2" s="1"/>
  <c r="N667" i="2"/>
  <c r="P667" i="2" s="1"/>
  <c r="N679" i="2"/>
  <c r="P679" i="2" s="1"/>
  <c r="N683" i="2"/>
  <c r="P683" i="2" s="1"/>
  <c r="N715" i="2"/>
  <c r="P715" i="2" s="1"/>
  <c r="S804" i="2"/>
  <c r="S836" i="2"/>
  <c r="N1052" i="2"/>
  <c r="P1052" i="2" s="1"/>
  <c r="S1073" i="2"/>
  <c r="N1100" i="2"/>
  <c r="P1100" i="2" s="1"/>
  <c r="S1107" i="2"/>
  <c r="S1323" i="2"/>
  <c r="N601" i="2"/>
  <c r="P601" i="2" s="1"/>
  <c r="N629" i="2"/>
  <c r="P629" i="2" s="1"/>
  <c r="N699" i="2"/>
  <c r="P699" i="2" s="1"/>
  <c r="N702" i="2"/>
  <c r="P702" i="2" s="1"/>
  <c r="N711" i="2"/>
  <c r="P711" i="2" s="1"/>
  <c r="S796" i="2"/>
  <c r="S807" i="2"/>
  <c r="S810" i="2"/>
  <c r="S813" i="2"/>
  <c r="S817" i="2"/>
  <c r="S831" i="2"/>
  <c r="S842" i="2"/>
  <c r="S857" i="2"/>
  <c r="S874" i="2"/>
  <c r="S931" i="2"/>
  <c r="S944" i="2"/>
  <c r="S960" i="2"/>
  <c r="S976" i="2"/>
  <c r="S999" i="2"/>
  <c r="S1002" i="2"/>
  <c r="S1031" i="2"/>
  <c r="S1034" i="2"/>
  <c r="S1064" i="2"/>
  <c r="S1081" i="2"/>
  <c r="N1091" i="2"/>
  <c r="P1091" i="2" s="1"/>
  <c r="S1157" i="2"/>
  <c r="S1282" i="2"/>
  <c r="S1297" i="2"/>
  <c r="S1309" i="2"/>
  <c r="N688" i="2"/>
  <c r="P688" i="2" s="1"/>
  <c r="N704" i="2"/>
  <c r="P704" i="2" s="1"/>
  <c r="N1065" i="2"/>
  <c r="P1065" i="2" s="1"/>
  <c r="N1116" i="2"/>
  <c r="P1116" i="2" s="1"/>
  <c r="N580" i="2"/>
  <c r="P580" i="2" s="1"/>
  <c r="N593" i="2"/>
  <c r="P593" i="2" s="1"/>
  <c r="N596" i="2"/>
  <c r="P596" i="2" s="1"/>
  <c r="N608" i="2"/>
  <c r="P608" i="2" s="1"/>
  <c r="S801" i="2"/>
  <c r="S819" i="2"/>
  <c r="S838" i="2"/>
  <c r="S848" i="2"/>
  <c r="S852" i="2"/>
  <c r="S872" i="2"/>
  <c r="S889" i="2"/>
  <c r="S892" i="2"/>
  <c r="S918" i="2"/>
  <c r="S926" i="2"/>
  <c r="S952" i="2"/>
  <c r="S968" i="2"/>
  <c r="S984" i="2"/>
  <c r="S991" i="2"/>
  <c r="S1016" i="2"/>
  <c r="S1023" i="2"/>
  <c r="S1048" i="2"/>
  <c r="S1051" i="2"/>
  <c r="S1085" i="2"/>
  <c r="S1093" i="2"/>
  <c r="S1099" i="2"/>
  <c r="S1102" i="2"/>
  <c r="S1108" i="2"/>
  <c r="N1113" i="2"/>
  <c r="P1113" i="2" s="1"/>
  <c r="S1133" i="2"/>
  <c r="S1136" i="2"/>
  <c r="S1288" i="2"/>
  <c r="S1305" i="2"/>
  <c r="S1324" i="2"/>
  <c r="S1330" i="2"/>
  <c r="S1336" i="2"/>
  <c r="S1339" i="2"/>
  <c r="S791" i="2"/>
  <c r="S794" i="2"/>
  <c r="S798" i="2"/>
  <c r="S811" i="2"/>
  <c r="S826" i="2"/>
  <c r="S829" i="2"/>
  <c r="S865" i="2"/>
  <c r="S885" i="2"/>
  <c r="S939" i="2"/>
  <c r="S942" i="2"/>
  <c r="S955" i="2"/>
  <c r="S958" i="2"/>
  <c r="S971" i="2"/>
  <c r="S974" i="2"/>
  <c r="S987" i="2"/>
  <c r="S1000" i="2"/>
  <c r="S1019" i="2"/>
  <c r="S1032" i="2"/>
  <c r="S1059" i="2"/>
  <c r="S1065" i="2"/>
  <c r="S1071" i="2"/>
  <c r="S1082" i="2"/>
  <c r="S1274" i="2"/>
  <c r="S1280" i="2"/>
  <c r="S1295" i="2"/>
  <c r="S1298" i="2"/>
  <c r="S1310" i="2"/>
  <c r="S1317" i="2"/>
  <c r="S19" i="2"/>
  <c r="N15" i="2"/>
  <c r="P15" i="2" s="1"/>
  <c r="T15" i="2" s="1"/>
  <c r="N9" i="2"/>
  <c r="P9" i="2" s="1"/>
  <c r="T9" i="2" s="1"/>
  <c r="S7" i="2"/>
  <c r="N449" i="2"/>
  <c r="P449" i="2" s="1"/>
  <c r="N454" i="2"/>
  <c r="P454" i="2" s="1"/>
  <c r="N459" i="2"/>
  <c r="P459" i="2" s="1"/>
  <c r="N465" i="2"/>
  <c r="P465" i="2" s="1"/>
  <c r="N470" i="2"/>
  <c r="P470" i="2" s="1"/>
  <c r="N564" i="2"/>
  <c r="P564" i="2" s="1"/>
  <c r="N569" i="2"/>
  <c r="P569" i="2" s="1"/>
  <c r="N582" i="2"/>
  <c r="P582" i="2" s="1"/>
  <c r="N592" i="2"/>
  <c r="P592" i="2" s="1"/>
  <c r="N597" i="2"/>
  <c r="P597" i="2" s="1"/>
  <c r="N602" i="2"/>
  <c r="P602" i="2" s="1"/>
  <c r="N606" i="2"/>
  <c r="P606" i="2" s="1"/>
  <c r="N643" i="2"/>
  <c r="P643" i="2" s="1"/>
  <c r="N661" i="2"/>
  <c r="P661" i="2" s="1"/>
  <c r="N550" i="2"/>
  <c r="P550" i="2" s="1"/>
  <c r="N554" i="2"/>
  <c r="P554" i="2" s="1"/>
  <c r="N558" i="2"/>
  <c r="P558" i="2" s="1"/>
  <c r="N563" i="2"/>
  <c r="P563" i="2" s="1"/>
  <c r="N627" i="2"/>
  <c r="P627" i="2" s="1"/>
  <c r="N709" i="2"/>
  <c r="P709" i="2" s="1"/>
  <c r="N447" i="2"/>
  <c r="P447" i="2" s="1"/>
  <c r="N452" i="2"/>
  <c r="P452" i="2" s="1"/>
  <c r="N463" i="2"/>
  <c r="P463" i="2" s="1"/>
  <c r="N468" i="2"/>
  <c r="P468" i="2" s="1"/>
  <c r="N473" i="2"/>
  <c r="P473" i="2" s="1"/>
  <c r="N477" i="2"/>
  <c r="P477" i="2" s="1"/>
  <c r="N481" i="2"/>
  <c r="P481" i="2" s="1"/>
  <c r="N485" i="2"/>
  <c r="P485" i="2" s="1"/>
  <c r="N489" i="2"/>
  <c r="P489" i="2" s="1"/>
  <c r="N493" i="2"/>
  <c r="P493" i="2" s="1"/>
  <c r="N497" i="2"/>
  <c r="P497" i="2" s="1"/>
  <c r="N501" i="2"/>
  <c r="P501" i="2" s="1"/>
  <c r="N505" i="2"/>
  <c r="P505" i="2" s="1"/>
  <c r="N509" i="2"/>
  <c r="P509" i="2" s="1"/>
  <c r="N513" i="2"/>
  <c r="P513" i="2" s="1"/>
  <c r="N517" i="2"/>
  <c r="P517" i="2" s="1"/>
  <c r="N521" i="2"/>
  <c r="P521" i="2" s="1"/>
  <c r="N525" i="2"/>
  <c r="P525" i="2" s="1"/>
  <c r="N529" i="2"/>
  <c r="P529" i="2" s="1"/>
  <c r="N533" i="2"/>
  <c r="P533" i="2" s="1"/>
  <c r="N537" i="2"/>
  <c r="P537" i="2" s="1"/>
  <c r="N541" i="2"/>
  <c r="P541" i="2" s="1"/>
  <c r="N545" i="2"/>
  <c r="P545" i="2" s="1"/>
  <c r="N549" i="2"/>
  <c r="P549" i="2" s="1"/>
  <c r="N553" i="2"/>
  <c r="P553" i="2" s="1"/>
  <c r="N557" i="2"/>
  <c r="P557" i="2" s="1"/>
  <c r="N566" i="2"/>
  <c r="P566" i="2" s="1"/>
  <c r="N576" i="2"/>
  <c r="P576" i="2" s="1"/>
  <c r="N581" i="2"/>
  <c r="P581" i="2" s="1"/>
  <c r="N586" i="2"/>
  <c r="P586" i="2" s="1"/>
  <c r="N590" i="2"/>
  <c r="P590" i="2" s="1"/>
  <c r="N595" i="2"/>
  <c r="P595" i="2" s="1"/>
  <c r="N656" i="2"/>
  <c r="P656" i="2" s="1"/>
  <c r="N677" i="2"/>
  <c r="P677" i="2" s="1"/>
  <c r="N446" i="2"/>
  <c r="P446" i="2" s="1"/>
  <c r="N451" i="2"/>
  <c r="P451" i="2" s="1"/>
  <c r="N457" i="2"/>
  <c r="P457" i="2" s="1"/>
  <c r="N462" i="2"/>
  <c r="P462" i="2" s="1"/>
  <c r="N467" i="2"/>
  <c r="P467" i="2" s="1"/>
  <c r="N571" i="2"/>
  <c r="P571" i="2" s="1"/>
  <c r="N575" i="2"/>
  <c r="P575" i="2" s="1"/>
  <c r="N604" i="2"/>
  <c r="P604" i="2" s="1"/>
  <c r="N609" i="2"/>
  <c r="P609" i="2" s="1"/>
  <c r="N613" i="2"/>
  <c r="P613" i="2" s="1"/>
  <c r="N645" i="2"/>
  <c r="P645" i="2" s="1"/>
  <c r="N450" i="2"/>
  <c r="P450" i="2" s="1"/>
  <c r="N456" i="2"/>
  <c r="P456" i="2" s="1"/>
  <c r="N461" i="2"/>
  <c r="P461" i="2" s="1"/>
  <c r="N466" i="2"/>
  <c r="P466" i="2" s="1"/>
  <c r="N560" i="2"/>
  <c r="P560" i="2" s="1"/>
  <c r="N565" i="2"/>
  <c r="P565" i="2" s="1"/>
  <c r="N570" i="2"/>
  <c r="P570" i="2" s="1"/>
  <c r="N574" i="2"/>
  <c r="P574" i="2" s="1"/>
  <c r="N579" i="2"/>
  <c r="P579" i="2" s="1"/>
  <c r="N603" i="2"/>
  <c r="P603" i="2" s="1"/>
  <c r="N607" i="2"/>
  <c r="P607" i="2" s="1"/>
  <c r="N620" i="2"/>
  <c r="P620" i="2" s="1"/>
  <c r="N625" i="2"/>
  <c r="P625" i="2" s="1"/>
  <c r="N640" i="2"/>
  <c r="P640" i="2" s="1"/>
  <c r="N693" i="2"/>
  <c r="P693" i="2" s="1"/>
  <c r="N630" i="2"/>
  <c r="P630" i="2" s="1"/>
  <c r="N636" i="2"/>
  <c r="P636" i="2" s="1"/>
  <c r="N646" i="2"/>
  <c r="P646" i="2" s="1"/>
  <c r="N652" i="2"/>
  <c r="P652" i="2" s="1"/>
  <c r="N662" i="2"/>
  <c r="P662" i="2" s="1"/>
  <c r="N668" i="2"/>
  <c r="P668" i="2" s="1"/>
  <c r="N678" i="2"/>
  <c r="P678" i="2" s="1"/>
  <c r="N684" i="2"/>
  <c r="P684" i="2" s="1"/>
  <c r="N694" i="2"/>
  <c r="P694" i="2" s="1"/>
  <c r="N700" i="2"/>
  <c r="P700" i="2" s="1"/>
  <c r="N710" i="2"/>
  <c r="P710" i="2" s="1"/>
  <c r="N716" i="2"/>
  <c r="P716" i="2" s="1"/>
  <c r="S814" i="2"/>
  <c r="S834" i="2"/>
  <c r="S839" i="2"/>
  <c r="S850" i="2"/>
  <c r="S855" i="2"/>
  <c r="S864" i="2"/>
  <c r="S899" i="2"/>
  <c r="S793" i="2"/>
  <c r="S803" i="2"/>
  <c r="S808" i="2"/>
  <c r="S823" i="2"/>
  <c r="S828" i="2"/>
  <c r="S833" i="2"/>
  <c r="S844" i="2"/>
  <c r="S849" i="2"/>
  <c r="S869" i="2"/>
  <c r="N618" i="2"/>
  <c r="P618" i="2" s="1"/>
  <c r="N623" i="2"/>
  <c r="P623" i="2" s="1"/>
  <c r="N634" i="2"/>
  <c r="P634" i="2" s="1"/>
  <c r="N639" i="2"/>
  <c r="P639" i="2" s="1"/>
  <c r="N650" i="2"/>
  <c r="P650" i="2" s="1"/>
  <c r="N655" i="2"/>
  <c r="P655" i="2" s="1"/>
  <c r="N666" i="2"/>
  <c r="P666" i="2" s="1"/>
  <c r="N671" i="2"/>
  <c r="P671" i="2" s="1"/>
  <c r="N682" i="2"/>
  <c r="P682" i="2" s="1"/>
  <c r="N687" i="2"/>
  <c r="P687" i="2" s="1"/>
  <c r="N698" i="2"/>
  <c r="P698" i="2" s="1"/>
  <c r="N703" i="2"/>
  <c r="P703" i="2" s="1"/>
  <c r="N714" i="2"/>
  <c r="P714" i="2" s="1"/>
  <c r="S797" i="2"/>
  <c r="S822" i="2"/>
  <c r="S832" i="2"/>
  <c r="S837" i="2"/>
  <c r="S843" i="2"/>
  <c r="S881" i="2"/>
  <c r="N649" i="2"/>
  <c r="P649" i="2" s="1"/>
  <c r="N659" i="2"/>
  <c r="P659" i="2" s="1"/>
  <c r="N665" i="2"/>
  <c r="P665" i="2" s="1"/>
  <c r="N675" i="2"/>
  <c r="P675" i="2" s="1"/>
  <c r="N681" i="2"/>
  <c r="P681" i="2" s="1"/>
  <c r="N691" i="2"/>
  <c r="P691" i="2" s="1"/>
  <c r="N697" i="2"/>
  <c r="P697" i="2" s="1"/>
  <c r="N707" i="2"/>
  <c r="P707" i="2" s="1"/>
  <c r="N713" i="2"/>
  <c r="P713" i="2" s="1"/>
  <c r="N568" i="2"/>
  <c r="P568" i="2" s="1"/>
  <c r="N573" i="2"/>
  <c r="P573" i="2" s="1"/>
  <c r="N584" i="2"/>
  <c r="P584" i="2" s="1"/>
  <c r="N589" i="2"/>
  <c r="P589" i="2" s="1"/>
  <c r="N600" i="2"/>
  <c r="P600" i="2" s="1"/>
  <c r="N605" i="2"/>
  <c r="P605" i="2" s="1"/>
  <c r="N616" i="2"/>
  <c r="P616" i="2" s="1"/>
  <c r="N621" i="2"/>
  <c r="P621" i="2" s="1"/>
  <c r="N632" i="2"/>
  <c r="P632" i="2" s="1"/>
  <c r="N637" i="2"/>
  <c r="P637" i="2" s="1"/>
  <c r="N648" i="2"/>
  <c r="P648" i="2" s="1"/>
  <c r="N653" i="2"/>
  <c r="P653" i="2" s="1"/>
  <c r="N664" i="2"/>
  <c r="P664" i="2" s="1"/>
  <c r="N669" i="2"/>
  <c r="P669" i="2" s="1"/>
  <c r="N680" i="2"/>
  <c r="P680" i="2" s="1"/>
  <c r="N685" i="2"/>
  <c r="P685" i="2" s="1"/>
  <c r="N696" i="2"/>
  <c r="P696" i="2" s="1"/>
  <c r="N701" i="2"/>
  <c r="P701" i="2" s="1"/>
  <c r="N712" i="2"/>
  <c r="P712" i="2" s="1"/>
  <c r="S805" i="2"/>
  <c r="S815" i="2"/>
  <c r="S820" i="2"/>
  <c r="S825" i="2"/>
  <c r="S835" i="2"/>
  <c r="S846" i="2"/>
  <c r="S851" i="2"/>
  <c r="S861" i="2"/>
  <c r="S875" i="2"/>
  <c r="N1084" i="2"/>
  <c r="P1084" i="2" s="1"/>
  <c r="S879" i="2"/>
  <c r="S887" i="2"/>
  <c r="S894" i="2"/>
  <c r="S915" i="2"/>
  <c r="S994" i="2"/>
  <c r="S1008" i="2"/>
  <c r="S1026" i="2"/>
  <c r="S1040" i="2"/>
  <c r="S1063" i="2"/>
  <c r="S1070" i="2"/>
  <c r="S1079" i="2"/>
  <c r="N1081" i="2"/>
  <c r="P1081" i="2" s="1"/>
  <c r="S1090" i="2"/>
  <c r="S1290" i="2"/>
  <c r="S1325" i="2"/>
  <c r="S795" i="2"/>
  <c r="S812" i="2"/>
  <c r="S818" i="2"/>
  <c r="S824" i="2"/>
  <c r="S830" i="2"/>
  <c r="S841" i="2"/>
  <c r="S847" i="2"/>
  <c r="S853" i="2"/>
  <c r="S859" i="2"/>
  <c r="S876" i="2"/>
  <c r="S883" i="2"/>
  <c r="S891" i="2"/>
  <c r="S907" i="2"/>
  <c r="S917" i="2"/>
  <c r="S932" i="2"/>
  <c r="S937" i="2"/>
  <c r="S941" i="2"/>
  <c r="S945" i="2"/>
  <c r="S949" i="2"/>
  <c r="S953" i="2"/>
  <c r="S957" i="2"/>
  <c r="S961" i="2"/>
  <c r="S965" i="2"/>
  <c r="S969" i="2"/>
  <c r="S973" i="2"/>
  <c r="S977" i="2"/>
  <c r="S981" i="2"/>
  <c r="S992" i="2"/>
  <c r="S1010" i="2"/>
  <c r="S1024" i="2"/>
  <c r="S1042" i="2"/>
  <c r="S1058" i="2"/>
  <c r="N1060" i="2"/>
  <c r="P1060" i="2" s="1"/>
  <c r="S1097" i="2"/>
  <c r="S1296" i="2"/>
  <c r="S882" i="2"/>
  <c r="S890" i="2"/>
  <c r="S901" i="2"/>
  <c r="S922" i="2"/>
  <c r="S988" i="2"/>
  <c r="S1006" i="2"/>
  <c r="S1020" i="2"/>
  <c r="S1038" i="2"/>
  <c r="S1055" i="2"/>
  <c r="S1077" i="2"/>
  <c r="S1117" i="2"/>
  <c r="S1284" i="2"/>
  <c r="S1313" i="2"/>
  <c r="S985" i="2"/>
  <c r="S989" i="2"/>
  <c r="S993" i="2"/>
  <c r="S997" i="2"/>
  <c r="S1001" i="2"/>
  <c r="S1005" i="2"/>
  <c r="S1009" i="2"/>
  <c r="S1013" i="2"/>
  <c r="S1017" i="2"/>
  <c r="S1021" i="2"/>
  <c r="S1025" i="2"/>
  <c r="S1029" i="2"/>
  <c r="S1033" i="2"/>
  <c r="S1037" i="2"/>
  <c r="S1041" i="2"/>
  <c r="S1045" i="2"/>
  <c r="S1049" i="2"/>
  <c r="S1052" i="2"/>
  <c r="S1062" i="2"/>
  <c r="S1066" i="2"/>
  <c r="N1068" i="2"/>
  <c r="P1068" i="2" s="1"/>
  <c r="N1075" i="2"/>
  <c r="P1075" i="2" s="1"/>
  <c r="S1076" i="2"/>
  <c r="S1089" i="2"/>
  <c r="S1096" i="2"/>
  <c r="N1102" i="2"/>
  <c r="P1102" i="2" s="1"/>
  <c r="S1103" i="2"/>
  <c r="S1113" i="2"/>
  <c r="S1116" i="2"/>
  <c r="S1141" i="2"/>
  <c r="S1144" i="2"/>
  <c r="S1278" i="2"/>
  <c r="S1283" i="2"/>
  <c r="S1294" i="2"/>
  <c r="S1300" i="2"/>
  <c r="S1306" i="2"/>
  <c r="S1312" i="2"/>
  <c r="S1329" i="2"/>
  <c r="S1335" i="2"/>
  <c r="S1341" i="2"/>
  <c r="N1094" i="2"/>
  <c r="P1094" i="2" s="1"/>
  <c r="S1277" i="2"/>
  <c r="S1281" i="2"/>
  <c r="S1287" i="2"/>
  <c r="S1061" i="2"/>
  <c r="N1067" i="2"/>
  <c r="P1067" i="2" s="1"/>
  <c r="S1068" i="2"/>
  <c r="S1078" i="2"/>
  <c r="S1088" i="2"/>
  <c r="S1091" i="2"/>
  <c r="N1097" i="2"/>
  <c r="P1097" i="2" s="1"/>
  <c r="S1105" i="2"/>
  <c r="S1112" i="2"/>
  <c r="S1115" i="2"/>
  <c r="S1149" i="2"/>
  <c r="N1485" i="2"/>
  <c r="P1485" i="2" s="1"/>
  <c r="N1488" i="2"/>
  <c r="P1488" i="2" s="1"/>
  <c r="N1569" i="2"/>
  <c r="P1569" i="2" s="1"/>
  <c r="N1581" i="2"/>
  <c r="P1581" i="2" s="1"/>
  <c r="N1059" i="2"/>
  <c r="P1059" i="2" s="1"/>
  <c r="S1060" i="2"/>
  <c r="S1067" i="2"/>
  <c r="N1073" i="2"/>
  <c r="P1073" i="2" s="1"/>
  <c r="S1074" i="2"/>
  <c r="N1076" i="2"/>
  <c r="P1076" i="2" s="1"/>
  <c r="N1083" i="2"/>
  <c r="P1083" i="2" s="1"/>
  <c r="N1086" i="2"/>
  <c r="P1086" i="2" s="1"/>
  <c r="S1087" i="2"/>
  <c r="S1101" i="2"/>
  <c r="N1110" i="2"/>
  <c r="P1110" i="2" s="1"/>
  <c r="S1111" i="2"/>
  <c r="S1173" i="2"/>
  <c r="S1279" i="2"/>
  <c r="S1285" i="2"/>
  <c r="S1291" i="2"/>
  <c r="S1302" i="2"/>
  <c r="S1308" i="2"/>
  <c r="S1314" i="2"/>
  <c r="S1320" i="2"/>
  <c r="S1337" i="2"/>
  <c r="N1565" i="2"/>
  <c r="P1565" i="2" s="1"/>
  <c r="S110" i="2"/>
  <c r="S114" i="2"/>
  <c r="S118" i="2"/>
  <c r="S122" i="2"/>
  <c r="S126" i="2"/>
  <c r="S130" i="2"/>
  <c r="S134" i="2"/>
  <c r="S138" i="2"/>
  <c r="S142" i="2"/>
  <c r="S146" i="2"/>
  <c r="S150" i="2"/>
  <c r="S154" i="2"/>
  <c r="S158" i="2"/>
  <c r="S162" i="2"/>
  <c r="S166" i="2"/>
  <c r="S170" i="2"/>
  <c r="S174" i="2"/>
  <c r="S178" i="2"/>
  <c r="S182" i="2"/>
  <c r="S186" i="2"/>
  <c r="S190" i="2"/>
  <c r="S194" i="2"/>
  <c r="S198" i="2"/>
  <c r="S202" i="2"/>
  <c r="S206" i="2"/>
  <c r="S210" i="2"/>
  <c r="S214" i="2"/>
  <c r="S218" i="2"/>
  <c r="S222" i="2"/>
  <c r="S226" i="2"/>
  <c r="S230" i="2"/>
  <c r="S234" i="2"/>
  <c r="S238" i="2"/>
  <c r="S242" i="2"/>
  <c r="S246" i="2"/>
  <c r="S250" i="2"/>
  <c r="S254" i="2"/>
  <c r="S258" i="2"/>
  <c r="S262" i="2"/>
  <c r="S266" i="2"/>
  <c r="S270" i="2"/>
  <c r="S274" i="2"/>
  <c r="S278" i="2"/>
  <c r="S282" i="2"/>
  <c r="S286" i="2"/>
  <c r="S290" i="2"/>
  <c r="S294" i="2"/>
  <c r="S298" i="2"/>
  <c r="S302" i="2"/>
  <c r="S106" i="2"/>
  <c r="S109" i="2"/>
  <c r="S113" i="2"/>
  <c r="S117" i="2"/>
  <c r="S121" i="2"/>
  <c r="S125" i="2"/>
  <c r="S129" i="2"/>
  <c r="S133" i="2"/>
  <c r="S137" i="2"/>
  <c r="S141" i="2"/>
  <c r="S145" i="2"/>
  <c r="S149" i="2"/>
  <c r="S153" i="2"/>
  <c r="S157" i="2"/>
  <c r="S161" i="2"/>
  <c r="S165" i="2"/>
  <c r="S169" i="2"/>
  <c r="S173" i="2"/>
  <c r="S177" i="2"/>
  <c r="S181" i="2"/>
  <c r="S185" i="2"/>
  <c r="S189" i="2"/>
  <c r="S193" i="2"/>
  <c r="S197" i="2"/>
  <c r="S201" i="2"/>
  <c r="S205" i="2"/>
  <c r="S209" i="2"/>
  <c r="S213" i="2"/>
  <c r="S217" i="2"/>
  <c r="S221" i="2"/>
  <c r="S225" i="2"/>
  <c r="S229" i="2"/>
  <c r="S233" i="2"/>
  <c r="S237" i="2"/>
  <c r="S241" i="2"/>
  <c r="S245" i="2"/>
  <c r="S249" i="2"/>
  <c r="S253" i="2"/>
  <c r="S257" i="2"/>
  <c r="S261" i="2"/>
  <c r="S265" i="2"/>
  <c r="S269" i="2"/>
  <c r="S273" i="2"/>
  <c r="S277" i="2"/>
  <c r="S281" i="2"/>
  <c r="S285" i="2"/>
  <c r="S289" i="2"/>
  <c r="S293" i="2"/>
  <c r="S297" i="2"/>
  <c r="S301" i="2"/>
  <c r="S108" i="2"/>
  <c r="S112" i="2"/>
  <c r="S116" i="2"/>
  <c r="S120" i="2"/>
  <c r="S124" i="2"/>
  <c r="S128" i="2"/>
  <c r="S132" i="2"/>
  <c r="S136" i="2"/>
  <c r="S140" i="2"/>
  <c r="S144" i="2"/>
  <c r="S148" i="2"/>
  <c r="S152" i="2"/>
  <c r="S156" i="2"/>
  <c r="S160" i="2"/>
  <c r="S164" i="2"/>
  <c r="S168" i="2"/>
  <c r="S172" i="2"/>
  <c r="S176" i="2"/>
  <c r="S180" i="2"/>
  <c r="S184" i="2"/>
  <c r="S188" i="2"/>
  <c r="S192" i="2"/>
  <c r="S196" i="2"/>
  <c r="S200" i="2"/>
  <c r="S204" i="2"/>
  <c r="S208" i="2"/>
  <c r="S212" i="2"/>
  <c r="S216" i="2"/>
  <c r="S220" i="2"/>
  <c r="S224" i="2"/>
  <c r="S228" i="2"/>
  <c r="S232" i="2"/>
  <c r="S236" i="2"/>
  <c r="S240" i="2"/>
  <c r="S244" i="2"/>
  <c r="S248" i="2"/>
  <c r="S252" i="2"/>
  <c r="S256" i="2"/>
  <c r="S260" i="2"/>
  <c r="S264" i="2"/>
  <c r="S268" i="2"/>
  <c r="S272" i="2"/>
  <c r="S276" i="2"/>
  <c r="S280" i="2"/>
  <c r="S284" i="2"/>
  <c r="S288" i="2"/>
  <c r="S292" i="2"/>
  <c r="S296" i="2"/>
  <c r="S300" i="2"/>
  <c r="S304" i="2"/>
  <c r="S735" i="2"/>
  <c r="S743" i="2"/>
  <c r="S751" i="2"/>
  <c r="S759" i="2"/>
  <c r="S767" i="2"/>
  <c r="S775" i="2"/>
  <c r="S783" i="2"/>
  <c r="S734" i="2"/>
  <c r="S742" i="2"/>
  <c r="S750" i="2"/>
  <c r="S758" i="2"/>
  <c r="S766" i="2"/>
  <c r="S774" i="2"/>
  <c r="S782" i="2"/>
  <c r="S732" i="2"/>
  <c r="S740" i="2"/>
  <c r="S748" i="2"/>
  <c r="S756" i="2"/>
  <c r="S764" i="2"/>
  <c r="S772" i="2"/>
  <c r="S780" i="2"/>
  <c r="S731" i="2"/>
  <c r="S739" i="2"/>
  <c r="S747" i="2"/>
  <c r="S755" i="2"/>
  <c r="S763" i="2"/>
  <c r="S771" i="2"/>
  <c r="S779" i="2"/>
  <c r="S787" i="2"/>
  <c r="S737" i="2"/>
  <c r="S745" i="2"/>
  <c r="S753" i="2"/>
  <c r="S761" i="2"/>
  <c r="S769" i="2"/>
  <c r="S777" i="2"/>
  <c r="S785" i="2"/>
  <c r="N1125" i="2"/>
  <c r="P1125" i="2" s="1"/>
  <c r="N1157" i="2"/>
  <c r="P1157" i="2" s="1"/>
  <c r="S1126" i="2"/>
  <c r="S1137" i="2"/>
  <c r="N1149" i="2"/>
  <c r="P1149" i="2" s="1"/>
  <c r="S1158" i="2"/>
  <c r="S1169" i="2"/>
  <c r="N1181" i="2"/>
  <c r="P1181" i="2" s="1"/>
  <c r="S1118" i="2"/>
  <c r="S1129" i="2"/>
  <c r="S1150" i="2"/>
  <c r="S1161" i="2"/>
  <c r="N1123" i="2"/>
  <c r="P1123" i="2" s="1"/>
  <c r="N1131" i="2"/>
  <c r="P1131" i="2" s="1"/>
  <c r="N1139" i="2"/>
  <c r="P1139" i="2" s="1"/>
  <c r="N1147" i="2"/>
  <c r="P1147" i="2" s="1"/>
  <c r="N1155" i="2"/>
  <c r="P1155" i="2" s="1"/>
  <c r="N1163" i="2"/>
  <c r="P1163" i="2" s="1"/>
  <c r="N1171" i="2"/>
  <c r="P1171" i="2" s="1"/>
  <c r="N1179" i="2"/>
  <c r="P1179" i="2" s="1"/>
  <c r="N1120" i="2"/>
  <c r="P1120" i="2" s="1"/>
  <c r="N1128" i="2"/>
  <c r="P1128" i="2" s="1"/>
  <c r="N1136" i="2"/>
  <c r="P1136" i="2" s="1"/>
  <c r="N1144" i="2"/>
  <c r="P1144" i="2" s="1"/>
  <c r="N1152" i="2"/>
  <c r="P1152" i="2" s="1"/>
  <c r="N1160" i="2"/>
  <c r="P1160" i="2" s="1"/>
  <c r="N1168" i="2"/>
  <c r="P1168" i="2" s="1"/>
  <c r="N1176" i="2"/>
  <c r="P1176" i="2" s="1"/>
  <c r="N1184" i="2"/>
  <c r="P1184" i="2" s="1"/>
  <c r="N1118" i="2"/>
  <c r="P1118" i="2" s="1"/>
  <c r="N1126" i="2"/>
  <c r="P1126" i="2" s="1"/>
  <c r="N1134" i="2"/>
  <c r="P1134" i="2" s="1"/>
  <c r="N1142" i="2"/>
  <c r="P1142" i="2" s="1"/>
  <c r="N1150" i="2"/>
  <c r="P1150" i="2" s="1"/>
  <c r="N1158" i="2"/>
  <c r="P1158" i="2" s="1"/>
  <c r="N1166" i="2"/>
  <c r="P1166" i="2" s="1"/>
  <c r="N1174" i="2"/>
  <c r="P1174" i="2" s="1"/>
  <c r="N1182" i="2"/>
  <c r="P1182" i="2" s="1"/>
  <c r="S1358" i="2"/>
  <c r="S1346" i="2"/>
  <c r="N1356" i="2"/>
  <c r="P1356" i="2" s="1"/>
  <c r="S1378" i="2"/>
  <c r="S1354" i="2"/>
  <c r="S1342" i="2"/>
  <c r="N1352" i="2"/>
  <c r="P1352" i="2" s="1"/>
  <c r="S1374" i="2"/>
  <c r="S1350" i="2"/>
  <c r="N1360" i="2"/>
  <c r="P1360" i="2" s="1"/>
  <c r="S1343" i="2"/>
  <c r="S1347" i="2"/>
  <c r="S1351" i="2"/>
  <c r="S1355" i="2"/>
  <c r="S1359" i="2"/>
  <c r="S1363" i="2"/>
  <c r="S1367" i="2"/>
  <c r="S1371" i="2"/>
  <c r="S1375" i="2"/>
  <c r="S1379" i="2"/>
  <c r="S1383" i="2"/>
  <c r="S1387" i="2"/>
  <c r="S1391" i="2"/>
  <c r="S1395" i="2"/>
  <c r="S1399" i="2"/>
  <c r="S1403" i="2"/>
  <c r="S1406" i="2"/>
  <c r="S1414" i="2"/>
  <c r="S1422" i="2"/>
  <c r="S1430" i="2"/>
  <c r="N1380" i="2"/>
  <c r="P1380" i="2" s="1"/>
  <c r="N1384" i="2"/>
  <c r="P1384" i="2" s="1"/>
  <c r="N1388" i="2"/>
  <c r="P1388" i="2" s="1"/>
  <c r="N1392" i="2"/>
  <c r="P1392" i="2" s="1"/>
  <c r="N1396" i="2"/>
  <c r="P1396" i="2" s="1"/>
  <c r="N1400" i="2"/>
  <c r="P1400" i="2" s="1"/>
  <c r="N1404" i="2"/>
  <c r="P1404" i="2" s="1"/>
  <c r="N1482" i="2"/>
  <c r="P1482" i="2" s="1"/>
  <c r="N1343" i="2"/>
  <c r="P1343" i="2" s="1"/>
  <c r="N1347" i="2"/>
  <c r="P1347" i="2" s="1"/>
  <c r="N1351" i="2"/>
  <c r="P1351" i="2" s="1"/>
  <c r="N1355" i="2"/>
  <c r="P1355" i="2" s="1"/>
  <c r="N1359" i="2"/>
  <c r="P1359" i="2" s="1"/>
  <c r="N1363" i="2"/>
  <c r="P1363" i="2" s="1"/>
  <c r="N1367" i="2"/>
  <c r="P1367" i="2" s="1"/>
  <c r="N1371" i="2"/>
  <c r="P1371" i="2" s="1"/>
  <c r="N1375" i="2"/>
  <c r="P1375" i="2" s="1"/>
  <c r="N1379" i="2"/>
  <c r="P1379" i="2" s="1"/>
  <c r="N1383" i="2"/>
  <c r="P1383" i="2" s="1"/>
  <c r="N1387" i="2"/>
  <c r="P1387" i="2" s="1"/>
  <c r="N1391" i="2"/>
  <c r="P1391" i="2" s="1"/>
  <c r="N1395" i="2"/>
  <c r="P1395" i="2" s="1"/>
  <c r="N1399" i="2"/>
  <c r="P1399" i="2" s="1"/>
  <c r="N1403" i="2"/>
  <c r="P1403" i="2" s="1"/>
  <c r="S1405" i="2"/>
  <c r="S1413" i="2"/>
  <c r="S1421" i="2"/>
  <c r="S1429" i="2"/>
  <c r="S1344" i="2"/>
  <c r="S1348" i="2"/>
  <c r="S1352" i="2"/>
  <c r="S1356" i="2"/>
  <c r="S1360" i="2"/>
  <c r="S1364" i="2"/>
  <c r="S1368" i="2"/>
  <c r="S1372" i="2"/>
  <c r="S1376" i="2"/>
  <c r="S1380" i="2"/>
  <c r="S1384" i="2"/>
  <c r="S1388" i="2"/>
  <c r="S1392" i="2"/>
  <c r="S1396" i="2"/>
  <c r="S1400" i="2"/>
  <c r="S1404" i="2"/>
  <c r="S1412" i="2"/>
  <c r="S1420" i="2"/>
  <c r="S1428" i="2"/>
  <c r="S1481" i="2"/>
  <c r="S1489" i="2"/>
  <c r="S1524" i="2"/>
  <c r="S1532" i="2"/>
  <c r="S1568" i="2"/>
  <c r="S1584" i="2"/>
  <c r="S1592" i="2"/>
  <c r="S1600" i="2"/>
  <c r="S1480" i="2"/>
  <c r="S1488" i="2"/>
  <c r="S1494" i="2"/>
  <c r="S1498" i="2"/>
  <c r="S1502" i="2"/>
  <c r="S1506" i="2"/>
  <c r="S1510" i="2"/>
  <c r="S1514" i="2"/>
  <c r="S1518" i="2"/>
  <c r="S1521" i="2"/>
  <c r="N1525" i="2"/>
  <c r="P1525" i="2" s="1"/>
  <c r="S1529" i="2"/>
  <c r="N1533" i="2"/>
  <c r="P1533" i="2" s="1"/>
  <c r="N1541" i="2"/>
  <c r="P1541" i="2" s="1"/>
  <c r="N1549" i="2"/>
  <c r="P1549" i="2" s="1"/>
  <c r="N1557" i="2"/>
  <c r="P1557" i="2" s="1"/>
  <c r="S1486" i="2"/>
  <c r="S1493" i="2"/>
  <c r="S1497" i="2"/>
  <c r="S1501" i="2"/>
  <c r="S1505" i="2"/>
  <c r="S1509" i="2"/>
  <c r="S1513" i="2"/>
  <c r="S1517" i="2"/>
  <c r="S1523" i="2"/>
  <c r="N1527" i="2"/>
  <c r="P1527" i="2" s="1"/>
  <c r="S1531" i="2"/>
  <c r="N1535" i="2"/>
  <c r="P1535" i="2" s="1"/>
  <c r="N1543" i="2"/>
  <c r="P1543" i="2" s="1"/>
  <c r="N1551" i="2"/>
  <c r="P1551" i="2" s="1"/>
  <c r="N1559" i="2"/>
  <c r="P1559" i="2" s="1"/>
  <c r="N1518" i="2"/>
  <c r="P1518" i="2" s="1"/>
  <c r="N1524" i="2"/>
  <c r="P1524" i="2" s="1"/>
  <c r="N1532" i="2"/>
  <c r="P1532" i="2" s="1"/>
  <c r="N1540" i="2"/>
  <c r="P1540" i="2" s="1"/>
  <c r="N1548" i="2"/>
  <c r="P1548" i="2" s="1"/>
  <c r="N1556" i="2"/>
  <c r="P1556" i="2" s="1"/>
  <c r="N1574" i="2"/>
  <c r="P1574" i="2" s="1"/>
  <c r="S1484" i="2"/>
  <c r="S1492" i="2"/>
  <c r="S1496" i="2"/>
  <c r="S1500" i="2"/>
  <c r="S1504" i="2"/>
  <c r="S1508" i="2"/>
  <c r="S1512" i="2"/>
  <c r="S1483" i="2"/>
  <c r="S1491" i="2"/>
  <c r="N1493" i="2"/>
  <c r="P1493" i="2" s="1"/>
  <c r="N1497" i="2"/>
  <c r="P1497" i="2" s="1"/>
  <c r="N1501" i="2"/>
  <c r="P1501" i="2" s="1"/>
  <c r="N1505" i="2"/>
  <c r="P1505" i="2" s="1"/>
  <c r="N1509" i="2"/>
  <c r="P1509" i="2" s="1"/>
  <c r="N1513" i="2"/>
  <c r="P1513" i="2" s="1"/>
  <c r="N1517" i="2"/>
  <c r="P1517" i="2" s="1"/>
  <c r="S1522" i="2"/>
  <c r="N1526" i="2"/>
  <c r="P1526" i="2" s="1"/>
  <c r="S1530" i="2"/>
  <c r="N1534" i="2"/>
  <c r="P1534" i="2" s="1"/>
  <c r="N1542" i="2"/>
  <c r="P1542" i="2" s="1"/>
  <c r="N1550" i="2"/>
  <c r="P1550" i="2" s="1"/>
  <c r="N1558" i="2"/>
  <c r="P1558" i="2" s="1"/>
  <c r="N1570" i="2"/>
  <c r="P1570" i="2" s="1"/>
  <c r="S1572" i="2"/>
  <c r="N1585" i="2"/>
  <c r="P1585" i="2" s="1"/>
  <c r="S1589" i="2"/>
  <c r="N1593" i="2"/>
  <c r="P1593" i="2" s="1"/>
  <c r="S1597" i="2"/>
  <c r="N1601" i="2"/>
  <c r="P1601" i="2" s="1"/>
  <c r="N1609" i="2"/>
  <c r="P1609" i="2" s="1"/>
  <c r="N1617" i="2"/>
  <c r="P1617" i="2" s="1"/>
  <c r="N1625" i="2"/>
  <c r="P1625" i="2" s="1"/>
  <c r="N1633" i="2"/>
  <c r="P1633" i="2" s="1"/>
  <c r="N1641" i="2"/>
  <c r="P1641" i="2" s="1"/>
  <c r="S1591" i="2"/>
  <c r="S1599" i="2"/>
  <c r="S1562" i="2"/>
  <c r="S1566" i="2"/>
  <c r="S1570" i="2"/>
  <c r="S1574" i="2"/>
  <c r="S1578" i="2"/>
  <c r="S1582" i="2"/>
  <c r="S1588" i="2"/>
  <c r="N1592" i="2"/>
  <c r="P1592" i="2" s="1"/>
  <c r="S1596" i="2"/>
  <c r="N1600" i="2"/>
  <c r="P1600" i="2" s="1"/>
  <c r="N1608" i="2"/>
  <c r="P1608" i="2" s="1"/>
  <c r="N1616" i="2"/>
  <c r="P1616" i="2" s="1"/>
  <c r="N1624" i="2"/>
  <c r="P1624" i="2" s="1"/>
  <c r="N1632" i="2"/>
  <c r="P1632" i="2" s="1"/>
  <c r="N1640" i="2"/>
  <c r="P1640" i="2" s="1"/>
  <c r="N1645" i="2"/>
  <c r="P1645" i="2" s="1"/>
  <c r="S1565" i="2"/>
  <c r="S1569" i="2"/>
  <c r="S1573" i="2"/>
  <c r="S1577" i="2"/>
  <c r="S1581" i="2"/>
  <c r="N1586" i="2"/>
  <c r="P1586" i="2" s="1"/>
  <c r="S1590" i="2"/>
  <c r="N1594" i="2"/>
  <c r="P1594" i="2" s="1"/>
  <c r="S1598" i="2"/>
  <c r="N1602" i="2"/>
  <c r="P1602" i="2" s="1"/>
  <c r="N1610" i="2"/>
  <c r="P1610" i="2" s="1"/>
  <c r="N1618" i="2"/>
  <c r="P1618" i="2" s="1"/>
  <c r="N1626" i="2"/>
  <c r="P1626" i="2" s="1"/>
  <c r="N1634" i="2"/>
  <c r="P1634" i="2" s="1"/>
  <c r="N1642" i="2"/>
  <c r="P1642" i="2" s="1"/>
  <c r="P7" i="2" l="1"/>
  <c r="G7" i="5"/>
  <c r="G8" i="5" l="1"/>
  <c r="G9" i="5" s="1"/>
  <c r="G11" i="1" s="1"/>
  <c r="E9" i="5"/>
  <c r="H10" i="1" s="1"/>
  <c r="T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 Bramon</author>
  </authors>
  <commentList>
    <comment ref="B20" authorId="0" shapeId="0" xr:uid="{31380A4D-85FC-4229-BBD4-5C53A05C7146}">
      <text>
        <r>
          <rPr>
            <b/>
            <sz val="9"/>
            <color indexed="81"/>
            <rFont val="Tahoma"/>
            <family val="2"/>
          </rPr>
          <t>Pau Bramon:</t>
        </r>
        <r>
          <rPr>
            <sz val="9"/>
            <color indexed="81"/>
            <rFont val="Tahoma"/>
            <family val="2"/>
          </rPr>
          <t xml:space="preserve">
Si no es posa extension ring, deixar aquest valor a 0
</t>
        </r>
      </text>
    </comment>
  </commentList>
</comments>
</file>

<file path=xl/sharedStrings.xml><?xml version="1.0" encoding="utf-8"?>
<sst xmlns="http://schemas.openxmlformats.org/spreadsheetml/2006/main" count="464" uniqueCount="223">
  <si>
    <t>Definició de la càmera</t>
  </si>
  <si>
    <t>Model</t>
  </si>
  <si>
    <t>Sensor</t>
  </si>
  <si>
    <t>FPS</t>
  </si>
  <si>
    <t>Format sensor</t>
  </si>
  <si>
    <t>Descripció</t>
  </si>
  <si>
    <t>Pixel size (μm)</t>
  </si>
  <si>
    <t>Pixels width</t>
  </si>
  <si>
    <t>Pixels height</t>
  </si>
  <si>
    <t>Frames per second</t>
  </si>
  <si>
    <t>Mean quantum efficiency (%)</t>
  </si>
  <si>
    <t>Sensor width (mm)</t>
  </si>
  <si>
    <t>Sensor height (mm)</t>
  </si>
  <si>
    <t>Sensor diagonal (mm)</t>
  </si>
  <si>
    <t>Sensor Nyquist limit (lp/mm)</t>
  </si>
  <si>
    <t>Calculated sensor format (inches)</t>
  </si>
  <si>
    <t>Total readout time (ms)</t>
  </si>
  <si>
    <t>Readout speed (Mpx/s)</t>
  </si>
  <si>
    <t>Manual</t>
  </si>
  <si>
    <t>MANUAL</t>
  </si>
  <si>
    <t>Lucid</t>
  </si>
  <si>
    <t>Color</t>
  </si>
  <si>
    <t>Camera color</t>
  </si>
  <si>
    <t>Mono</t>
  </si>
  <si>
    <t>Focal Length</t>
  </si>
  <si>
    <t>Minimum working distance (mm)</t>
  </si>
  <si>
    <t>Definició de la òptica</t>
  </si>
  <si>
    <t>Sensor Format</t>
  </si>
  <si>
    <t>1/1,8</t>
  </si>
  <si>
    <t>1/3</t>
  </si>
  <si>
    <t>1/2</t>
  </si>
  <si>
    <t>2/3</t>
  </si>
  <si>
    <t>1/1,2</t>
  </si>
  <si>
    <t>1</t>
  </si>
  <si>
    <t>1,1</t>
  </si>
  <si>
    <t>4/3</t>
  </si>
  <si>
    <t>Sensor Format value</t>
  </si>
  <si>
    <t>DF6HA-1S</t>
  </si>
  <si>
    <t>HF9HA-1S</t>
  </si>
  <si>
    <t>Fujinon DF6HA-1S 6mm 1.5MP</t>
  </si>
  <si>
    <t>Fujinon HF9HA-1S 9mm 1.5MP</t>
  </si>
  <si>
    <t>HF12.5HA-1S</t>
  </si>
  <si>
    <t>Fujinon HF12.5HA-1S 12,5mm 1.5MP</t>
  </si>
  <si>
    <t>HF16HA-1S</t>
  </si>
  <si>
    <t>Fujinon HF16HA-1S 16mm 1.5MP</t>
  </si>
  <si>
    <t>HF25HA-1S</t>
  </si>
  <si>
    <t>HF35HA-1S</t>
  </si>
  <si>
    <t>HF50HA-1S</t>
  </si>
  <si>
    <t>HF75HA-1S</t>
  </si>
  <si>
    <t>Fujinon HF25HA-1S 25mm 1.5MP</t>
  </si>
  <si>
    <t>Fujinon HF35HA-1S 35mm 1.5MP</t>
  </si>
  <si>
    <t>Fujinon HF50HA-1S 50mm 1.5MP</t>
  </si>
  <si>
    <t>Fujinon HF75HA-1S 75mm 1.5MP</t>
  </si>
  <si>
    <t>HF6XA-5M</t>
  </si>
  <si>
    <t>Fujinon HF6XA-5M 6mm 5MP</t>
  </si>
  <si>
    <t>HF8XA-5M</t>
  </si>
  <si>
    <t>Fujinon HF8XA-5M 8mm 5MP</t>
  </si>
  <si>
    <t>HF12XA-5M</t>
  </si>
  <si>
    <t>Fujinon HF12XA-5M 12mm 5MP</t>
  </si>
  <si>
    <t>HF16XA-5M</t>
  </si>
  <si>
    <t>Fujinon HF16XA-5M 16mm 5MP</t>
  </si>
  <si>
    <t>HF25XA-5M</t>
  </si>
  <si>
    <t>Fujinon HF25XA-5M 25mm 5MP</t>
  </si>
  <si>
    <t>HF35XA-5M</t>
  </si>
  <si>
    <t>Fujinon HF35XA-5M 35mm 5MP</t>
  </si>
  <si>
    <t>HF50XA-5M</t>
  </si>
  <si>
    <t>Fujinon HF50XA-5M 50mm 5MP</t>
  </si>
  <si>
    <t>HF818-12M</t>
  </si>
  <si>
    <t>Fujinon HF818-12M 8mm 12MP</t>
  </si>
  <si>
    <t>HF1218-12M</t>
  </si>
  <si>
    <t>Fujinon HF1218-12M 12mm 12MP</t>
  </si>
  <si>
    <t>HF1618-12M</t>
  </si>
  <si>
    <t>Fujinon HF1618-12M 16mm 12MP</t>
  </si>
  <si>
    <t>HF2518-12M</t>
  </si>
  <si>
    <t>HF3520-12M</t>
  </si>
  <si>
    <t>Fujinon HF3520-12M 35mm 12MP</t>
  </si>
  <si>
    <t>Fujinon HF2518-12M 25mm 12MP</t>
  </si>
  <si>
    <t>CF8ZA-1S</t>
  </si>
  <si>
    <t>Fujinon CF8ZA-1S 8mm 20MP</t>
  </si>
  <si>
    <t>CF12ZA-1S</t>
  </si>
  <si>
    <t>Fujinon CF12ZA-1S 12mm 20MP</t>
  </si>
  <si>
    <t>CF16ZA-1S</t>
  </si>
  <si>
    <t>Fujinon CF16ZA-1S 16mm 20MP</t>
  </si>
  <si>
    <t>CF25ZA-1S</t>
  </si>
  <si>
    <t>Fujinon CF25ZA-1S 25mm 20MP</t>
  </si>
  <si>
    <t>CF35ZA-1S</t>
  </si>
  <si>
    <t>Fujinon CF35ZA-1S 35mm 20MP</t>
  </si>
  <si>
    <t>Sensor Format Text</t>
  </si>
  <si>
    <t>Max Sensor Format</t>
  </si>
  <si>
    <t>Mode</t>
  </si>
  <si>
    <t>Mode de treball</t>
  </si>
  <si>
    <t>Dimensió en x</t>
  </si>
  <si>
    <t>Opening angle (horizontal)</t>
  </si>
  <si>
    <t>Opening angle (vertical)</t>
  </si>
  <si>
    <t>Opening angle (diagonal)</t>
  </si>
  <si>
    <t>Càlcul óptic</t>
  </si>
  <si>
    <t>Camera triada</t>
  </si>
  <si>
    <t>Optica triada</t>
  </si>
  <si>
    <t>Dimensió en y</t>
  </si>
  <si>
    <t>Magnificació</t>
  </si>
  <si>
    <t>Max inc distance to object plane</t>
  </si>
  <si>
    <t>Pixels/mm</t>
  </si>
  <si>
    <t>Max circle of confusion (mm)</t>
  </si>
  <si>
    <t>f number</t>
  </si>
  <si>
    <t>Depth of field (mm)</t>
  </si>
  <si>
    <t>F number</t>
  </si>
  <si>
    <t>Depth of field</t>
  </si>
  <si>
    <t>Utilitzat</t>
  </si>
  <si>
    <t>Àrea visible</t>
  </si>
  <si>
    <t>acA1440-73gc</t>
  </si>
  <si>
    <t>Magnification</t>
  </si>
  <si>
    <t>acA1440-73gm</t>
  </si>
  <si>
    <t>acA1920-40gc</t>
  </si>
  <si>
    <t>acA1920-40gm</t>
  </si>
  <si>
    <t>acA2440-20gc</t>
  </si>
  <si>
    <t>acA2440-20gm</t>
  </si>
  <si>
    <t>Camera prova</t>
  </si>
  <si>
    <t>Needed extension ring (mm)</t>
  </si>
  <si>
    <t>Mono/Color</t>
  </si>
  <si>
    <t>Max separation image plane</t>
  </si>
  <si>
    <t>Needed separation image plane (mm)</t>
  </si>
  <si>
    <t>Needed separation image plane</t>
  </si>
  <si>
    <t>Max separation image plane (mm)</t>
  </si>
  <si>
    <t>Needed extension ring min (mm)</t>
  </si>
  <si>
    <t>Needed extension ring max (mm)</t>
  </si>
  <si>
    <t>Needed extension ring (min/max)</t>
  </si>
  <si>
    <t>Chosen extension ring</t>
  </si>
  <si>
    <t>Distancia a objectiu (des de PE)</t>
  </si>
  <si>
    <t>PE: Pupil·la d'entrada (mirar fulla tècnica òptica)</t>
  </si>
  <si>
    <t>acA5472-5gc</t>
  </si>
  <si>
    <t>Tipus</t>
  </si>
  <si>
    <t>Tipus càmera</t>
  </si>
  <si>
    <t>Matricial</t>
  </si>
  <si>
    <t>Lineal</t>
  </si>
  <si>
    <t>Lens Mount</t>
  </si>
  <si>
    <t>M42</t>
  </si>
  <si>
    <t>C-Mount</t>
  </si>
  <si>
    <t>Basler</t>
  </si>
  <si>
    <t>Basler 20MP, Color, GigE, IMX183</t>
  </si>
  <si>
    <t>Basler 5MP, Color, GigE, IMX264</t>
  </si>
  <si>
    <t>Basler 5MP, Mono, GigE, IMX264</t>
  </si>
  <si>
    <t>Basler 2,3MP, Color, GigE, IMX349</t>
  </si>
  <si>
    <t>Basler 2,3MP, Mono, GigE, IMX349</t>
  </si>
  <si>
    <t>Basler 1,6MP, Color, GigE, IMX273</t>
  </si>
  <si>
    <t>Basler 1,6MP, Mono, GigE, IMX273</t>
  </si>
  <si>
    <t>Basler 20MP, Mono, GigE, IMX183</t>
  </si>
  <si>
    <t>acA5472-5gm</t>
  </si>
  <si>
    <t>Sensor Type</t>
  </si>
  <si>
    <t>Sensor Color</t>
  </si>
  <si>
    <t>Global</t>
  </si>
  <si>
    <t>Rolling</t>
  </si>
  <si>
    <t>Lucid Triton TRI004S 0,4MP Mono</t>
  </si>
  <si>
    <t>Lucid Triton TRI005S 0,5MP Mono</t>
  </si>
  <si>
    <t>Lucid Triton TRI016S 1,6MP Mono</t>
  </si>
  <si>
    <t>Lucid Triton TRI023S 2,3MP Mono</t>
  </si>
  <si>
    <t>Lucid Triton TRI028S 2,8MP Mono</t>
  </si>
  <si>
    <t>Lucid Triton TRI032S 3,2MP Mono</t>
  </si>
  <si>
    <t>Lucid Triton TR050S 5MP Mono</t>
  </si>
  <si>
    <t>Lucid Triton TR051S 5MP Mono</t>
  </si>
  <si>
    <t>Lucid Triton TRI004S 0,4MP Color</t>
  </si>
  <si>
    <t>TRI004S-MC</t>
  </si>
  <si>
    <t>TRI005S-MC</t>
  </si>
  <si>
    <t>TRI016S-MC</t>
  </si>
  <si>
    <t>TRI023S-MC</t>
  </si>
  <si>
    <t>TRI028S-MC</t>
  </si>
  <si>
    <t>TRI032S-MC</t>
  </si>
  <si>
    <t>TR050S-MC</t>
  </si>
  <si>
    <t>TRI004S-CC</t>
  </si>
  <si>
    <t>TRI005S-CC</t>
  </si>
  <si>
    <t>Lucid Triton TRI005S 0,5MP Color</t>
  </si>
  <si>
    <t>TRI016S-CC</t>
  </si>
  <si>
    <t>Lucid Triton TRI016S 1,6MP Color</t>
  </si>
  <si>
    <t>TRI023S-CC</t>
  </si>
  <si>
    <t>Lucid Triton TRI023S 2,3MP Color</t>
  </si>
  <si>
    <t>TRI028S-CC</t>
  </si>
  <si>
    <t>Lucid Triton TRI028S 2,8MP Color</t>
  </si>
  <si>
    <t>TRI032S-CC</t>
  </si>
  <si>
    <t>Lucid Triton TRI032S 3,2MP Color</t>
  </si>
  <si>
    <t>TR050S-CC</t>
  </si>
  <si>
    <t>Lucid Triton TR050S 5MP Color</t>
  </si>
  <si>
    <t>Lucid Triton TR051S 5MP Color</t>
  </si>
  <si>
    <t>Teledyne</t>
  </si>
  <si>
    <t>Focal Length(mm)</t>
  </si>
  <si>
    <t>Fujinon</t>
  </si>
  <si>
    <t>AZURE</t>
  </si>
  <si>
    <t>L2-GC-02K02B-00-A</t>
  </si>
  <si>
    <t>Linea Lite 2k Color</t>
  </si>
  <si>
    <t>Linea Lite 2k Mono</t>
  </si>
  <si>
    <t>L2-GM-02K05B-00-A</t>
  </si>
  <si>
    <t>Max Line Rate (kHz)</t>
  </si>
  <si>
    <t>Linea Lite 4k Color</t>
  </si>
  <si>
    <t>L2-GC-04K01B-00-A</t>
  </si>
  <si>
    <t>Linea Lite 4k Mono</t>
  </si>
  <si>
    <t>L2-GM-04K02B-00-A</t>
  </si>
  <si>
    <t>Linea Lite 8k Mono</t>
  </si>
  <si>
    <t>L2-GM-08K02S-00-A</t>
  </si>
  <si>
    <t>AZURE-2528MT</t>
  </si>
  <si>
    <t>AZURE 2528MT 25mm</t>
  </si>
  <si>
    <t>Full-Frame</t>
  </si>
  <si>
    <t>Maximum resolution (lp/mm)</t>
  </si>
  <si>
    <t>aspect ratio</t>
  </si>
  <si>
    <t>Max resolution (especificacions)</t>
  </si>
  <si>
    <t>AZURE-5028MT-I</t>
  </si>
  <si>
    <t>AZURE 5028MT-I 50mm</t>
  </si>
  <si>
    <t>Resolution (MP)</t>
  </si>
  <si>
    <t>Sensor format</t>
  </si>
  <si>
    <t>Resolution (k per line)</t>
  </si>
  <si>
    <t>Max sensor size value (inch)</t>
  </si>
  <si>
    <t>Camera Type</t>
  </si>
  <si>
    <t>Especificacions</t>
  </si>
  <si>
    <t>Index construcció</t>
  </si>
  <si>
    <t>Definició de distancies</t>
  </si>
  <si>
    <t>Definició de inspecció</t>
  </si>
  <si>
    <t>Profunditat necessària de la visió</t>
  </si>
  <si>
    <t>Precisió necessaria (mm)</t>
  </si>
  <si>
    <t>RESULTAT</t>
  </si>
  <si>
    <t>Distancia mínima de treball</t>
  </si>
  <si>
    <t>Errors</t>
  </si>
  <si>
    <t xml:space="preserve">Warnings
</t>
  </si>
  <si>
    <r>
      <t xml:space="preserve">Cal habilitar macros per treballar amb aquest document!!
</t>
    </r>
    <r>
      <rPr>
        <sz val="18"/>
        <color rgb="FFFF0000"/>
        <rFont val="Calibri"/>
        <family val="2"/>
        <scheme val="minor"/>
      </rPr>
      <t xml:space="preserve">Al moment d'obrir el document, apareix un missatge en groc a la part superior, clicar habilitar contingut. </t>
    </r>
  </si>
  <si>
    <t>Definició del setup correcte!</t>
  </si>
  <si>
    <t>acA2500-14gm</t>
  </si>
  <si>
    <t>Basler 5MP, Mono, GigE, MT9P031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</si>
</sst>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0.0"/>
    <numFmt numFmtId="165" formatCode="0.0000"/>
    <numFmt numFmtId="166" formatCode="0.00&quot; mm&quot;"/>
    <numFmt numFmtId="167" formatCode="0\ &quot;px&quot;"/>
    <numFmt numFmtId="168" formatCode="0\ &quot;fps&quot;"/>
    <numFmt numFmtId="169" formatCode="0.0\ &quot;px/mm&quot;"/>
    <numFmt numFmtId="170" formatCode="0.00\ &quot;º&quot;"/>
    <numFmt numFmtId="171" formatCode="0.0\ &quot;Mpx&quot;"/>
    <numFmt numFmtId="172" formatCode="0.0\ &quot;mm&quot;"/>
    <numFmt numFmtId="173" formatCode="0.000"/>
    <numFmt numFmtId="174" formatCode="0.0\ &quot;lp/mm&quot;"/>
    <numFmt numFmtId="175" formatCode="0.00\ &quot;lp/mm&quot;"/>
    <numFmt numFmtId="176" formatCode="0.00\ &quot;MP&quot;"/>
    <numFmt numFmtId="177" formatCode="#,###,###\ &quot; mm&quot;"/>
    <numFmt numFmtId="178" formatCode="0.0######\ &quot; mm&quot;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36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0" borderId="0" xfId="0" applyFon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 wrapText="1"/>
    </xf>
    <xf numFmtId="0" fontId="2" fillId="3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10" fontId="2" fillId="3" borderId="0" xfId="0" applyNumberFormat="1" applyFont="1" applyFill="1" applyAlignment="1">
      <alignment horizontal="left" vertical="center"/>
    </xf>
    <xf numFmtId="10" fontId="0" fillId="0" borderId="0" xfId="0" applyNumberFormat="1"/>
    <xf numFmtId="12" fontId="0" fillId="0" borderId="0" xfId="0" applyNumberFormat="1"/>
    <xf numFmtId="2" fontId="0" fillId="0" borderId="0" xfId="0" applyNumberFormat="1"/>
    <xf numFmtId="164" fontId="0" fillId="5" borderId="0" xfId="0" applyNumberFormat="1" applyFill="1"/>
    <xf numFmtId="2" fontId="0" fillId="5" borderId="0" xfId="0" applyNumberFormat="1" applyFill="1"/>
    <xf numFmtId="12" fontId="0" fillId="5" borderId="0" xfId="0" applyNumberFormat="1" applyFill="1"/>
    <xf numFmtId="1" fontId="0" fillId="5" borderId="0" xfId="0" applyNumberFormat="1" applyFill="1"/>
    <xf numFmtId="2" fontId="2" fillId="3" borderId="0" xfId="0" applyNumberFormat="1" applyFont="1" applyFill="1" applyAlignment="1">
      <alignment horizontal="left" vertical="center"/>
    </xf>
    <xf numFmtId="12" fontId="2" fillId="3" borderId="0" xfId="0" applyNumberFormat="1" applyFont="1" applyFill="1" applyAlignment="1">
      <alignment horizontal="left" vertical="center"/>
    </xf>
    <xf numFmtId="49" fontId="2" fillId="0" borderId="0" xfId="0" applyNumberFormat="1" applyFont="1"/>
    <xf numFmtId="49" fontId="0" fillId="0" borderId="0" xfId="0" applyNumberFormat="1"/>
    <xf numFmtId="2" fontId="2" fillId="0" borderId="0" xfId="0" applyNumberFormat="1" applyFont="1"/>
    <xf numFmtId="164" fontId="2" fillId="3" borderId="0" xfId="0" applyNumberFormat="1" applyFont="1" applyFill="1" applyAlignment="1">
      <alignment horizontal="left" vertical="center"/>
    </xf>
    <xf numFmtId="164" fontId="0" fillId="0" borderId="0" xfId="0" applyNumberFormat="1"/>
    <xf numFmtId="0" fontId="2" fillId="3" borderId="0" xfId="0" applyFont="1" applyFill="1" applyAlignment="1">
      <alignment horizontal="right" vertical="center"/>
    </xf>
    <xf numFmtId="1" fontId="0" fillId="5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1" fillId="2" borderId="0" xfId="0" applyFont="1" applyFill="1" applyAlignment="1">
      <alignment horizontal="left" vertical="center" wrapText="1"/>
    </xf>
    <xf numFmtId="165" fontId="0" fillId="5" borderId="0" xfId="0" applyNumberFormat="1" applyFill="1"/>
    <xf numFmtId="11" fontId="0" fillId="5" borderId="0" xfId="0" applyNumberFormat="1" applyFill="1"/>
    <xf numFmtId="0" fontId="0" fillId="5" borderId="0" xfId="0" applyFill="1"/>
    <xf numFmtId="2" fontId="1" fillId="2" borderId="0" xfId="0" applyNumberFormat="1" applyFont="1" applyFill="1" applyAlignment="1">
      <alignment horizontal="left" vertical="center" wrapText="1"/>
    </xf>
    <xf numFmtId="10" fontId="1" fillId="2" borderId="0" xfId="0" applyNumberFormat="1" applyFont="1" applyFill="1" applyAlignment="1">
      <alignment horizontal="left" vertical="center" wrapText="1"/>
    </xf>
    <xf numFmtId="12" fontId="1" fillId="2" borderId="0" xfId="0" applyNumberFormat="1" applyFont="1" applyFill="1" applyAlignment="1">
      <alignment horizontal="left" vertical="center" wrapText="1"/>
    </xf>
    <xf numFmtId="164" fontId="1" fillId="2" borderId="0" xfId="0" applyNumberFormat="1" applyFont="1" applyFill="1" applyAlignment="1">
      <alignment horizontal="left" vertical="center" wrapText="1"/>
    </xf>
    <xf numFmtId="171" fontId="2" fillId="3" borderId="0" xfId="0" applyNumberFormat="1" applyFont="1" applyFill="1" applyAlignment="1">
      <alignment horizontal="left" vertical="center"/>
    </xf>
    <xf numFmtId="174" fontId="0" fillId="0" borderId="0" xfId="0" applyNumberFormat="1"/>
    <xf numFmtId="176" fontId="0" fillId="0" borderId="0" xfId="0" applyNumberFormat="1"/>
    <xf numFmtId="1" fontId="2" fillId="3" borderId="0" xfId="0" applyNumberFormat="1" applyFont="1" applyFill="1" applyAlignment="1">
      <alignment horizontal="left" vertical="center"/>
    </xf>
    <xf numFmtId="1" fontId="0" fillId="0" borderId="0" xfId="0" applyNumberFormat="1"/>
    <xf numFmtId="173" fontId="1" fillId="2" borderId="0" xfId="0" applyNumberFormat="1" applyFont="1" applyFill="1" applyAlignment="1">
      <alignment horizontal="left" vertical="center" wrapText="1"/>
    </xf>
    <xf numFmtId="173" fontId="2" fillId="3" borderId="0" xfId="0" applyNumberFormat="1" applyFont="1" applyFill="1" applyAlignment="1">
      <alignment horizontal="left" vertical="center"/>
    </xf>
    <xf numFmtId="173" fontId="0" fillId="5" borderId="0" xfId="0" applyNumberFormat="1" applyFill="1"/>
    <xf numFmtId="173" fontId="0" fillId="0" borderId="0" xfId="0" applyNumberFormat="1"/>
    <xf numFmtId="0" fontId="1" fillId="6" borderId="6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left"/>
    </xf>
    <xf numFmtId="170" fontId="0" fillId="7" borderId="4" xfId="0" applyNumberFormat="1" applyFill="1" applyBorder="1" applyAlignment="1">
      <alignment horizontal="center"/>
    </xf>
    <xf numFmtId="0" fontId="0" fillId="7" borderId="11" xfId="0" applyFill="1" applyBorder="1"/>
    <xf numFmtId="170" fontId="0" fillId="7" borderId="0" xfId="0" applyNumberFormat="1" applyFill="1" applyAlignment="1">
      <alignment horizontal="center"/>
    </xf>
    <xf numFmtId="0" fontId="0" fillId="7" borderId="9" xfId="0" applyFill="1" applyBorder="1"/>
    <xf numFmtId="0" fontId="2" fillId="3" borderId="0" xfId="0" applyFont="1" applyFill="1" applyAlignment="1">
      <alignment horizontal="left"/>
    </xf>
    <xf numFmtId="0" fontId="2" fillId="3" borderId="9" xfId="0" applyFont="1" applyFill="1" applyBorder="1" applyAlignment="1">
      <alignment horizontal="left"/>
    </xf>
    <xf numFmtId="169" fontId="0" fillId="7" borderId="0" xfId="0" applyNumberFormat="1" applyFill="1"/>
    <xf numFmtId="167" fontId="0" fillId="7" borderId="0" xfId="0" applyNumberFormat="1" applyFill="1" applyAlignment="1">
      <alignment horizontal="center"/>
    </xf>
    <xf numFmtId="167" fontId="0" fillId="7" borderId="9" xfId="0" applyNumberFormat="1" applyFill="1" applyBorder="1" applyAlignment="1">
      <alignment horizontal="center"/>
    </xf>
    <xf numFmtId="166" fontId="0" fillId="7" borderId="0" xfId="0" applyNumberFormat="1" applyFill="1"/>
    <xf numFmtId="166" fontId="0" fillId="7" borderId="9" xfId="0" applyNumberFormat="1" applyFill="1" applyBorder="1"/>
    <xf numFmtId="0" fontId="2" fillId="3" borderId="6" xfId="0" applyFont="1" applyFill="1" applyBorder="1" applyAlignment="1">
      <alignment horizontal="left"/>
    </xf>
    <xf numFmtId="173" fontId="0" fillId="7" borderId="0" xfId="0" applyNumberFormat="1" applyFill="1"/>
    <xf numFmtId="166" fontId="0" fillId="7" borderId="7" xfId="0" applyNumberFormat="1" applyFill="1" applyBorder="1"/>
    <xf numFmtId="166" fontId="0" fillId="7" borderId="10" xfId="0" applyNumberFormat="1" applyFill="1" applyBorder="1"/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10" fontId="0" fillId="0" borderId="0" xfId="0" applyNumberFormat="1" applyProtection="1">
      <protection locked="0"/>
    </xf>
    <xf numFmtId="0" fontId="2" fillId="3" borderId="0" xfId="0" applyFont="1" applyFill="1" applyAlignment="1" applyProtection="1">
      <alignment horizontal="left" vertical="center"/>
      <protection locked="0"/>
    </xf>
    <xf numFmtId="2" fontId="2" fillId="3" borderId="0" xfId="0" applyNumberFormat="1" applyFont="1" applyFill="1" applyAlignment="1" applyProtection="1">
      <alignment horizontal="left" vertical="center"/>
      <protection locked="0"/>
    </xf>
    <xf numFmtId="0" fontId="2" fillId="3" borderId="0" xfId="0" applyFont="1" applyFill="1" applyAlignment="1" applyProtection="1">
      <alignment horizontal="right" vertical="center"/>
      <protection locked="0"/>
    </xf>
    <xf numFmtId="10" fontId="2" fillId="3" borderId="0" xfId="0" applyNumberFormat="1" applyFont="1" applyFill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2" fontId="2" fillId="0" borderId="0" xfId="0" applyNumberFormat="1" applyFont="1" applyAlignment="1" applyProtection="1">
      <alignment horizontal="left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10" fontId="2" fillId="0" borderId="0" xfId="0" applyNumberFormat="1" applyFont="1" applyAlignment="1" applyProtection="1">
      <alignment horizontal="left" vertical="center"/>
      <protection locked="0"/>
    </xf>
    <xf numFmtId="164" fontId="0" fillId="0" borderId="0" xfId="0" applyNumberFormat="1" applyProtection="1">
      <protection locked="0"/>
    </xf>
    <xf numFmtId="174" fontId="0" fillId="0" borderId="0" xfId="0" applyNumberFormat="1" applyProtection="1">
      <protection locked="0"/>
    </xf>
    <xf numFmtId="164" fontId="2" fillId="3" borderId="0" xfId="0" applyNumberFormat="1" applyFont="1" applyFill="1" applyAlignment="1" applyProtection="1">
      <alignment horizontal="left" vertical="center"/>
      <protection locked="0"/>
    </xf>
    <xf numFmtId="174" fontId="2" fillId="3" borderId="0" xfId="0" applyNumberFormat="1" applyFont="1" applyFill="1" applyAlignment="1" applyProtection="1">
      <alignment horizontal="left" vertical="center"/>
      <protection locked="0"/>
    </xf>
    <xf numFmtId="175" fontId="0" fillId="0" borderId="0" xfId="0" applyNumberFormat="1" applyProtection="1">
      <protection locked="0"/>
    </xf>
    <xf numFmtId="176" fontId="0" fillId="0" borderId="0" xfId="0" applyNumberFormat="1" applyProtection="1">
      <protection locked="0"/>
    </xf>
    <xf numFmtId="176" fontId="2" fillId="3" borderId="0" xfId="0" applyNumberFormat="1" applyFont="1" applyFill="1" applyAlignment="1" applyProtection="1">
      <alignment horizontal="right" vertical="center"/>
      <protection locked="0"/>
    </xf>
    <xf numFmtId="0" fontId="0" fillId="7" borderId="0" xfId="0" applyFill="1"/>
    <xf numFmtId="0" fontId="0" fillId="7" borderId="0" xfId="0" applyFill="1" applyAlignment="1">
      <alignment vertical="top"/>
    </xf>
    <xf numFmtId="0" fontId="5" fillId="7" borderId="0" xfId="0" applyFont="1" applyFill="1" applyAlignment="1">
      <alignment horizontal="left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78" fontId="0" fillId="4" borderId="4" xfId="0" applyNumberFormat="1" applyFill="1" applyBorder="1" applyAlignment="1" applyProtection="1">
      <alignment horizontal="center"/>
      <protection locked="0"/>
    </xf>
    <xf numFmtId="178" fontId="0" fillId="4" borderId="11" xfId="0" applyNumberFormat="1" applyFill="1" applyBorder="1" applyAlignment="1" applyProtection="1">
      <alignment horizontal="center"/>
      <protection locked="0"/>
    </xf>
    <xf numFmtId="178" fontId="0" fillId="4" borderId="7" xfId="0" applyNumberFormat="1" applyFill="1" applyBorder="1" applyAlignment="1" applyProtection="1">
      <alignment horizontal="center"/>
      <protection locked="0"/>
    </xf>
    <xf numFmtId="178" fontId="0" fillId="4" borderId="10" xfId="0" applyNumberFormat="1" applyFill="1" applyBorder="1" applyAlignment="1" applyProtection="1">
      <alignment horizontal="center"/>
      <protection locked="0"/>
    </xf>
    <xf numFmtId="0" fontId="1" fillId="2" borderId="5" xfId="0" applyFont="1" applyFill="1" applyBorder="1" applyAlignment="1">
      <alignment horizontal="center"/>
    </xf>
    <xf numFmtId="49" fontId="0" fillId="0" borderId="12" xfId="0" applyNumberFormat="1" applyBorder="1" applyAlignment="1" applyProtection="1">
      <alignment horizontal="left" vertical="center" wrapText="1" indent="3"/>
      <protection locked="0"/>
    </xf>
    <xf numFmtId="49" fontId="0" fillId="0" borderId="4" xfId="0" applyNumberFormat="1" applyBorder="1" applyAlignment="1" applyProtection="1">
      <alignment horizontal="left" vertical="center" indent="3"/>
      <protection locked="0"/>
    </xf>
    <xf numFmtId="49" fontId="0" fillId="0" borderId="11" xfId="0" applyNumberFormat="1" applyBorder="1" applyAlignment="1" applyProtection="1">
      <alignment horizontal="left" vertical="center" indent="3"/>
      <protection locked="0"/>
    </xf>
    <xf numFmtId="49" fontId="0" fillId="0" borderId="8" xfId="0" applyNumberFormat="1" applyBorder="1" applyAlignment="1" applyProtection="1">
      <alignment horizontal="left" vertical="center" indent="3"/>
      <protection locked="0"/>
    </xf>
    <xf numFmtId="49" fontId="0" fillId="0" borderId="0" xfId="0" applyNumberFormat="1" applyAlignment="1" applyProtection="1">
      <alignment horizontal="left" vertical="center" indent="3"/>
      <protection locked="0"/>
    </xf>
    <xf numFmtId="49" fontId="0" fillId="0" borderId="9" xfId="0" applyNumberFormat="1" applyBorder="1" applyAlignment="1" applyProtection="1">
      <alignment horizontal="left" vertical="center" indent="3"/>
      <protection locked="0"/>
    </xf>
    <xf numFmtId="49" fontId="0" fillId="0" borderId="6" xfId="0" applyNumberFormat="1" applyBorder="1" applyAlignment="1" applyProtection="1">
      <alignment horizontal="left" vertical="center" indent="3"/>
      <protection locked="0"/>
    </xf>
    <xf numFmtId="49" fontId="0" fillId="0" borderId="7" xfId="0" applyNumberFormat="1" applyBorder="1" applyAlignment="1" applyProtection="1">
      <alignment horizontal="left" vertical="center" indent="3"/>
      <protection locked="0"/>
    </xf>
    <xf numFmtId="49" fontId="0" fillId="0" borderId="10" xfId="0" applyNumberFormat="1" applyBorder="1" applyAlignment="1" applyProtection="1">
      <alignment horizontal="left" vertical="center" indent="3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/>
      <protection locked="0"/>
    </xf>
    <xf numFmtId="0" fontId="0" fillId="4" borderId="11" xfId="0" applyFill="1" applyBorder="1" applyAlignment="1" applyProtection="1">
      <alignment horizontal="center"/>
      <protection locked="0"/>
    </xf>
    <xf numFmtId="166" fontId="0" fillId="4" borderId="0" xfId="0" applyNumberFormat="1" applyFill="1" applyAlignment="1" applyProtection="1">
      <alignment horizontal="center"/>
      <protection locked="0"/>
    </xf>
    <xf numFmtId="166" fontId="0" fillId="4" borderId="9" xfId="0" applyNumberFormat="1" applyFill="1" applyBorder="1" applyAlignment="1" applyProtection="1">
      <alignment horizontal="center"/>
      <protection locked="0"/>
    </xf>
    <xf numFmtId="166" fontId="0" fillId="7" borderId="7" xfId="0" applyNumberFormat="1" applyFill="1" applyBorder="1" applyAlignment="1">
      <alignment horizontal="center"/>
    </xf>
    <xf numFmtId="166" fontId="0" fillId="7" borderId="10" xfId="0" applyNumberFormat="1" applyFill="1" applyBorder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4" borderId="9" xfId="0" applyFill="1" applyBorder="1" applyAlignment="1" applyProtection="1">
      <alignment horizontal="center"/>
      <protection locked="0"/>
    </xf>
    <xf numFmtId="0" fontId="0" fillId="7" borderId="0" xfId="0" applyFill="1" applyAlignment="1">
      <alignment horizontal="center"/>
    </xf>
    <xf numFmtId="0" fontId="0" fillId="7" borderId="9" xfId="0" applyFill="1" applyBorder="1" applyAlignment="1">
      <alignment horizontal="center"/>
    </xf>
    <xf numFmtId="166" fontId="0" fillId="4" borderId="7" xfId="0" applyNumberFormat="1" applyFill="1" applyBorder="1" applyAlignment="1" applyProtection="1">
      <alignment horizontal="center"/>
      <protection locked="0"/>
    </xf>
    <xf numFmtId="166" fontId="0" fillId="4" borderId="10" xfId="0" applyNumberFormat="1" applyFill="1" applyBorder="1" applyAlignment="1" applyProtection="1">
      <alignment horizontal="center"/>
      <protection locked="0"/>
    </xf>
    <xf numFmtId="2" fontId="0" fillId="7" borderId="0" xfId="0" applyNumberFormat="1" applyFill="1" applyAlignment="1">
      <alignment horizontal="center"/>
    </xf>
    <xf numFmtId="2" fontId="0" fillId="7" borderId="9" xfId="0" applyNumberFormat="1" applyFill="1" applyBorder="1" applyAlignment="1">
      <alignment horizontal="center"/>
    </xf>
    <xf numFmtId="168" fontId="0" fillId="7" borderId="0" xfId="0" applyNumberFormat="1" applyFill="1" applyAlignment="1">
      <alignment horizontal="center"/>
    </xf>
    <xf numFmtId="168" fontId="0" fillId="7" borderId="9" xfId="0" applyNumberForma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172" fontId="0" fillId="7" borderId="0" xfId="0" applyNumberFormat="1" applyFill="1" applyAlignment="1">
      <alignment horizontal="center"/>
    </xf>
    <xf numFmtId="172" fontId="0" fillId="7" borderId="9" xfId="0" applyNumberFormat="1" applyFill="1" applyBorder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9" xfId="0" applyNumberFormat="1" applyBorder="1" applyAlignment="1">
      <alignment horizontal="center"/>
    </xf>
    <xf numFmtId="0" fontId="1" fillId="6" borderId="6" xfId="0" applyFont="1" applyFill="1" applyBorder="1" applyAlignment="1">
      <alignment horizontal="center" vertical="center" wrapText="1"/>
    </xf>
    <xf numFmtId="0" fontId="1" fillId="6" borderId="7" xfId="0" applyFont="1" applyFill="1" applyBorder="1" applyAlignment="1">
      <alignment horizontal="center" vertical="center" wrapText="1"/>
    </xf>
    <xf numFmtId="0" fontId="1" fillId="6" borderId="8" xfId="0" applyFont="1" applyFill="1" applyBorder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</cellXfs>
  <cellStyles count="1">
    <cellStyle name="Normal" xfId="0" builtinId="0"/>
  </cellStyles>
  <dxfs count="5">
    <dxf>
      <font>
        <color theme="9"/>
      </font>
    </dxf>
    <dxf>
      <font>
        <color theme="5"/>
      </font>
    </dxf>
    <dxf>
      <font>
        <color rgb="FFFF0000"/>
      </font>
    </dxf>
    <dxf>
      <font>
        <color theme="8" tint="0.79998168889431442"/>
      </font>
      <fill>
        <patternFill>
          <fgColor theme="8" tint="0.79998168889431442"/>
          <bgColor theme="8" tint="0.79998168889431442"/>
        </patternFill>
      </fill>
    </dxf>
    <dxf>
      <numFmt numFmtId="179" formatCode=";;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F8F91-88E6-4C41-B50E-807011169441}">
  <sheetPr codeName="Full9"/>
  <dimension ref="A1:AB54"/>
  <sheetViews>
    <sheetView tabSelected="1" zoomScale="55" zoomScaleNormal="55" workbookViewId="0">
      <selection sqref="A1:AB54"/>
    </sheetView>
  </sheetViews>
  <sheetFormatPr defaultColWidth="9.140625" defaultRowHeight="15" x14ac:dyDescent="0.25"/>
  <cols>
    <col min="1" max="1" width="9.140625" style="78" customWidth="1"/>
    <col min="2" max="2" width="1.140625" style="78" customWidth="1"/>
    <col min="3" max="3" width="9.140625" style="78" hidden="1" customWidth="1"/>
    <col min="4" max="4" width="9.140625" style="78"/>
    <col min="5" max="5" width="3.85546875" style="78" customWidth="1"/>
    <col min="6" max="16384" width="9.140625" style="78"/>
  </cols>
  <sheetData>
    <row r="1" spans="1:28" ht="15" customHeight="1" x14ac:dyDescent="0.25">
      <c r="A1" s="80" t="s">
        <v>219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</row>
    <row r="2" spans="1:28" ht="15" customHeight="1" x14ac:dyDescent="0.2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</row>
    <row r="3" spans="1:28" ht="15" customHeight="1" x14ac:dyDescent="0.25">
      <c r="A3" s="80"/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</row>
    <row r="4" spans="1:28" ht="15" customHeight="1" x14ac:dyDescent="0.25">
      <c r="A4" s="80"/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</row>
    <row r="5" spans="1:28" ht="15" customHeight="1" x14ac:dyDescent="0.25">
      <c r="A5" s="80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</row>
    <row r="6" spans="1:28" ht="15" customHeight="1" x14ac:dyDescent="0.25">
      <c r="A6" s="80"/>
      <c r="B6" s="80"/>
      <c r="C6" s="80"/>
      <c r="D6" s="80"/>
      <c r="E6" s="80"/>
      <c r="F6" s="80"/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</row>
    <row r="7" spans="1:28" ht="15" customHeight="1" x14ac:dyDescent="0.25">
      <c r="A7" s="80"/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</row>
    <row r="8" spans="1:28" ht="15" customHeight="1" x14ac:dyDescent="0.25">
      <c r="A8" s="80"/>
      <c r="B8" s="80"/>
      <c r="C8" s="80"/>
      <c r="D8" s="80"/>
      <c r="E8" s="80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</row>
    <row r="9" spans="1:28" ht="15" customHeight="1" x14ac:dyDescent="0.25">
      <c r="A9" s="80"/>
      <c r="B9" s="80"/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</row>
    <row r="10" spans="1:28" ht="15" customHeight="1" x14ac:dyDescent="0.25">
      <c r="A10" s="80"/>
      <c r="B10" s="80"/>
      <c r="C10" s="80"/>
      <c r="D10" s="80"/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</row>
    <row r="11" spans="1:28" ht="15" customHeight="1" x14ac:dyDescent="0.25">
      <c r="A11" s="80"/>
      <c r="B11" s="80"/>
      <c r="C11" s="80"/>
      <c r="D11" s="80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</row>
    <row r="12" spans="1:28" ht="15" customHeight="1" x14ac:dyDescent="0.25">
      <c r="A12" s="80"/>
      <c r="B12" s="80"/>
      <c r="C12" s="80"/>
      <c r="D12" s="80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</row>
    <row r="13" spans="1:28" ht="15" customHeight="1" x14ac:dyDescent="0.25">
      <c r="A13" s="80"/>
      <c r="B13" s="80"/>
      <c r="C13" s="80"/>
      <c r="D13" s="80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</row>
    <row r="14" spans="1:28" ht="15" customHeight="1" x14ac:dyDescent="0.25">
      <c r="A14" s="80"/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</row>
    <row r="15" spans="1:28" ht="2.25" customHeight="1" x14ac:dyDescent="0.25">
      <c r="A15" s="80"/>
      <c r="B15" s="80"/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</row>
    <row r="16" spans="1:28" ht="15" hidden="1" customHeight="1" x14ac:dyDescent="0.25">
      <c r="A16" s="80"/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</row>
    <row r="17" spans="1:28" ht="15" hidden="1" customHeight="1" x14ac:dyDescent="0.25">
      <c r="A17" s="80"/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</row>
    <row r="18" spans="1:28" ht="15" hidden="1" customHeight="1" x14ac:dyDescent="0.25">
      <c r="A18" s="80"/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</row>
    <row r="19" spans="1:28" ht="15" hidden="1" customHeight="1" x14ac:dyDescent="0.25">
      <c r="A19" s="80"/>
      <c r="B19" s="80"/>
      <c r="C19" s="80"/>
      <c r="D19" s="80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</row>
    <row r="20" spans="1:28" ht="15" hidden="1" customHeight="1" x14ac:dyDescent="0.25">
      <c r="A20" s="80"/>
      <c r="B20" s="80"/>
      <c r="C20" s="80"/>
      <c r="D20" s="80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</row>
    <row r="21" spans="1:28" ht="15" hidden="1" customHeight="1" x14ac:dyDescent="0.25">
      <c r="A21" s="80"/>
      <c r="B21" s="80"/>
      <c r="C21" s="80"/>
      <c r="D21" s="80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</row>
    <row r="22" spans="1:28" ht="10.5" hidden="1" customHeight="1" x14ac:dyDescent="0.25">
      <c r="A22" s="80"/>
      <c r="B22" s="80"/>
      <c r="C22" s="80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</row>
    <row r="23" spans="1:28" ht="15" hidden="1" customHeight="1" x14ac:dyDescent="0.25">
      <c r="A23" s="80"/>
      <c r="B23" s="80"/>
      <c r="C23" s="80"/>
      <c r="D23" s="80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</row>
    <row r="24" spans="1:28" ht="15" hidden="1" customHeight="1" x14ac:dyDescent="0.25">
      <c r="A24" s="80"/>
      <c r="B24" s="80"/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</row>
    <row r="25" spans="1:28" ht="15" hidden="1" customHeight="1" x14ac:dyDescent="0.25">
      <c r="A25" s="80"/>
      <c r="B25" s="80"/>
      <c r="C25" s="80"/>
      <c r="D25" s="80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</row>
    <row r="26" spans="1:28" ht="15" hidden="1" customHeight="1" x14ac:dyDescent="0.25">
      <c r="A26" s="80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</row>
    <row r="27" spans="1:28" ht="15" hidden="1" customHeight="1" x14ac:dyDescent="0.25">
      <c r="A27" s="80"/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</row>
    <row r="28" spans="1:28" ht="15" hidden="1" customHeight="1" x14ac:dyDescent="0.25">
      <c r="A28" s="80"/>
      <c r="B28" s="80"/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</row>
    <row r="29" spans="1:28" ht="15" hidden="1" customHeight="1" x14ac:dyDescent="0.25">
      <c r="A29" s="80"/>
      <c r="B29" s="80"/>
      <c r="C29" s="80"/>
      <c r="D29" s="80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</row>
    <row r="30" spans="1:28" ht="15" hidden="1" customHeight="1" x14ac:dyDescent="0.25">
      <c r="A30" s="80"/>
      <c r="B30" s="80"/>
      <c r="C30" s="80"/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</row>
    <row r="31" spans="1:28" ht="15" hidden="1" customHeight="1" x14ac:dyDescent="0.25">
      <c r="A31" s="80"/>
      <c r="B31" s="80"/>
      <c r="C31" s="80"/>
      <c r="D31" s="80"/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</row>
    <row r="32" spans="1:28" ht="15" hidden="1" customHeight="1" x14ac:dyDescent="0.25">
      <c r="A32" s="80"/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</row>
    <row r="33" spans="1:28" ht="15" hidden="1" customHeight="1" x14ac:dyDescent="0.25">
      <c r="A33" s="80"/>
      <c r="B33" s="80"/>
      <c r="C33" s="80"/>
      <c r="D33" s="80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</row>
    <row r="34" spans="1:28" ht="15" hidden="1" customHeight="1" x14ac:dyDescent="0.25">
      <c r="A34" s="80"/>
      <c r="B34" s="80"/>
      <c r="C34" s="80"/>
      <c r="D34" s="80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</row>
    <row r="35" spans="1:28" ht="15" hidden="1" customHeight="1" x14ac:dyDescent="0.25">
      <c r="A35" s="80"/>
      <c r="B35" s="80"/>
      <c r="C35" s="80"/>
      <c r="D35" s="80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</row>
    <row r="36" spans="1:28" ht="15" hidden="1" customHeight="1" x14ac:dyDescent="0.25">
      <c r="A36" s="80"/>
      <c r="B36" s="80"/>
      <c r="C36" s="80"/>
      <c r="D36" s="80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</row>
    <row r="37" spans="1:28" ht="18.75" customHeight="1" x14ac:dyDescent="0.25">
      <c r="A37" s="80"/>
      <c r="B37" s="80"/>
      <c r="C37" s="80"/>
      <c r="D37" s="80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</row>
    <row r="38" spans="1:28" s="79" customFormat="1" ht="15" customHeight="1" x14ac:dyDescent="0.25">
      <c r="A38" s="80"/>
      <c r="B38" s="80"/>
      <c r="C38" s="80"/>
      <c r="D38" s="80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</row>
    <row r="39" spans="1:28" s="79" customFormat="1" ht="15" customHeight="1" x14ac:dyDescent="0.25">
      <c r="A39" s="80"/>
      <c r="B39" s="80"/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</row>
    <row r="40" spans="1:28" s="79" customFormat="1" ht="15" customHeight="1" x14ac:dyDescent="0.25">
      <c r="A40" s="80"/>
      <c r="B40" s="80"/>
      <c r="C40" s="80"/>
      <c r="D40" s="80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</row>
    <row r="41" spans="1:28" s="79" customFormat="1" ht="15" customHeight="1" x14ac:dyDescent="0.25">
      <c r="A41" s="80"/>
      <c r="B41" s="80"/>
      <c r="C41" s="80"/>
      <c r="D41" s="80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</row>
    <row r="42" spans="1:28" s="79" customFormat="1" ht="15" customHeight="1" x14ac:dyDescent="0.25">
      <c r="A42" s="80"/>
      <c r="B42" s="80"/>
      <c r="C42" s="80"/>
      <c r="D42" s="80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</row>
    <row r="43" spans="1:28" s="79" customFormat="1" ht="15" customHeight="1" x14ac:dyDescent="0.25">
      <c r="A43" s="80"/>
      <c r="B43" s="80"/>
      <c r="C43" s="80"/>
      <c r="D43" s="80"/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</row>
    <row r="44" spans="1:28" s="79" customFormat="1" ht="15" customHeight="1" x14ac:dyDescent="0.25">
      <c r="A44" s="80"/>
      <c r="B44" s="80"/>
      <c r="C44" s="80"/>
      <c r="D44" s="80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</row>
    <row r="45" spans="1:28" s="79" customFormat="1" ht="15" customHeight="1" x14ac:dyDescent="0.25">
      <c r="A45" s="80"/>
      <c r="B45" s="80"/>
      <c r="C45" s="80"/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</row>
    <row r="46" spans="1:28" s="79" customFormat="1" ht="15" customHeight="1" x14ac:dyDescent="0.25">
      <c r="A46" s="80"/>
      <c r="B46" s="80"/>
      <c r="C46" s="80"/>
      <c r="D46" s="80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</row>
    <row r="47" spans="1:28" s="79" customFormat="1" ht="15" customHeight="1" x14ac:dyDescent="0.25">
      <c r="A47" s="80"/>
      <c r="B47" s="80"/>
      <c r="C47" s="80"/>
      <c r="D47" s="80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</row>
    <row r="48" spans="1:28" s="79" customFormat="1" ht="15" customHeight="1" x14ac:dyDescent="0.25">
      <c r="A48" s="80"/>
      <c r="B48" s="80"/>
      <c r="C48" s="80"/>
      <c r="D48" s="80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</row>
    <row r="49" spans="1:28" s="79" customFormat="1" ht="15" customHeight="1" x14ac:dyDescent="0.25">
      <c r="A49" s="80"/>
      <c r="B49" s="80"/>
      <c r="C49" s="80"/>
      <c r="D49" s="80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</row>
    <row r="50" spans="1:28" s="79" customFormat="1" ht="15" customHeight="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</row>
    <row r="51" spans="1:28" s="79" customFormat="1" ht="15" customHeight="1" x14ac:dyDescent="0.25">
      <c r="A51" s="80"/>
      <c r="B51" s="80"/>
      <c r="C51" s="80"/>
      <c r="D51" s="80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</row>
    <row r="52" spans="1:28" s="79" customFormat="1" ht="15" customHeight="1" x14ac:dyDescent="0.25">
      <c r="A52" s="80"/>
      <c r="B52" s="80"/>
      <c r="C52" s="80"/>
      <c r="D52" s="80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</row>
    <row r="53" spans="1:28" s="79" customFormat="1" x14ac:dyDescent="0.25">
      <c r="A53" s="80"/>
      <c r="B53" s="80"/>
      <c r="C53" s="80"/>
      <c r="D53" s="80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</row>
    <row r="54" spans="1:28" x14ac:dyDescent="0.25">
      <c r="A54" s="80"/>
      <c r="B54" s="80"/>
      <c r="C54" s="80"/>
      <c r="D54" s="80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</row>
  </sheetData>
  <dataConsolidate/>
  <mergeCells count="1">
    <mergeCell ref="A1:AB54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1"/>
  <dimension ref="B3:H31"/>
  <sheetViews>
    <sheetView zoomScale="85" zoomScaleNormal="85" workbookViewId="0">
      <selection activeCell="C6" sqref="C6:D6"/>
    </sheetView>
  </sheetViews>
  <sheetFormatPr defaultColWidth="9.140625" defaultRowHeight="15" x14ac:dyDescent="0.25"/>
  <cols>
    <col min="2" max="2" width="40.7109375" customWidth="1"/>
    <col min="3" max="4" width="14.7109375" customWidth="1"/>
    <col min="6" max="6" width="40.7109375" customWidth="1"/>
    <col min="7" max="8" width="15.7109375" customWidth="1"/>
  </cols>
  <sheetData>
    <row r="3" spans="2:8" x14ac:dyDescent="0.25">
      <c r="B3" s="81" t="s">
        <v>0</v>
      </c>
      <c r="C3" s="82"/>
      <c r="D3" s="83"/>
      <c r="F3" s="88" t="s">
        <v>95</v>
      </c>
      <c r="G3" s="88"/>
      <c r="H3" s="88"/>
    </row>
    <row r="4" spans="2:8" x14ac:dyDescent="0.25">
      <c r="B4" s="42" t="s">
        <v>130</v>
      </c>
      <c r="C4" s="108" t="s">
        <v>132</v>
      </c>
      <c r="D4" s="109"/>
      <c r="F4" s="43" t="s">
        <v>92</v>
      </c>
      <c r="G4" s="44" t="str">
        <f>IF(AND(C6&lt;&gt;"",C14&lt;&gt;""),ATAN('Calcul setup'!L14*0.5/'Calcul setup'!D19)*180*2/PI(),"")</f>
        <v/>
      </c>
      <c r="H4" s="45"/>
    </row>
    <row r="5" spans="2:8" x14ac:dyDescent="0.25">
      <c r="B5" s="42" t="s">
        <v>118</v>
      </c>
      <c r="C5" s="108" t="s">
        <v>23</v>
      </c>
      <c r="D5" s="109"/>
      <c r="F5" s="42" t="s">
        <v>93</v>
      </c>
      <c r="G5" s="46" t="str">
        <f>IF(AND(C6&lt;&gt;"",C14&lt;&gt;""),ATAN('Calcul setup'!M14*0.5/'Calcul setup'!D19)*180*2/PI(),"")</f>
        <v/>
      </c>
      <c r="H5" s="47"/>
    </row>
    <row r="6" spans="2:8" x14ac:dyDescent="0.25">
      <c r="B6" s="42" t="s">
        <v>1</v>
      </c>
      <c r="C6" s="108"/>
      <c r="D6" s="109"/>
      <c r="F6" s="42" t="s">
        <v>94</v>
      </c>
      <c r="G6" s="46" t="str">
        <f>IF(AND(C6&lt;&gt;"",C14&lt;&gt;""),ATAN('Calcul setup'!N14*0.5/'Calcul setup'!D19)*180*2/PI(),"")</f>
        <v/>
      </c>
      <c r="H6" s="47"/>
    </row>
    <row r="7" spans="2:8" x14ac:dyDescent="0.25">
      <c r="B7" s="42" t="s">
        <v>5</v>
      </c>
      <c r="C7" s="110" t="str">
        <f>IF($C6&lt;&gt;"",'Calcul setup'!C14,"")</f>
        <v/>
      </c>
      <c r="D7" s="111"/>
      <c r="F7" s="42"/>
      <c r="G7" s="48"/>
      <c r="H7" s="49"/>
    </row>
    <row r="8" spans="2:8" x14ac:dyDescent="0.25">
      <c r="B8" s="42" t="str">
        <f>'Filtre Cameres'!Q1</f>
        <v>Resolution (MP)</v>
      </c>
      <c r="C8" s="114" t="str">
        <f>'Calcul setup'!Q14</f>
        <v/>
      </c>
      <c r="D8" s="115"/>
      <c r="F8" s="42" t="s">
        <v>101</v>
      </c>
      <c r="G8" s="50" t="e">
        <f>'Calcul setup'!H9</f>
        <v>#VALUE!</v>
      </c>
      <c r="H8" s="47"/>
    </row>
    <row r="9" spans="2:8" x14ac:dyDescent="0.25">
      <c r="B9" s="42" t="s">
        <v>2</v>
      </c>
      <c r="C9" s="51" t="str">
        <f>'Calcul setup'!E14</f>
        <v/>
      </c>
      <c r="D9" s="52" t="str">
        <f>'Calcul setup'!F14</f>
        <v/>
      </c>
      <c r="F9" s="42" t="s">
        <v>106</v>
      </c>
      <c r="G9" s="53" t="e">
        <f>'Calcul setup'!J9</f>
        <v>#VALUE!</v>
      </c>
      <c r="H9" s="47"/>
    </row>
    <row r="10" spans="2:8" x14ac:dyDescent="0.25">
      <c r="B10" s="42" t="s">
        <v>3</v>
      </c>
      <c r="C10" s="116" t="str">
        <f>'Calcul setup'!G14</f>
        <v/>
      </c>
      <c r="D10" s="117"/>
      <c r="F10" s="42" t="s">
        <v>108</v>
      </c>
      <c r="G10" s="53" t="e">
        <f>'Calcul setup'!D9</f>
        <v>#VALUE!</v>
      </c>
      <c r="H10" s="54" t="e">
        <f>'Calcul setup'!E9</f>
        <v>#VALUE!</v>
      </c>
    </row>
    <row r="11" spans="2:8" x14ac:dyDescent="0.25">
      <c r="B11" s="55" t="s">
        <v>4</v>
      </c>
      <c r="C11" s="118" t="str">
        <f>'Calcul setup'!T14</f>
        <v/>
      </c>
      <c r="D11" s="119"/>
      <c r="F11" s="42" t="s">
        <v>100</v>
      </c>
      <c r="G11" s="53" t="e">
        <f>'Calcul setup'!G9</f>
        <v>#VALUE!</v>
      </c>
      <c r="H11" s="47"/>
    </row>
    <row r="12" spans="2:8" x14ac:dyDescent="0.25">
      <c r="F12" s="42" t="s">
        <v>110</v>
      </c>
      <c r="G12" s="56" t="e">
        <f>'Calcul setup'!F9</f>
        <v>#VALUE!</v>
      </c>
      <c r="H12" s="47"/>
    </row>
    <row r="13" spans="2:8" x14ac:dyDescent="0.25">
      <c r="B13" s="120" t="s">
        <v>26</v>
      </c>
      <c r="C13" s="121"/>
      <c r="D13" s="122"/>
      <c r="F13" s="42" t="s">
        <v>119</v>
      </c>
      <c r="G13" s="53" t="e">
        <f>'Calcul setup'!L9</f>
        <v>#N/A</v>
      </c>
      <c r="H13" s="47"/>
    </row>
    <row r="14" spans="2:8" x14ac:dyDescent="0.25">
      <c r="B14" s="42" t="s">
        <v>1</v>
      </c>
      <c r="C14" s="108" t="s">
        <v>61</v>
      </c>
      <c r="D14" s="109"/>
      <c r="F14" s="42" t="s">
        <v>121</v>
      </c>
      <c r="G14" s="53" t="e">
        <f>'Calcul setup'!M9</f>
        <v>#N/A</v>
      </c>
      <c r="H14" s="47"/>
    </row>
    <row r="15" spans="2:8" x14ac:dyDescent="0.25">
      <c r="B15" s="42" t="s">
        <v>5</v>
      </c>
      <c r="C15" s="110" t="e">
        <f>IF($C$14&lt;&gt;"",'Calcul setup'!C19,"")</f>
        <v>#N/A</v>
      </c>
      <c r="D15" s="111"/>
      <c r="F15" s="55" t="s">
        <v>125</v>
      </c>
      <c r="G15" s="57" t="e">
        <f>'Calcul setup'!N9</f>
        <v>#N/A</v>
      </c>
      <c r="H15" s="58" t="e">
        <f>'Calcul setup'!O9</f>
        <v>#N/A</v>
      </c>
    </row>
    <row r="16" spans="2:8" x14ac:dyDescent="0.25">
      <c r="B16" s="42" t="s">
        <v>24</v>
      </c>
      <c r="C16" s="123" t="e">
        <f>IF($C$14&lt;&gt;"",'Calcul setup'!D19,"")</f>
        <v>#N/A</v>
      </c>
      <c r="D16" s="124"/>
    </row>
    <row r="17" spans="2:8" x14ac:dyDescent="0.25">
      <c r="B17" s="42" t="s">
        <v>205</v>
      </c>
      <c r="C17" s="110" t="str">
        <f>IF($C$14&lt;&gt;"",'Calcul setup'!J14,"")</f>
        <v/>
      </c>
      <c r="D17" s="111"/>
    </row>
    <row r="18" spans="2:8" x14ac:dyDescent="0.25">
      <c r="B18" s="42" t="s">
        <v>216</v>
      </c>
      <c r="C18" s="125" t="e">
        <f>'Calcul setup'!F19</f>
        <v>#N/A</v>
      </c>
      <c r="D18" s="126"/>
    </row>
    <row r="19" spans="2:8" x14ac:dyDescent="0.25">
      <c r="B19" s="42" t="s">
        <v>103</v>
      </c>
      <c r="C19" s="108">
        <v>4</v>
      </c>
      <c r="D19" s="109"/>
      <c r="F19" s="88" t="s">
        <v>215</v>
      </c>
      <c r="G19" s="88"/>
      <c r="H19" s="88"/>
    </row>
    <row r="20" spans="2:8" x14ac:dyDescent="0.25">
      <c r="B20" s="55" t="s">
        <v>126</v>
      </c>
      <c r="C20" s="112">
        <v>0</v>
      </c>
      <c r="D20" s="113"/>
      <c r="F20" s="89" t="s">
        <v>220</v>
      </c>
      <c r="G20" s="90"/>
      <c r="H20" s="91"/>
    </row>
    <row r="21" spans="2:8" x14ac:dyDescent="0.25">
      <c r="F21" s="92"/>
      <c r="G21" s="93"/>
      <c r="H21" s="94"/>
    </row>
    <row r="22" spans="2:8" x14ac:dyDescent="0.25">
      <c r="B22" s="81" t="s">
        <v>211</v>
      </c>
      <c r="C22" s="82"/>
      <c r="D22" s="83"/>
      <c r="F22" s="92"/>
      <c r="G22" s="93"/>
      <c r="H22" s="94"/>
    </row>
    <row r="23" spans="2:8" x14ac:dyDescent="0.25">
      <c r="B23" s="42" t="s">
        <v>89</v>
      </c>
      <c r="C23" s="102" t="s">
        <v>127</v>
      </c>
      <c r="D23" s="103"/>
      <c r="F23" s="92"/>
      <c r="G23" s="93"/>
      <c r="H23" s="94"/>
    </row>
    <row r="24" spans="2:8" x14ac:dyDescent="0.25">
      <c r="B24" s="42" t="str">
        <f>IF($C$23&lt;&gt;"",$C$23,"")</f>
        <v>Distancia a objectiu (des de PE)</v>
      </c>
      <c r="C24" s="104">
        <v>920</v>
      </c>
      <c r="D24" s="105"/>
      <c r="F24" s="92"/>
      <c r="G24" s="93"/>
      <c r="H24" s="94"/>
    </row>
    <row r="25" spans="2:8" x14ac:dyDescent="0.25">
      <c r="B25" s="55" t="str">
        <f>IF($C$23&lt;&gt;"",IF(C23=Constants!F3,Constants!F4,Constants!F3),"")</f>
        <v>Dimensió en x</v>
      </c>
      <c r="C25" s="106" t="e">
        <f>IF($C$23&lt;&gt;"",IF(C23=Constants!F3,'Calcul setup'!D7,'Calcul setup'!C8),"")</f>
        <v>#VALUE!</v>
      </c>
      <c r="D25" s="107"/>
      <c r="F25" s="92"/>
      <c r="G25" s="93"/>
      <c r="H25" s="94"/>
    </row>
    <row r="26" spans="2:8" x14ac:dyDescent="0.25">
      <c r="B26" t="s">
        <v>128</v>
      </c>
      <c r="F26" s="92"/>
      <c r="G26" s="93"/>
      <c r="H26" s="94"/>
    </row>
    <row r="27" spans="2:8" x14ac:dyDescent="0.25">
      <c r="F27" s="92"/>
      <c r="G27" s="93"/>
      <c r="H27" s="94"/>
    </row>
    <row r="28" spans="2:8" x14ac:dyDescent="0.25">
      <c r="B28" s="81" t="s">
        <v>212</v>
      </c>
      <c r="C28" s="82"/>
      <c r="D28" s="83"/>
      <c r="F28" s="95"/>
      <c r="G28" s="96"/>
      <c r="H28" s="97"/>
    </row>
    <row r="29" spans="2:8" x14ac:dyDescent="0.25">
      <c r="B29" s="42" t="s">
        <v>214</v>
      </c>
      <c r="C29" s="84">
        <v>5</v>
      </c>
      <c r="D29" s="85"/>
      <c r="F29" s="43" t="s">
        <v>217</v>
      </c>
      <c r="G29" s="98">
        <v>0</v>
      </c>
      <c r="H29" s="99"/>
    </row>
    <row r="30" spans="2:8" x14ac:dyDescent="0.25">
      <c r="B30" s="55" t="s">
        <v>213</v>
      </c>
      <c r="C30" s="86">
        <v>20</v>
      </c>
      <c r="D30" s="87"/>
      <c r="F30" s="55" t="s">
        <v>218</v>
      </c>
      <c r="G30" s="100">
        <v>0</v>
      </c>
      <c r="H30" s="101"/>
    </row>
    <row r="31" spans="2:8" ht="15" customHeight="1" x14ac:dyDescent="0.25"/>
  </sheetData>
  <sheetProtection sheet="1" objects="1" scenarios="1"/>
  <protectedRanges>
    <protectedRange sqref="C14:D14 C23:D24 C4:D6 C29:D30 C18:D20" name="editable"/>
  </protectedRanges>
  <mergeCells count="28">
    <mergeCell ref="C17:D17"/>
    <mergeCell ref="C14:D14"/>
    <mergeCell ref="C15:D15"/>
    <mergeCell ref="C20:D20"/>
    <mergeCell ref="F3:H3"/>
    <mergeCell ref="B3:D3"/>
    <mergeCell ref="C6:D6"/>
    <mergeCell ref="C8:D8"/>
    <mergeCell ref="C10:D10"/>
    <mergeCell ref="C11:D11"/>
    <mergeCell ref="C7:D7"/>
    <mergeCell ref="C5:D5"/>
    <mergeCell ref="B13:D13"/>
    <mergeCell ref="C16:D16"/>
    <mergeCell ref="C4:D4"/>
    <mergeCell ref="C18:D18"/>
    <mergeCell ref="B28:D28"/>
    <mergeCell ref="C29:D29"/>
    <mergeCell ref="C30:D30"/>
    <mergeCell ref="F19:H19"/>
    <mergeCell ref="F20:H28"/>
    <mergeCell ref="G29:H29"/>
    <mergeCell ref="G30:H30"/>
    <mergeCell ref="B22:D22"/>
    <mergeCell ref="C23:D23"/>
    <mergeCell ref="C24:D24"/>
    <mergeCell ref="C25:D25"/>
    <mergeCell ref="C19:D19"/>
  </mergeCells>
  <conditionalFormatting sqref="C9:D9">
    <cfRule type="cellIs" dxfId="4" priority="5" operator="equal">
      <formula>0</formula>
    </cfRule>
  </conditionalFormatting>
  <conditionalFormatting sqref="G5:H6">
    <cfRule type="expression" dxfId="3" priority="4">
      <formula>$C$4="Lineal"</formula>
    </cfRule>
  </conditionalFormatting>
  <conditionalFormatting sqref="F20:H28">
    <cfRule type="expression" dxfId="2" priority="1">
      <formula>$G$29&gt;0</formula>
    </cfRule>
    <cfRule type="expression" dxfId="1" priority="2">
      <formula>$G$30&gt;0</formula>
    </cfRule>
    <cfRule type="expression" dxfId="0" priority="3">
      <formula>($G$29+$G$30)&lt;1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A4689B68-2935-4988-BE64-235A0FF3E760}">
          <x14:formula1>
            <xm:f>Constants!$B$3:$B$4</xm:f>
          </x14:formula1>
          <xm:sqref>C5:D5</xm:sqref>
        </x14:dataValidation>
        <x14:dataValidation type="list" allowBlank="1" showInputMessage="1" showErrorMessage="1" xr:uid="{A4675B04-91C4-4F1F-A773-3575DD1C5DAC}">
          <x14:formula1>
            <xm:f>'Filtre Cameres'!$B$2:$B$1646</xm:f>
          </x14:formula1>
          <xm:sqref>C6:D6</xm:sqref>
        </x14:dataValidation>
        <x14:dataValidation type="list" allowBlank="1" showInputMessage="1" showErrorMessage="1" xr:uid="{FFF39B86-88C7-4378-B983-A3A4E3753928}">
          <x14:formula1>
            <xm:f>Constants!$F$3:$F$4</xm:f>
          </x14:formula1>
          <xm:sqref>C23:D23</xm:sqref>
        </x14:dataValidation>
        <x14:dataValidation type="list" allowBlank="1" showInputMessage="1" showErrorMessage="1" xr:uid="{790ED46E-6F27-42CF-A0E3-5247E9D5BCDB}">
          <x14:formula1>
            <xm:f>Constants!$G$3:$G$16</xm:f>
          </x14:formula1>
          <xm:sqref>C19:D19</xm:sqref>
        </x14:dataValidation>
        <x14:dataValidation type="list" allowBlank="1" showInputMessage="1" showErrorMessage="1" xr:uid="{9411F287-5C93-4C92-AA38-D746EC47BB46}">
          <x14:formula1>
            <xm:f>Constants!$A$3:$A$4</xm:f>
          </x14:formula1>
          <xm:sqref>C4:D5</xm:sqref>
        </x14:dataValidation>
        <x14:dataValidation type="list" allowBlank="1" showInputMessage="1" showErrorMessage="1" xr:uid="{170EDBC6-3BE3-4850-995E-FBEB9C97844B}">
          <x14:formula1>
            <xm:f>'Filtre Òptiques'!$B$2:$B$210</xm:f>
          </x14:formula1>
          <xm:sqref>C14:D14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BD97-671E-41C0-967F-3C71CBCF9824}">
  <sheetPr codeName="Full2"/>
  <dimension ref="B1:T1646"/>
  <sheetViews>
    <sheetView topLeftCell="A8" workbookViewId="0">
      <selection activeCell="K36" sqref="K36"/>
    </sheetView>
  </sheetViews>
  <sheetFormatPr defaultColWidth="11.5703125" defaultRowHeight="15" x14ac:dyDescent="0.25"/>
  <cols>
    <col min="2" max="2" width="20.7109375" customWidth="1"/>
    <col min="3" max="3" width="34.140625" customWidth="1"/>
    <col min="4" max="4" width="20.7109375" style="9" customWidth="1"/>
    <col min="5" max="7" width="20.7109375" customWidth="1"/>
    <col min="8" max="10" width="20.7109375" style="23" customWidth="1"/>
    <col min="11" max="11" width="20.7109375" style="7" customWidth="1"/>
    <col min="12" max="15" width="20.7109375" customWidth="1"/>
    <col min="16" max="16" width="20.7109375" style="8" customWidth="1"/>
    <col min="17" max="19" width="20.7109375" customWidth="1"/>
    <col min="20" max="20" width="12.7109375" style="23" customWidth="1"/>
  </cols>
  <sheetData>
    <row r="1" spans="2:20" ht="30" x14ac:dyDescent="0.25">
      <c r="B1" s="24" t="s">
        <v>1</v>
      </c>
      <c r="C1" s="24" t="s">
        <v>5</v>
      </c>
      <c r="D1" s="28" t="s">
        <v>6</v>
      </c>
      <c r="E1" s="24" t="s">
        <v>7</v>
      </c>
      <c r="F1" s="24" t="s">
        <v>8</v>
      </c>
      <c r="G1" s="24" t="s">
        <v>9</v>
      </c>
      <c r="H1" s="24" t="s">
        <v>147</v>
      </c>
      <c r="I1" s="24" t="s">
        <v>148</v>
      </c>
      <c r="J1" s="24" t="s">
        <v>134</v>
      </c>
      <c r="K1" s="29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30" t="s">
        <v>15</v>
      </c>
      <c r="Q1" s="24" t="s">
        <v>204</v>
      </c>
      <c r="R1" s="24" t="s">
        <v>16</v>
      </c>
      <c r="S1" s="24" t="s">
        <v>17</v>
      </c>
      <c r="T1" s="24" t="s">
        <v>27</v>
      </c>
    </row>
    <row r="2" spans="2:20" s="5" customFormat="1" ht="20.100000000000001" customHeight="1" x14ac:dyDescent="0.25">
      <c r="B2" s="4"/>
      <c r="C2" s="4" t="s">
        <v>18</v>
      </c>
      <c r="D2" s="14"/>
      <c r="E2" s="4"/>
      <c r="F2" s="4"/>
      <c r="G2" s="4"/>
      <c r="H2" s="21"/>
      <c r="I2" s="21"/>
      <c r="J2" s="21"/>
      <c r="K2" s="6"/>
      <c r="L2" s="4"/>
      <c r="M2" s="4"/>
      <c r="N2" s="4"/>
      <c r="O2" s="4"/>
      <c r="P2" s="15"/>
      <c r="Q2" s="4"/>
      <c r="R2" s="4"/>
      <c r="S2" s="4"/>
      <c r="T2" s="21"/>
    </row>
    <row r="3" spans="2:20" x14ac:dyDescent="0.25">
      <c r="B3" s="59" t="s">
        <v>19</v>
      </c>
      <c r="C3" s="59" t="s">
        <v>116</v>
      </c>
      <c r="D3" s="60">
        <v>3.45</v>
      </c>
      <c r="E3" s="59">
        <v>2448</v>
      </c>
      <c r="F3" s="59">
        <v>2048</v>
      </c>
      <c r="G3" s="59">
        <v>48.3</v>
      </c>
      <c r="H3" s="61" t="s">
        <v>149</v>
      </c>
      <c r="I3" s="61" t="s">
        <v>21</v>
      </c>
      <c r="J3" s="61" t="s">
        <v>136</v>
      </c>
      <c r="K3" s="62">
        <v>0.6</v>
      </c>
      <c r="L3" s="10">
        <f t="shared" ref="L3" si="0">IF($D3&lt;&gt;"",$D3*$E3/1000,"")</f>
        <v>8.4456000000000007</v>
      </c>
      <c r="M3" s="10">
        <f t="shared" ref="M3" si="1">IF($D3&lt;&gt;"",$D3*$F3/1000,"")</f>
        <v>7.0656000000000008</v>
      </c>
      <c r="N3" s="11">
        <f t="shared" ref="N3" si="2">IF($L3&lt;&gt;"",SQRT($L3*$L3+$M3*$M3),"")</f>
        <v>11.011396946800167</v>
      </c>
      <c r="O3" s="10">
        <f t="shared" ref="O3" si="3">IF(D3&lt;&gt;"",1000/(2*D3),"")</f>
        <v>144.92753623188406</v>
      </c>
      <c r="P3" s="12">
        <f t="shared" ref="P3" si="4">IF($N3&lt;&gt;"",D3*SQRT(E3*E3+F3*F3)/16000,"")</f>
        <v>0.68821230917501031</v>
      </c>
      <c r="Q3" s="10">
        <f t="shared" ref="Q3" si="5">IF(F3&lt;&gt;"",F3*E3/1000000,"")</f>
        <v>5.0135040000000002</v>
      </c>
      <c r="R3" s="13">
        <f t="shared" ref="R3" si="6">IF(G3&lt;&gt;"",1000/G3,"")</f>
        <v>20.703933747412009</v>
      </c>
      <c r="S3" s="13">
        <f t="shared" ref="S3" si="7">IF(R3&lt;&gt;"",Q3/R3*1000,"")</f>
        <v>242.15224320000002</v>
      </c>
      <c r="T3" s="22" t="str">
        <f>IF(R3&lt;&gt;"",VLOOKUP(P3,Constants!$D$3:$E$10,2),"")</f>
        <v>2/3</v>
      </c>
    </row>
    <row r="4" spans="2:20" x14ac:dyDescent="0.25">
      <c r="B4" s="59"/>
      <c r="C4" s="59"/>
      <c r="D4" s="60"/>
      <c r="E4" s="59"/>
      <c r="F4" s="59"/>
      <c r="G4" s="59"/>
      <c r="H4" s="61"/>
      <c r="I4" s="61"/>
      <c r="J4" s="61"/>
      <c r="K4" s="62"/>
    </row>
    <row r="5" spans="2:20" x14ac:dyDescent="0.25">
      <c r="B5" s="59"/>
      <c r="C5" s="59"/>
      <c r="D5" s="60"/>
      <c r="E5" s="59"/>
      <c r="F5" s="59"/>
      <c r="G5" s="59"/>
      <c r="H5" s="61"/>
      <c r="I5" s="61"/>
      <c r="J5" s="61"/>
      <c r="K5" s="62"/>
    </row>
    <row r="6" spans="2:20" s="5" customFormat="1" ht="20.100000000000001" customHeight="1" x14ac:dyDescent="0.25">
      <c r="B6" s="63"/>
      <c r="C6" s="63" t="s">
        <v>20</v>
      </c>
      <c r="D6" s="64"/>
      <c r="E6" s="63"/>
      <c r="F6" s="63"/>
      <c r="G6" s="63"/>
      <c r="H6" s="65"/>
      <c r="I6" s="65"/>
      <c r="J6" s="65"/>
      <c r="K6" s="66"/>
      <c r="L6" s="4"/>
      <c r="M6" s="4"/>
      <c r="N6" s="4"/>
      <c r="O6" s="4"/>
      <c r="P6" s="15"/>
      <c r="Q6" s="4"/>
      <c r="R6" s="4"/>
      <c r="S6" s="4"/>
      <c r="T6" s="21"/>
    </row>
    <row r="7" spans="2:20" x14ac:dyDescent="0.25">
      <c r="B7" s="59" t="s">
        <v>160</v>
      </c>
      <c r="C7" s="59" t="s">
        <v>151</v>
      </c>
      <c r="D7" s="60">
        <v>6.9</v>
      </c>
      <c r="E7" s="59">
        <v>728</v>
      </c>
      <c r="F7" s="59">
        <v>544</v>
      </c>
      <c r="G7" s="59">
        <v>286</v>
      </c>
      <c r="H7" s="61" t="s">
        <v>149</v>
      </c>
      <c r="I7" s="61" t="s">
        <v>23</v>
      </c>
      <c r="J7" s="61" t="s">
        <v>136</v>
      </c>
      <c r="K7" s="62">
        <v>0.68</v>
      </c>
      <c r="L7" s="10">
        <f t="shared" ref="L7:L81" si="8">IF($D7&lt;&gt;"",$D7*$E7/1000,"")</f>
        <v>5.0232000000000001</v>
      </c>
      <c r="M7" s="10">
        <f t="shared" ref="M7:M81" si="9">IF($D7&lt;&gt;"",$D7*$F7/1000,"")</f>
        <v>3.7536000000000005</v>
      </c>
      <c r="N7" s="11">
        <f t="shared" ref="N7:N22" si="10">IF($L7&lt;&gt;"",SQRT($L7*$L7+$M7*$M7),"")</f>
        <v>6.2707297183023289</v>
      </c>
      <c r="O7" s="10">
        <f t="shared" ref="O7" si="11">IF(D7&lt;&gt;"",1000/(2*D7),"")</f>
        <v>72.463768115942031</v>
      </c>
      <c r="P7" s="12">
        <f t="shared" ref="P7" si="12">IF($N7&lt;&gt;"",D7*SQRT(E7*E7+F7*F7)/16000,"")</f>
        <v>0.39192060739389556</v>
      </c>
      <c r="Q7" s="10">
        <f t="shared" ref="Q7" si="13">IF(F7&lt;&gt;"",F7*E7/1000000,"")</f>
        <v>0.396032</v>
      </c>
      <c r="R7" s="13">
        <f t="shared" ref="R7" si="14">IF(G7&lt;&gt;"",1000/G7,"")</f>
        <v>3.4965034965034967</v>
      </c>
      <c r="S7" s="13">
        <f t="shared" ref="S7" si="15">IF(R7&lt;&gt;"",Q7/R7*1000,"")</f>
        <v>113.265152</v>
      </c>
      <c r="T7" s="22" t="str">
        <f>IF(R7&lt;&gt;"",VLOOKUP(P7,Constants!$D$3:$E$10,2),"")</f>
        <v>1/3</v>
      </c>
    </row>
    <row r="8" spans="2:20" x14ac:dyDescent="0.25">
      <c r="B8" s="59" t="s">
        <v>167</v>
      </c>
      <c r="C8" s="59" t="s">
        <v>159</v>
      </c>
      <c r="D8" s="60">
        <v>6.9</v>
      </c>
      <c r="E8" s="59">
        <v>728</v>
      </c>
      <c r="F8" s="59">
        <v>544</v>
      </c>
      <c r="G8" s="59">
        <v>286</v>
      </c>
      <c r="H8" s="61" t="s">
        <v>149</v>
      </c>
      <c r="I8" s="61" t="s">
        <v>21</v>
      </c>
      <c r="J8" s="61" t="s">
        <v>136</v>
      </c>
      <c r="K8" s="62">
        <v>0.68</v>
      </c>
      <c r="L8" s="10">
        <f t="shared" si="8"/>
        <v>5.0232000000000001</v>
      </c>
      <c r="M8" s="10">
        <f t="shared" si="9"/>
        <v>3.7536000000000005</v>
      </c>
      <c r="N8" s="11">
        <f t="shared" si="10"/>
        <v>6.2707297183023289</v>
      </c>
      <c r="O8" s="10">
        <f t="shared" ref="O8" si="16">IF(D8&lt;&gt;"",1000/(2*D8),"")</f>
        <v>72.463768115942031</v>
      </c>
      <c r="P8" s="12">
        <f t="shared" ref="P8" si="17">IF($N8&lt;&gt;"",D8*SQRT(E8*E8+F8*F8)/16000,"")</f>
        <v>0.39192060739389556</v>
      </c>
      <c r="Q8" s="10">
        <f t="shared" ref="Q8" si="18">IF(F8&lt;&gt;"",F8*E8/1000000,"")</f>
        <v>0.396032</v>
      </c>
      <c r="R8" s="13">
        <f t="shared" ref="R8" si="19">IF(G8&lt;&gt;"",1000/G8,"")</f>
        <v>3.4965034965034967</v>
      </c>
      <c r="S8" s="13">
        <f t="shared" ref="S8" si="20">IF(R8&lt;&gt;"",Q8/R8*1000,"")</f>
        <v>113.265152</v>
      </c>
      <c r="T8" s="22" t="str">
        <f>IF(R8&lt;&gt;"",VLOOKUP(P8,Constants!$D$3:$E$10,2),"")</f>
        <v>1/3</v>
      </c>
    </row>
    <row r="9" spans="2:20" x14ac:dyDescent="0.25">
      <c r="B9" s="59" t="s">
        <v>161</v>
      </c>
      <c r="C9" s="59" t="s">
        <v>152</v>
      </c>
      <c r="D9" s="60">
        <v>9</v>
      </c>
      <c r="E9" s="59">
        <v>812</v>
      </c>
      <c r="F9" s="59">
        <v>620</v>
      </c>
      <c r="G9" s="59">
        <v>166</v>
      </c>
      <c r="H9" s="61" t="s">
        <v>149</v>
      </c>
      <c r="I9" s="61" t="s">
        <v>23</v>
      </c>
      <c r="J9" s="61" t="s">
        <v>136</v>
      </c>
      <c r="K9" s="62">
        <v>0.73</v>
      </c>
      <c r="L9" s="10">
        <f t="shared" si="8"/>
        <v>7.3079999999999998</v>
      </c>
      <c r="M9" s="10">
        <f t="shared" si="9"/>
        <v>5.58</v>
      </c>
      <c r="N9" s="11">
        <f t="shared" si="10"/>
        <v>9.1947411056538186</v>
      </c>
      <c r="O9" s="10">
        <f t="shared" ref="O9" si="21">IF(D9&lt;&gt;"",1000/(2*D9),"")</f>
        <v>55.555555555555557</v>
      </c>
      <c r="P9" s="12">
        <f t="shared" ref="P9" si="22">IF($N9&lt;&gt;"",D9*SQRT(E9*E9+F9*F9)/16000,"")</f>
        <v>0.57467131910336366</v>
      </c>
      <c r="Q9" s="10">
        <f t="shared" ref="Q9" si="23">IF(F9&lt;&gt;"",F9*E9/1000000,"")</f>
        <v>0.50344</v>
      </c>
      <c r="R9" s="13">
        <f t="shared" ref="R9" si="24">IF(G9&lt;&gt;"",1000/G9,"")</f>
        <v>6.024096385542169</v>
      </c>
      <c r="S9" s="13">
        <f t="shared" ref="S9" si="25">IF(R9&lt;&gt;"",Q9/R9*1000,"")</f>
        <v>83.571039999999996</v>
      </c>
      <c r="T9" s="22" t="str">
        <f>IF(R9&lt;&gt;"",VLOOKUP(P9,Constants!$D$3:$E$10,2),"")</f>
        <v>1/1,8</v>
      </c>
    </row>
    <row r="10" spans="2:20" x14ac:dyDescent="0.25">
      <c r="B10" s="59" t="s">
        <v>168</v>
      </c>
      <c r="C10" s="59" t="s">
        <v>169</v>
      </c>
      <c r="D10" s="60">
        <v>9</v>
      </c>
      <c r="E10" s="59">
        <v>812</v>
      </c>
      <c r="F10" s="59">
        <v>620</v>
      </c>
      <c r="G10" s="59">
        <v>166</v>
      </c>
      <c r="H10" s="61" t="s">
        <v>149</v>
      </c>
      <c r="I10" s="61" t="s">
        <v>21</v>
      </c>
      <c r="J10" s="61" t="s">
        <v>136</v>
      </c>
      <c r="K10" s="62">
        <v>0.73</v>
      </c>
      <c r="L10" s="10">
        <f t="shared" si="8"/>
        <v>7.3079999999999998</v>
      </c>
      <c r="M10" s="10">
        <f t="shared" si="9"/>
        <v>5.58</v>
      </c>
      <c r="N10" s="11">
        <f t="shared" si="10"/>
        <v>9.1947411056538186</v>
      </c>
      <c r="O10" s="10">
        <f t="shared" ref="O10" si="26">IF(D10&lt;&gt;"",1000/(2*D10),"")</f>
        <v>55.555555555555557</v>
      </c>
      <c r="P10" s="12">
        <f t="shared" ref="P10" si="27">IF($N10&lt;&gt;"",D10*SQRT(E10*E10+F10*F10)/16000,"")</f>
        <v>0.57467131910336366</v>
      </c>
      <c r="Q10" s="10">
        <f t="shared" ref="Q10" si="28">IF(F10&lt;&gt;"",F10*E10/1000000,"")</f>
        <v>0.50344</v>
      </c>
      <c r="R10" s="13">
        <f t="shared" ref="R10" si="29">IF(G10&lt;&gt;"",1000/G10,"")</f>
        <v>6.024096385542169</v>
      </c>
      <c r="S10" s="13">
        <f t="shared" ref="S10" si="30">IF(R10&lt;&gt;"",Q10/R10*1000,"")</f>
        <v>83.571039999999996</v>
      </c>
      <c r="T10" s="22" t="str">
        <f>IF(R10&lt;&gt;"",VLOOKUP(P10,Constants!$D$3:$E$10,2),"")</f>
        <v>1/1,8</v>
      </c>
    </row>
    <row r="11" spans="2:20" x14ac:dyDescent="0.25">
      <c r="B11" s="59" t="s">
        <v>162</v>
      </c>
      <c r="C11" s="59" t="s">
        <v>153</v>
      </c>
      <c r="D11" s="60">
        <v>3.45</v>
      </c>
      <c r="E11" s="59">
        <v>1440</v>
      </c>
      <c r="F11" s="59">
        <v>1080</v>
      </c>
      <c r="G11" s="59">
        <v>71.599999999999994</v>
      </c>
      <c r="H11" s="61" t="s">
        <v>149</v>
      </c>
      <c r="I11" s="61" t="s">
        <v>23</v>
      </c>
      <c r="J11" s="61" t="s">
        <v>136</v>
      </c>
      <c r="K11" s="62">
        <v>0.68</v>
      </c>
      <c r="L11" s="10">
        <f t="shared" si="8"/>
        <v>4.968</v>
      </c>
      <c r="M11" s="10">
        <f t="shared" si="9"/>
        <v>3.726</v>
      </c>
      <c r="N11" s="11">
        <f t="shared" si="10"/>
        <v>6.21</v>
      </c>
      <c r="O11" s="10">
        <f t="shared" ref="O11:O21" si="31">IF(D11&lt;&gt;"",1000/(2*D11),"")</f>
        <v>144.92753623188406</v>
      </c>
      <c r="P11" s="12">
        <f t="shared" ref="P11:P21" si="32">IF($N11&lt;&gt;"",D11*SQRT(E11*E11+F11*F11)/16000,"")</f>
        <v>0.388125</v>
      </c>
      <c r="Q11" s="10">
        <f t="shared" ref="Q11:Q21" si="33">IF(F11&lt;&gt;"",F11*E11/1000000,"")</f>
        <v>1.5551999999999999</v>
      </c>
      <c r="R11" s="13">
        <f t="shared" ref="R11:R21" si="34">IF(G11&lt;&gt;"",1000/G11,"")</f>
        <v>13.966480446927376</v>
      </c>
      <c r="S11" s="13">
        <f t="shared" ref="S11:S83" si="35">IF(R11&lt;&gt;"",Q11/R11*1000,"")</f>
        <v>111.35231999999998</v>
      </c>
      <c r="T11" s="22" t="str">
        <f>IF(R11&lt;&gt;"",VLOOKUP(P11,Constants!$D$3:$E$10,2),"")</f>
        <v>1/3</v>
      </c>
    </row>
    <row r="12" spans="2:20" x14ac:dyDescent="0.25">
      <c r="B12" s="59" t="s">
        <v>170</v>
      </c>
      <c r="C12" s="59" t="s">
        <v>171</v>
      </c>
      <c r="D12" s="60">
        <v>3.45</v>
      </c>
      <c r="E12" s="59">
        <v>1440</v>
      </c>
      <c r="F12" s="59">
        <v>1080</v>
      </c>
      <c r="G12" s="59">
        <v>71.599999999999994</v>
      </c>
      <c r="H12" s="61" t="s">
        <v>149</v>
      </c>
      <c r="I12" s="61" t="s">
        <v>21</v>
      </c>
      <c r="J12" s="61" t="s">
        <v>136</v>
      </c>
      <c r="K12" s="62">
        <v>0.68</v>
      </c>
      <c r="L12" s="10">
        <f t="shared" si="8"/>
        <v>4.968</v>
      </c>
      <c r="M12" s="10">
        <f t="shared" si="9"/>
        <v>3.726</v>
      </c>
      <c r="N12" s="11">
        <f t="shared" si="10"/>
        <v>6.21</v>
      </c>
      <c r="O12" s="10">
        <f t="shared" ref="O12" si="36">IF(D12&lt;&gt;"",1000/(2*D12),"")</f>
        <v>144.92753623188406</v>
      </c>
      <c r="P12" s="12">
        <f t="shared" ref="P12" si="37">IF($N12&lt;&gt;"",D12*SQRT(E12*E12+F12*F12)/16000,"")</f>
        <v>0.388125</v>
      </c>
      <c r="Q12" s="10">
        <f t="shared" ref="Q12" si="38">IF(F12&lt;&gt;"",F12*E12/1000000,"")</f>
        <v>1.5551999999999999</v>
      </c>
      <c r="R12" s="13">
        <f t="shared" ref="R12" si="39">IF(G12&lt;&gt;"",1000/G12,"")</f>
        <v>13.966480446927376</v>
      </c>
      <c r="S12" s="13">
        <f t="shared" ref="S12" si="40">IF(R12&lt;&gt;"",Q12/R12*1000,"")</f>
        <v>111.35231999999998</v>
      </c>
      <c r="T12" s="22" t="str">
        <f>IF(R12&lt;&gt;"",VLOOKUP(P12,Constants!$D$3:$E$10,2),"")</f>
        <v>1/3</v>
      </c>
    </row>
    <row r="13" spans="2:20" x14ac:dyDescent="0.25">
      <c r="B13" s="59" t="s">
        <v>163</v>
      </c>
      <c r="C13" s="59" t="s">
        <v>154</v>
      </c>
      <c r="D13" s="60">
        <v>3.45</v>
      </c>
      <c r="E13" s="59">
        <v>1920</v>
      </c>
      <c r="F13" s="59">
        <v>1200</v>
      </c>
      <c r="G13" s="59">
        <v>48.3</v>
      </c>
      <c r="H13" s="61" t="s">
        <v>149</v>
      </c>
      <c r="I13" s="61" t="s">
        <v>23</v>
      </c>
      <c r="J13" s="61" t="s">
        <v>136</v>
      </c>
      <c r="K13" s="62">
        <v>0.68</v>
      </c>
      <c r="L13" s="10">
        <f t="shared" si="8"/>
        <v>6.6239999999999997</v>
      </c>
      <c r="M13" s="10">
        <f t="shared" si="9"/>
        <v>4.1399999999999997</v>
      </c>
      <c r="N13" s="11">
        <f t="shared" si="10"/>
        <v>7.8113363773428679</v>
      </c>
      <c r="O13" s="10">
        <f t="shared" si="31"/>
        <v>144.92753623188406</v>
      </c>
      <c r="P13" s="12">
        <f t="shared" si="32"/>
        <v>0.48820852358392924</v>
      </c>
      <c r="Q13" s="10">
        <f t="shared" si="33"/>
        <v>2.3039999999999998</v>
      </c>
      <c r="R13" s="13">
        <f t="shared" si="34"/>
        <v>20.703933747412009</v>
      </c>
      <c r="S13" s="13">
        <f t="shared" si="35"/>
        <v>111.28319999999998</v>
      </c>
      <c r="T13" s="22" t="str">
        <f>IF(R13&lt;&gt;"",VLOOKUP(P13,Constants!$D$3:$E$10,2),"")</f>
        <v>1/3</v>
      </c>
    </row>
    <row r="14" spans="2:20" x14ac:dyDescent="0.25">
      <c r="B14" s="59" t="s">
        <v>172</v>
      </c>
      <c r="C14" s="59" t="s">
        <v>173</v>
      </c>
      <c r="D14" s="60">
        <v>3.45</v>
      </c>
      <c r="E14" s="59">
        <v>1920</v>
      </c>
      <c r="F14" s="59">
        <v>1200</v>
      </c>
      <c r="G14" s="59">
        <v>48.3</v>
      </c>
      <c r="H14" s="61" t="s">
        <v>149</v>
      </c>
      <c r="I14" s="61" t="s">
        <v>21</v>
      </c>
      <c r="J14" s="61" t="s">
        <v>136</v>
      </c>
      <c r="K14" s="62">
        <v>0.68</v>
      </c>
      <c r="L14" s="10">
        <f t="shared" si="8"/>
        <v>6.6239999999999997</v>
      </c>
      <c r="M14" s="10">
        <f t="shared" si="9"/>
        <v>4.1399999999999997</v>
      </c>
      <c r="N14" s="11">
        <f t="shared" si="10"/>
        <v>7.8113363773428679</v>
      </c>
      <c r="O14" s="10">
        <f t="shared" ref="O14" si="41">IF(D14&lt;&gt;"",1000/(2*D14),"")</f>
        <v>144.92753623188406</v>
      </c>
      <c r="P14" s="12">
        <f t="shared" ref="P14" si="42">IF($N14&lt;&gt;"",D14*SQRT(E14*E14+F14*F14)/16000,"")</f>
        <v>0.48820852358392924</v>
      </c>
      <c r="Q14" s="10">
        <f t="shared" ref="Q14" si="43">IF(F14&lt;&gt;"",F14*E14/1000000,"")</f>
        <v>2.3039999999999998</v>
      </c>
      <c r="R14" s="13">
        <f t="shared" ref="R14" si="44">IF(G14&lt;&gt;"",1000/G14,"")</f>
        <v>20.703933747412009</v>
      </c>
      <c r="S14" s="13">
        <f t="shared" ref="S14" si="45">IF(R14&lt;&gt;"",Q14/R14*1000,"")</f>
        <v>111.28319999999998</v>
      </c>
      <c r="T14" s="22" t="str">
        <f>IF(R14&lt;&gt;"",VLOOKUP(P14,Constants!$D$3:$E$10,2),"")</f>
        <v>1/3</v>
      </c>
    </row>
    <row r="15" spans="2:20" x14ac:dyDescent="0.25">
      <c r="B15" s="59" t="s">
        <v>164</v>
      </c>
      <c r="C15" s="59" t="s">
        <v>155</v>
      </c>
      <c r="D15" s="60">
        <v>4.5</v>
      </c>
      <c r="E15" s="59">
        <v>1936</v>
      </c>
      <c r="F15" s="59">
        <v>1464</v>
      </c>
      <c r="G15" s="59">
        <v>39.200000000000003</v>
      </c>
      <c r="H15" s="61" t="s">
        <v>149</v>
      </c>
      <c r="I15" s="61" t="s">
        <v>23</v>
      </c>
      <c r="J15" s="61" t="s">
        <v>136</v>
      </c>
      <c r="K15" s="62">
        <v>0.76</v>
      </c>
      <c r="L15" s="10">
        <f t="shared" si="8"/>
        <v>8.7119999999999997</v>
      </c>
      <c r="M15" s="10">
        <f t="shared" si="9"/>
        <v>6.5880000000000001</v>
      </c>
      <c r="N15" s="11">
        <f t="shared" si="10"/>
        <v>10.922485431439128</v>
      </c>
      <c r="O15" s="10">
        <f t="shared" si="31"/>
        <v>111.11111111111111</v>
      </c>
      <c r="P15" s="12">
        <f t="shared" si="32"/>
        <v>0.6826553394649455</v>
      </c>
      <c r="Q15" s="10">
        <f t="shared" si="33"/>
        <v>2.8343039999999999</v>
      </c>
      <c r="R15" s="13">
        <f t="shared" si="34"/>
        <v>25.510204081632651</v>
      </c>
      <c r="S15" s="13">
        <f t="shared" si="35"/>
        <v>111.10471680000001</v>
      </c>
      <c r="T15" s="22" t="str">
        <f>IF(R15&lt;&gt;"",VLOOKUP(P15,Constants!$D$3:$E$10,2),"")</f>
        <v>2/3</v>
      </c>
    </row>
    <row r="16" spans="2:20" x14ac:dyDescent="0.25">
      <c r="B16" s="59" t="s">
        <v>174</v>
      </c>
      <c r="C16" s="59" t="s">
        <v>175</v>
      </c>
      <c r="D16" s="60">
        <v>4.5</v>
      </c>
      <c r="E16" s="59">
        <v>1936</v>
      </c>
      <c r="F16" s="59">
        <v>1464</v>
      </c>
      <c r="G16" s="59">
        <v>39.200000000000003</v>
      </c>
      <c r="H16" s="61" t="s">
        <v>149</v>
      </c>
      <c r="I16" s="61" t="s">
        <v>21</v>
      </c>
      <c r="J16" s="61" t="s">
        <v>136</v>
      </c>
      <c r="K16" s="62">
        <v>0.76</v>
      </c>
      <c r="L16" s="10">
        <f t="shared" si="8"/>
        <v>8.7119999999999997</v>
      </c>
      <c r="M16" s="10">
        <f t="shared" si="9"/>
        <v>6.5880000000000001</v>
      </c>
      <c r="N16" s="11">
        <f t="shared" si="10"/>
        <v>10.922485431439128</v>
      </c>
      <c r="O16" s="10">
        <f t="shared" ref="O16" si="46">IF(D16&lt;&gt;"",1000/(2*D16),"")</f>
        <v>111.11111111111111</v>
      </c>
      <c r="P16" s="12">
        <f t="shared" ref="P16" si="47">IF($N16&lt;&gt;"",D16*SQRT(E16*E16+F16*F16)/16000,"")</f>
        <v>0.6826553394649455</v>
      </c>
      <c r="Q16" s="10">
        <f t="shared" ref="Q16" si="48">IF(F16&lt;&gt;"",F16*E16/1000000,"")</f>
        <v>2.8343039999999999</v>
      </c>
      <c r="R16" s="13">
        <f t="shared" ref="R16" si="49">IF(G16&lt;&gt;"",1000/G16,"")</f>
        <v>25.510204081632651</v>
      </c>
      <c r="S16" s="13">
        <f t="shared" ref="S16" si="50">IF(R16&lt;&gt;"",Q16/R16*1000,"")</f>
        <v>111.10471680000001</v>
      </c>
      <c r="T16" s="22" t="str">
        <f>IF(R16&lt;&gt;"",VLOOKUP(P16,Constants!$D$3:$E$10,2),"")</f>
        <v>2/3</v>
      </c>
    </row>
    <row r="17" spans="2:20" x14ac:dyDescent="0.25">
      <c r="B17" s="59" t="s">
        <v>165</v>
      </c>
      <c r="C17" s="59" t="s">
        <v>156</v>
      </c>
      <c r="D17" s="60">
        <v>3.45</v>
      </c>
      <c r="E17" s="59">
        <v>2048</v>
      </c>
      <c r="F17" s="59">
        <v>1536</v>
      </c>
      <c r="G17" s="59">
        <v>35.4</v>
      </c>
      <c r="H17" s="61" t="s">
        <v>149</v>
      </c>
      <c r="I17" s="61" t="s">
        <v>23</v>
      </c>
      <c r="J17" s="61" t="s">
        <v>136</v>
      </c>
      <c r="K17" s="62">
        <v>0.68</v>
      </c>
      <c r="L17" s="10">
        <f t="shared" si="8"/>
        <v>7.0656000000000008</v>
      </c>
      <c r="M17" s="10">
        <f t="shared" si="9"/>
        <v>5.2992000000000008</v>
      </c>
      <c r="N17" s="11">
        <f t="shared" si="10"/>
        <v>8.8320000000000007</v>
      </c>
      <c r="O17" s="10">
        <f t="shared" si="31"/>
        <v>144.92753623188406</v>
      </c>
      <c r="P17" s="12">
        <f t="shared" si="32"/>
        <v>0.55200000000000005</v>
      </c>
      <c r="Q17" s="10">
        <f t="shared" si="33"/>
        <v>3.1457280000000001</v>
      </c>
      <c r="R17" s="13">
        <f t="shared" si="34"/>
        <v>28.248587570621471</v>
      </c>
      <c r="S17" s="13">
        <f t="shared" si="35"/>
        <v>111.35877119999999</v>
      </c>
      <c r="T17" s="22" t="str">
        <f>IF(R17&lt;&gt;"",VLOOKUP(P17,Constants!$D$3:$E$10,2),"")</f>
        <v>1/2</v>
      </c>
    </row>
    <row r="18" spans="2:20" x14ac:dyDescent="0.25">
      <c r="B18" s="59" t="s">
        <v>176</v>
      </c>
      <c r="C18" s="59" t="s">
        <v>177</v>
      </c>
      <c r="D18" s="60">
        <v>3.45</v>
      </c>
      <c r="E18" s="59">
        <v>2048</v>
      </c>
      <c r="F18" s="59">
        <v>1536</v>
      </c>
      <c r="G18" s="59">
        <v>35.4</v>
      </c>
      <c r="H18" s="61" t="s">
        <v>149</v>
      </c>
      <c r="I18" s="61" t="s">
        <v>21</v>
      </c>
      <c r="J18" s="61" t="s">
        <v>136</v>
      </c>
      <c r="K18" s="62">
        <v>0.68</v>
      </c>
      <c r="L18" s="10">
        <f t="shared" si="8"/>
        <v>7.0656000000000008</v>
      </c>
      <c r="M18" s="10">
        <f t="shared" si="9"/>
        <v>5.2992000000000008</v>
      </c>
      <c r="N18" s="11">
        <f t="shared" si="10"/>
        <v>8.8320000000000007</v>
      </c>
      <c r="O18" s="10">
        <f t="shared" ref="O18" si="51">IF(D18&lt;&gt;"",1000/(2*D18),"")</f>
        <v>144.92753623188406</v>
      </c>
      <c r="P18" s="12">
        <f t="shared" ref="P18" si="52">IF($N18&lt;&gt;"",D18*SQRT(E18*E18+F18*F18)/16000,"")</f>
        <v>0.55200000000000005</v>
      </c>
      <c r="Q18" s="10">
        <f t="shared" ref="Q18" si="53">IF(F18&lt;&gt;"",F18*E18/1000000,"")</f>
        <v>3.1457280000000001</v>
      </c>
      <c r="R18" s="13">
        <f t="shared" ref="R18" si="54">IF(G18&lt;&gt;"",1000/G18,"")</f>
        <v>28.248587570621471</v>
      </c>
      <c r="S18" s="13">
        <f t="shared" ref="S18" si="55">IF(R18&lt;&gt;"",Q18/R18*1000,"")</f>
        <v>111.35877119999999</v>
      </c>
      <c r="T18" s="22" t="str">
        <f>IF(R18&lt;&gt;"",VLOOKUP(P18,Constants!$D$3:$E$10,2),"")</f>
        <v>1/2</v>
      </c>
    </row>
    <row r="19" spans="2:20" x14ac:dyDescent="0.25">
      <c r="B19" s="59" t="s">
        <v>166</v>
      </c>
      <c r="C19" s="59" t="s">
        <v>157</v>
      </c>
      <c r="D19" s="60">
        <v>3.45</v>
      </c>
      <c r="E19" s="59">
        <v>2448</v>
      </c>
      <c r="F19" s="59">
        <v>2048</v>
      </c>
      <c r="G19" s="59">
        <v>48.3</v>
      </c>
      <c r="H19" s="61" t="s">
        <v>149</v>
      </c>
      <c r="I19" s="61" t="s">
        <v>23</v>
      </c>
      <c r="J19" s="61" t="s">
        <v>136</v>
      </c>
      <c r="K19" s="62">
        <v>0.6</v>
      </c>
      <c r="L19" s="10">
        <f t="shared" si="8"/>
        <v>8.4456000000000007</v>
      </c>
      <c r="M19" s="10">
        <f t="shared" si="9"/>
        <v>7.0656000000000008</v>
      </c>
      <c r="N19" s="11">
        <f t="shared" si="10"/>
        <v>11.011396946800167</v>
      </c>
      <c r="O19" s="10">
        <f t="shared" si="31"/>
        <v>144.92753623188406</v>
      </c>
      <c r="P19" s="12">
        <f t="shared" si="32"/>
        <v>0.68821230917501031</v>
      </c>
      <c r="Q19" s="10">
        <f t="shared" si="33"/>
        <v>5.0135040000000002</v>
      </c>
      <c r="R19" s="13">
        <f t="shared" si="34"/>
        <v>20.703933747412009</v>
      </c>
      <c r="S19" s="13">
        <f t="shared" si="35"/>
        <v>242.15224320000002</v>
      </c>
      <c r="T19" s="22" t="str">
        <f>IF(R19&lt;&gt;"",VLOOKUP(P19,Constants!$D$3:$E$10,2),"")</f>
        <v>2/3</v>
      </c>
    </row>
    <row r="20" spans="2:20" x14ac:dyDescent="0.25">
      <c r="B20" s="59" t="s">
        <v>178</v>
      </c>
      <c r="C20" s="59" t="s">
        <v>179</v>
      </c>
      <c r="D20" s="60">
        <v>3.45</v>
      </c>
      <c r="E20" s="59">
        <v>2448</v>
      </c>
      <c r="F20" s="59">
        <v>2048</v>
      </c>
      <c r="G20" s="59">
        <v>48.3</v>
      </c>
      <c r="H20" s="61" t="s">
        <v>149</v>
      </c>
      <c r="I20" s="61" t="s">
        <v>21</v>
      </c>
      <c r="J20" s="61" t="s">
        <v>136</v>
      </c>
      <c r="K20" s="62">
        <v>0.6</v>
      </c>
      <c r="L20" s="10">
        <f t="shared" si="8"/>
        <v>8.4456000000000007</v>
      </c>
      <c r="M20" s="10">
        <f t="shared" si="9"/>
        <v>7.0656000000000008</v>
      </c>
      <c r="N20" s="11">
        <f t="shared" si="10"/>
        <v>11.011396946800167</v>
      </c>
      <c r="O20" s="10">
        <f t="shared" ref="O20" si="56">IF(D20&lt;&gt;"",1000/(2*D20),"")</f>
        <v>144.92753623188406</v>
      </c>
      <c r="P20" s="12">
        <f t="shared" ref="P20" si="57">IF($N20&lt;&gt;"",D20*SQRT(E20*E20+F20*F20)/16000,"")</f>
        <v>0.68821230917501031</v>
      </c>
      <c r="Q20" s="10">
        <f t="shared" ref="Q20" si="58">IF(F20&lt;&gt;"",F20*E20/1000000,"")</f>
        <v>5.0135040000000002</v>
      </c>
      <c r="R20" s="13">
        <f t="shared" ref="R20" si="59">IF(G20&lt;&gt;"",1000/G20,"")</f>
        <v>20.703933747412009</v>
      </c>
      <c r="S20" s="13">
        <f t="shared" ref="S20" si="60">IF(R20&lt;&gt;"",Q20/R20*1000,"")</f>
        <v>242.15224320000002</v>
      </c>
      <c r="T20" s="22" t="str">
        <f>IF(R20&lt;&gt;"",VLOOKUP(P20,Constants!$D$3:$E$10,2),"")</f>
        <v>2/3</v>
      </c>
    </row>
    <row r="21" spans="2:20" x14ac:dyDescent="0.25">
      <c r="B21" s="59" t="s">
        <v>166</v>
      </c>
      <c r="C21" s="59" t="s">
        <v>158</v>
      </c>
      <c r="D21" s="60">
        <v>2.74</v>
      </c>
      <c r="E21" s="59">
        <v>2448</v>
      </c>
      <c r="F21" s="59">
        <v>2048</v>
      </c>
      <c r="G21" s="59">
        <v>22</v>
      </c>
      <c r="H21" s="61" t="s">
        <v>149</v>
      </c>
      <c r="I21" s="61" t="s">
        <v>23</v>
      </c>
      <c r="J21" s="61" t="s">
        <v>136</v>
      </c>
      <c r="K21" s="62">
        <v>0.7</v>
      </c>
      <c r="L21" s="10">
        <f t="shared" si="8"/>
        <v>6.7075200000000006</v>
      </c>
      <c r="M21" s="10">
        <f t="shared" si="9"/>
        <v>5.6115200000000005</v>
      </c>
      <c r="N21" s="11">
        <f t="shared" si="10"/>
        <v>8.7452833722412908</v>
      </c>
      <c r="O21" s="10">
        <f t="shared" si="31"/>
        <v>182.48175182481751</v>
      </c>
      <c r="P21" s="12">
        <f t="shared" si="32"/>
        <v>0.54658021076508068</v>
      </c>
      <c r="Q21" s="10">
        <f t="shared" si="33"/>
        <v>5.0135040000000002</v>
      </c>
      <c r="R21" s="13">
        <f t="shared" si="34"/>
        <v>45.454545454545453</v>
      </c>
      <c r="S21" s="13">
        <f t="shared" si="35"/>
        <v>110.297088</v>
      </c>
      <c r="T21" s="22" t="str">
        <f>IF(R21&lt;&gt;"",VLOOKUP(P21,Constants!$D$3:$E$10,2),"")</f>
        <v>1/2</v>
      </c>
    </row>
    <row r="22" spans="2:20" x14ac:dyDescent="0.25">
      <c r="B22" s="59" t="s">
        <v>178</v>
      </c>
      <c r="C22" s="59" t="s">
        <v>180</v>
      </c>
      <c r="D22" s="60">
        <v>2.74</v>
      </c>
      <c r="E22" s="59">
        <v>2448</v>
      </c>
      <c r="F22" s="59">
        <v>2048</v>
      </c>
      <c r="G22" s="59">
        <v>22</v>
      </c>
      <c r="H22" s="61" t="s">
        <v>149</v>
      </c>
      <c r="I22" s="61" t="s">
        <v>21</v>
      </c>
      <c r="J22" s="61" t="s">
        <v>136</v>
      </c>
      <c r="K22" s="62">
        <v>0.7</v>
      </c>
      <c r="L22" s="10">
        <f t="shared" si="8"/>
        <v>6.7075200000000006</v>
      </c>
      <c r="M22" s="10">
        <f t="shared" si="9"/>
        <v>5.6115200000000005</v>
      </c>
      <c r="N22" s="11">
        <f t="shared" si="10"/>
        <v>8.7452833722412908</v>
      </c>
      <c r="O22" s="10">
        <f t="shared" ref="O22" si="61">IF(D22&lt;&gt;"",1000/(2*D22),"")</f>
        <v>182.48175182481751</v>
      </c>
      <c r="P22" s="12">
        <f t="shared" ref="P22" si="62">IF($N22&lt;&gt;"",D22*SQRT(E22*E22+F22*F22)/16000,"")</f>
        <v>0.54658021076508068</v>
      </c>
      <c r="Q22" s="10">
        <f t="shared" ref="Q22" si="63">IF(F22&lt;&gt;"",F22*E22/1000000,"")</f>
        <v>5.0135040000000002</v>
      </c>
      <c r="R22" s="13">
        <f t="shared" ref="R22" si="64">IF(G22&lt;&gt;"",1000/G22,"")</f>
        <v>45.454545454545453</v>
      </c>
      <c r="S22" s="13">
        <f t="shared" ref="S22" si="65">IF(R22&lt;&gt;"",Q22/R22*1000,"")</f>
        <v>110.297088</v>
      </c>
      <c r="T22" s="22" t="str">
        <f>IF(R22&lt;&gt;"",VLOOKUP(P22,Constants!$D$3:$E$10,2),"")</f>
        <v>1/2</v>
      </c>
    </row>
    <row r="23" spans="2:20" x14ac:dyDescent="0.25">
      <c r="B23" s="59"/>
      <c r="C23" s="59"/>
      <c r="D23" s="60"/>
      <c r="E23" s="59"/>
      <c r="F23" s="59"/>
      <c r="G23" s="59"/>
      <c r="H23" s="61"/>
      <c r="I23" s="61"/>
      <c r="J23" s="61"/>
      <c r="K23" s="62"/>
      <c r="L23" s="10"/>
      <c r="M23" s="10"/>
      <c r="N23" s="11"/>
      <c r="O23" s="10"/>
      <c r="P23" s="12"/>
      <c r="Q23" s="10"/>
      <c r="R23" s="13"/>
      <c r="S23" s="13"/>
      <c r="T23" s="22"/>
    </row>
    <row r="24" spans="2:20" x14ac:dyDescent="0.25">
      <c r="B24" s="59"/>
      <c r="C24" s="59"/>
      <c r="D24" s="60"/>
      <c r="E24" s="59"/>
      <c r="F24" s="59"/>
      <c r="G24" s="59"/>
      <c r="H24" s="61"/>
      <c r="I24" s="61"/>
      <c r="J24" s="61"/>
      <c r="K24" s="62"/>
      <c r="L24" s="10"/>
      <c r="M24" s="10"/>
      <c r="N24" s="11"/>
      <c r="O24" s="10"/>
      <c r="P24" s="12"/>
      <c r="Q24" s="10"/>
      <c r="R24" s="13"/>
      <c r="S24" s="13"/>
      <c r="T24" s="22"/>
    </row>
    <row r="25" spans="2:20" s="5" customFormat="1" ht="20.100000000000001" customHeight="1" x14ac:dyDescent="0.25">
      <c r="B25" s="63"/>
      <c r="C25" s="63" t="s">
        <v>137</v>
      </c>
      <c r="D25" s="64"/>
      <c r="E25" s="63"/>
      <c r="F25" s="63"/>
      <c r="G25" s="63"/>
      <c r="H25" s="65"/>
      <c r="I25" s="65"/>
      <c r="J25" s="65"/>
      <c r="K25" s="66"/>
      <c r="L25" s="4"/>
      <c r="M25" s="4"/>
      <c r="N25" s="4"/>
      <c r="O25" s="4"/>
      <c r="P25" s="15"/>
      <c r="Q25" s="4"/>
      <c r="R25" s="4"/>
      <c r="S25" s="4"/>
      <c r="T25" s="21"/>
    </row>
    <row r="26" spans="2:20" x14ac:dyDescent="0.25">
      <c r="B26" s="59" t="s">
        <v>111</v>
      </c>
      <c r="C26" s="59" t="s">
        <v>144</v>
      </c>
      <c r="D26" s="60">
        <v>3.45</v>
      </c>
      <c r="E26" s="59">
        <v>1440</v>
      </c>
      <c r="F26" s="59">
        <v>1080</v>
      </c>
      <c r="G26" s="59">
        <v>73</v>
      </c>
      <c r="H26" s="61" t="s">
        <v>149</v>
      </c>
      <c r="I26" s="61" t="s">
        <v>23</v>
      </c>
      <c r="J26" s="61" t="s">
        <v>136</v>
      </c>
      <c r="K26" s="62">
        <v>0.7</v>
      </c>
      <c r="L26" s="10">
        <f t="shared" si="8"/>
        <v>4.968</v>
      </c>
      <c r="M26" s="10">
        <f t="shared" si="9"/>
        <v>3.726</v>
      </c>
      <c r="N26" s="11">
        <f t="shared" ref="N26:N57" si="66">IF($L26&lt;&gt;"",SQRT($L26*$L26+$M26*$M26),"")</f>
        <v>6.21</v>
      </c>
      <c r="O26" s="10">
        <f>IF(D26&lt;&gt;"",1000/(2*D26),"")</f>
        <v>144.92753623188406</v>
      </c>
      <c r="P26" s="12">
        <f>IF($N26&lt;&gt;"",D26*SQRT(E26*E26+F26*F26)/16000,"")</f>
        <v>0.388125</v>
      </c>
      <c r="Q26" s="10">
        <f>IF(F26&lt;&gt;"",F26*E26/1000000,"")</f>
        <v>1.5551999999999999</v>
      </c>
      <c r="R26" s="13">
        <f>IF(G26&lt;&gt;"",1000/G26,"")</f>
        <v>13.698630136986301</v>
      </c>
      <c r="S26" s="13">
        <f t="shared" si="35"/>
        <v>113.52959999999999</v>
      </c>
      <c r="T26" s="22" t="str">
        <f>IF(R26&lt;&gt;"",VLOOKUP(P26,Constants!$D$3:$E$10,2),"")</f>
        <v>1/3</v>
      </c>
    </row>
    <row r="27" spans="2:20" x14ac:dyDescent="0.25">
      <c r="B27" s="59" t="s">
        <v>109</v>
      </c>
      <c r="C27" s="59" t="s">
        <v>143</v>
      </c>
      <c r="D27" s="60">
        <v>3.45</v>
      </c>
      <c r="E27" s="59">
        <v>1440</v>
      </c>
      <c r="F27" s="59">
        <v>1080</v>
      </c>
      <c r="G27" s="59">
        <v>73</v>
      </c>
      <c r="H27" s="61" t="s">
        <v>149</v>
      </c>
      <c r="I27" s="61" t="s">
        <v>21</v>
      </c>
      <c r="J27" s="61" t="s">
        <v>136</v>
      </c>
      <c r="K27" s="62">
        <v>0.7</v>
      </c>
      <c r="L27" s="10">
        <f t="shared" si="8"/>
        <v>4.968</v>
      </c>
      <c r="M27" s="10">
        <f t="shared" si="9"/>
        <v>3.726</v>
      </c>
      <c r="N27" s="11">
        <f t="shared" si="66"/>
        <v>6.21</v>
      </c>
      <c r="O27" s="10">
        <f t="shared" ref="O27" si="67">IF(D27&lt;&gt;"",1000/(2*D27),"")</f>
        <v>144.92753623188406</v>
      </c>
      <c r="P27" s="12">
        <f t="shared" ref="P27" si="68">IF($N27&lt;&gt;"",D27*SQRT(E27*E27+F27*F27)/16000,"")</f>
        <v>0.388125</v>
      </c>
      <c r="Q27" s="10">
        <f t="shared" ref="Q27" si="69">IF(F27&lt;&gt;"",F27*E27/1000000,"")</f>
        <v>1.5551999999999999</v>
      </c>
      <c r="R27" s="13">
        <f t="shared" ref="R27" si="70">IF(G27&lt;&gt;"",1000/G27,"")</f>
        <v>13.698630136986301</v>
      </c>
      <c r="S27" s="13">
        <f t="shared" ref="S27" si="71">IF(R27&lt;&gt;"",Q27/R27*1000,"")</f>
        <v>113.52959999999999</v>
      </c>
      <c r="T27" s="22" t="str">
        <f>IF(R27&lt;&gt;"",VLOOKUP(P27,Constants!$D$3:$E$10,2),"")</f>
        <v>1/3</v>
      </c>
    </row>
    <row r="28" spans="2:20" x14ac:dyDescent="0.25">
      <c r="B28" s="59" t="s">
        <v>113</v>
      </c>
      <c r="C28" s="59" t="s">
        <v>142</v>
      </c>
      <c r="D28" s="60">
        <v>5.86</v>
      </c>
      <c r="E28" s="59">
        <v>1920</v>
      </c>
      <c r="F28" s="59">
        <v>1080</v>
      </c>
      <c r="G28" s="59">
        <v>42</v>
      </c>
      <c r="H28" s="61" t="s">
        <v>149</v>
      </c>
      <c r="I28" s="61" t="s">
        <v>23</v>
      </c>
      <c r="J28" s="61" t="s">
        <v>136</v>
      </c>
      <c r="K28" s="62">
        <v>0.8</v>
      </c>
      <c r="L28" s="10">
        <f t="shared" si="8"/>
        <v>11.251200000000001</v>
      </c>
      <c r="M28" s="10">
        <f t="shared" si="9"/>
        <v>6.3288000000000002</v>
      </c>
      <c r="N28" s="11">
        <f t="shared" si="66"/>
        <v>12.909036016682268</v>
      </c>
      <c r="O28" s="10">
        <f t="shared" ref="O28:O33" si="72">IF(D28&lt;&gt;"",1000/(2*D28),"")</f>
        <v>85.324232081911262</v>
      </c>
      <c r="P28" s="12">
        <f t="shared" ref="P28:P33" si="73">IF($N28&lt;&gt;"",D28*SQRT(E28*E28+F28*F28)/16000,"")</f>
        <v>0.80681475104264178</v>
      </c>
      <c r="Q28" s="10">
        <f t="shared" ref="Q28:Q33" si="74">IF(F28&lt;&gt;"",F28*E28/1000000,"")</f>
        <v>2.0735999999999999</v>
      </c>
      <c r="R28" s="13">
        <f t="shared" ref="R28:R33" si="75">IF(G28&lt;&gt;"",1000/G28,"")</f>
        <v>23.80952380952381</v>
      </c>
      <c r="S28" s="13">
        <f t="shared" si="35"/>
        <v>87.091200000000001</v>
      </c>
      <c r="T28" s="22" t="str">
        <f>IF(R28&lt;&gt;"",VLOOKUP(P28,Constants!$D$3:$E$10,2),"")</f>
        <v>2/3</v>
      </c>
    </row>
    <row r="29" spans="2:20" x14ac:dyDescent="0.25">
      <c r="B29" s="59" t="s">
        <v>112</v>
      </c>
      <c r="C29" s="59" t="s">
        <v>141</v>
      </c>
      <c r="D29" s="60">
        <v>5.86</v>
      </c>
      <c r="E29" s="59">
        <v>1920</v>
      </c>
      <c r="F29" s="59">
        <v>1080</v>
      </c>
      <c r="G29" s="59">
        <v>42</v>
      </c>
      <c r="H29" s="61" t="s">
        <v>149</v>
      </c>
      <c r="I29" s="61" t="s">
        <v>21</v>
      </c>
      <c r="J29" s="61" t="s">
        <v>136</v>
      </c>
      <c r="K29" s="62">
        <v>0.8</v>
      </c>
      <c r="L29" s="10">
        <f t="shared" si="8"/>
        <v>11.251200000000001</v>
      </c>
      <c r="M29" s="10">
        <f t="shared" si="9"/>
        <v>6.3288000000000002</v>
      </c>
      <c r="N29" s="11">
        <f t="shared" si="66"/>
        <v>12.909036016682268</v>
      </c>
      <c r="O29" s="10">
        <f t="shared" si="72"/>
        <v>85.324232081911262</v>
      </c>
      <c r="P29" s="12">
        <f t="shared" si="73"/>
        <v>0.80681475104264178</v>
      </c>
      <c r="Q29" s="10">
        <f t="shared" si="74"/>
        <v>2.0735999999999999</v>
      </c>
      <c r="R29" s="13">
        <f t="shared" si="75"/>
        <v>23.80952380952381</v>
      </c>
      <c r="S29" s="13">
        <f t="shared" si="35"/>
        <v>87.091200000000001</v>
      </c>
      <c r="T29" s="22" t="str">
        <f>IF(R29&lt;&gt;"",VLOOKUP(P29,Constants!$D$3:$E$10,2),"")</f>
        <v>2/3</v>
      </c>
    </row>
    <row r="30" spans="2:20" x14ac:dyDescent="0.25">
      <c r="B30" s="59" t="s">
        <v>115</v>
      </c>
      <c r="C30" s="59" t="s">
        <v>140</v>
      </c>
      <c r="D30" s="60">
        <v>3.45</v>
      </c>
      <c r="E30" s="59">
        <v>2448</v>
      </c>
      <c r="F30" s="59">
        <v>2048</v>
      </c>
      <c r="G30" s="59">
        <v>23</v>
      </c>
      <c r="H30" s="61" t="s">
        <v>149</v>
      </c>
      <c r="I30" s="61" t="s">
        <v>23</v>
      </c>
      <c r="J30" s="61" t="s">
        <v>136</v>
      </c>
      <c r="K30" s="62">
        <v>0.8</v>
      </c>
      <c r="L30" s="10">
        <f t="shared" si="8"/>
        <v>8.4456000000000007</v>
      </c>
      <c r="M30" s="10">
        <f t="shared" si="9"/>
        <v>7.0656000000000008</v>
      </c>
      <c r="N30" s="11">
        <f t="shared" si="66"/>
        <v>11.011396946800167</v>
      </c>
      <c r="O30" s="10">
        <f t="shared" si="72"/>
        <v>144.92753623188406</v>
      </c>
      <c r="P30" s="12">
        <f t="shared" si="73"/>
        <v>0.68821230917501031</v>
      </c>
      <c r="Q30" s="10">
        <f t="shared" si="74"/>
        <v>5.0135040000000002</v>
      </c>
      <c r="R30" s="13">
        <f t="shared" si="75"/>
        <v>43.478260869565219</v>
      </c>
      <c r="S30" s="13">
        <f t="shared" si="35"/>
        <v>115.310592</v>
      </c>
      <c r="T30" s="22" t="str">
        <f>IF(R30&lt;&gt;"",VLOOKUP(P30,Constants!$D$3:$E$10,2),"")</f>
        <v>2/3</v>
      </c>
    </row>
    <row r="31" spans="2:20" x14ac:dyDescent="0.25">
      <c r="B31" s="59" t="s">
        <v>114</v>
      </c>
      <c r="C31" s="59" t="s">
        <v>139</v>
      </c>
      <c r="D31" s="60">
        <v>3.45</v>
      </c>
      <c r="E31" s="59">
        <v>2448</v>
      </c>
      <c r="F31" s="59">
        <v>2048</v>
      </c>
      <c r="G31" s="59">
        <v>23</v>
      </c>
      <c r="H31" s="61" t="s">
        <v>149</v>
      </c>
      <c r="I31" s="61" t="s">
        <v>21</v>
      </c>
      <c r="J31" s="61" t="s">
        <v>136</v>
      </c>
      <c r="K31" s="62">
        <v>0.8</v>
      </c>
      <c r="L31" s="10">
        <f t="shared" si="8"/>
        <v>8.4456000000000007</v>
      </c>
      <c r="M31" s="10">
        <f t="shared" si="9"/>
        <v>7.0656000000000008</v>
      </c>
      <c r="N31" s="11">
        <f t="shared" si="66"/>
        <v>11.011396946800167</v>
      </c>
      <c r="O31" s="10">
        <f t="shared" si="72"/>
        <v>144.92753623188406</v>
      </c>
      <c r="P31" s="12">
        <f t="shared" si="73"/>
        <v>0.68821230917501031</v>
      </c>
      <c r="Q31" s="10">
        <f t="shared" si="74"/>
        <v>5.0135040000000002</v>
      </c>
      <c r="R31" s="13">
        <f t="shared" si="75"/>
        <v>43.478260869565219</v>
      </c>
      <c r="S31" s="13">
        <f t="shared" si="35"/>
        <v>115.310592</v>
      </c>
      <c r="T31" s="22" t="str">
        <f>IF(R31&lt;&gt;"",VLOOKUP(P31,Constants!$D$3:$E$10,2),"")</f>
        <v>2/3</v>
      </c>
    </row>
    <row r="32" spans="2:20" x14ac:dyDescent="0.25">
      <c r="B32" s="59" t="s">
        <v>129</v>
      </c>
      <c r="C32" s="59" t="s">
        <v>138</v>
      </c>
      <c r="D32" s="60">
        <v>2.4</v>
      </c>
      <c r="E32" s="59">
        <v>5472</v>
      </c>
      <c r="F32" s="59">
        <v>3648</v>
      </c>
      <c r="G32" s="59">
        <v>5</v>
      </c>
      <c r="H32" s="61" t="s">
        <v>150</v>
      </c>
      <c r="I32" s="61" t="s">
        <v>21</v>
      </c>
      <c r="J32" s="61" t="s">
        <v>136</v>
      </c>
      <c r="K32" s="62">
        <v>0.8</v>
      </c>
      <c r="L32" s="10">
        <f>IF($D32&lt;&gt;"",$D32*$E32/1000,"")</f>
        <v>13.1328</v>
      </c>
      <c r="M32" s="10">
        <f>IF($D32&lt;&gt;"",$D32*$F32/1000,"")</f>
        <v>8.7551999999999985</v>
      </c>
      <c r="N32" s="11">
        <f t="shared" si="66"/>
        <v>15.783661263471158</v>
      </c>
      <c r="O32" s="10">
        <f t="shared" si="72"/>
        <v>208.33333333333334</v>
      </c>
      <c r="P32" s="12">
        <f t="shared" si="73"/>
        <v>0.9864788289669475</v>
      </c>
      <c r="Q32" s="10">
        <f t="shared" si="74"/>
        <v>19.961856000000001</v>
      </c>
      <c r="R32" s="13">
        <f t="shared" si="75"/>
        <v>200</v>
      </c>
      <c r="S32" s="13">
        <f t="shared" si="35"/>
        <v>99.809280000000001</v>
      </c>
      <c r="T32" s="22" t="str">
        <f>IF(R32&lt;&gt;"",VLOOKUP(P32,Constants!$D$3:$E$10,2),"")</f>
        <v>1/1,2</v>
      </c>
    </row>
    <row r="33" spans="2:20" x14ac:dyDescent="0.25">
      <c r="B33" s="59" t="s">
        <v>146</v>
      </c>
      <c r="C33" s="59" t="s">
        <v>145</v>
      </c>
      <c r="D33" s="60">
        <v>2.4</v>
      </c>
      <c r="E33" s="59">
        <v>5472</v>
      </c>
      <c r="F33" s="59">
        <v>3648</v>
      </c>
      <c r="G33" s="59">
        <v>5</v>
      </c>
      <c r="H33" s="61" t="s">
        <v>150</v>
      </c>
      <c r="I33" s="61" t="s">
        <v>23</v>
      </c>
      <c r="J33" s="61" t="s">
        <v>136</v>
      </c>
      <c r="K33" s="62">
        <v>0.8</v>
      </c>
      <c r="L33" s="10">
        <f>IF($D33&lt;&gt;"",$D33*$E33/1000,"")</f>
        <v>13.1328</v>
      </c>
      <c r="M33" s="10">
        <f>IF($D33&lt;&gt;"",$D33*$F33/1000,"")</f>
        <v>8.7551999999999985</v>
      </c>
      <c r="N33" s="11">
        <f t="shared" si="66"/>
        <v>15.783661263471158</v>
      </c>
      <c r="O33" s="10">
        <f t="shared" si="72"/>
        <v>208.33333333333334</v>
      </c>
      <c r="P33" s="12">
        <f t="shared" si="73"/>
        <v>0.9864788289669475</v>
      </c>
      <c r="Q33" s="10">
        <f t="shared" si="74"/>
        <v>19.961856000000001</v>
      </c>
      <c r="R33" s="13">
        <f t="shared" si="75"/>
        <v>200</v>
      </c>
      <c r="S33" s="13">
        <f t="shared" ref="S33" si="76">IF(R33&lt;&gt;"",Q33/R33*1000,"")</f>
        <v>99.809280000000001</v>
      </c>
      <c r="T33" s="22" t="str">
        <f>IF(R33&lt;&gt;"",VLOOKUP(P33,Constants!$D$3:$E$10,2),"")</f>
        <v>1/1,2</v>
      </c>
    </row>
    <row r="34" spans="2:20" x14ac:dyDescent="0.25">
      <c r="B34" s="59"/>
      <c r="C34" s="59"/>
      <c r="D34" s="60"/>
      <c r="E34" s="59"/>
      <c r="F34" s="59"/>
      <c r="G34" s="59"/>
      <c r="H34" s="61"/>
      <c r="I34" s="61"/>
      <c r="J34" s="61"/>
      <c r="K34" s="62"/>
      <c r="L34" s="10" t="e">
        <f>IF(#REF!&lt;&gt;"",#REF!*#REF!/1000,"")</f>
        <v>#REF!</v>
      </c>
      <c r="M34" s="10" t="e">
        <f>IF(#REF!&lt;&gt;"",#REF!*#REF!/1000,"")</f>
        <v>#REF!</v>
      </c>
      <c r="N34" s="11" t="e">
        <f t="shared" si="66"/>
        <v>#REF!</v>
      </c>
      <c r="O34" s="10" t="e">
        <f>IF(#REF!&lt;&gt;"",1000/(2*#REF!),"")</f>
        <v>#REF!</v>
      </c>
      <c r="P34" s="12" t="e">
        <f>IF($N34&lt;&gt;"",#REF!*SQRT(#REF!*#REF!+#REF!*#REF!)/16000,"")</f>
        <v>#REF!</v>
      </c>
      <c r="Q34" s="10" t="e">
        <f>IF(#REF!&lt;&gt;"",#REF!*#REF!/1000000,"")</f>
        <v>#REF!</v>
      </c>
      <c r="R34" s="13" t="e">
        <f>IF(#REF!&lt;&gt;"",1000/#REF!,"")</f>
        <v>#REF!</v>
      </c>
      <c r="S34" s="13" t="e">
        <f t="shared" si="35"/>
        <v>#REF!</v>
      </c>
      <c r="T34" s="22" t="e">
        <f>IF(R34&lt;&gt;"",VLOOKUP(P34,Constants!$D$3:$E$10,2),"")</f>
        <v>#REF!</v>
      </c>
    </row>
    <row r="35" spans="2:20" x14ac:dyDescent="0.25">
      <c r="B35" s="59"/>
      <c r="C35" s="59"/>
      <c r="D35" s="60"/>
      <c r="E35" s="59"/>
      <c r="F35" s="59"/>
      <c r="G35" s="59"/>
      <c r="H35" s="61"/>
      <c r="I35" s="61"/>
      <c r="J35" s="61"/>
      <c r="K35" s="62"/>
      <c r="L35" s="10" t="e">
        <f>IF(#REF!&lt;&gt;"",#REF!*#REF!/1000,"")</f>
        <v>#REF!</v>
      </c>
      <c r="M35" s="10" t="e">
        <f>IF(#REF!&lt;&gt;"",#REF!*#REF!/1000,"")</f>
        <v>#REF!</v>
      </c>
      <c r="N35" s="11" t="e">
        <f t="shared" si="66"/>
        <v>#REF!</v>
      </c>
      <c r="O35" s="10" t="e">
        <f>IF(#REF!&lt;&gt;"",1000/(2*#REF!),"")</f>
        <v>#REF!</v>
      </c>
      <c r="P35" s="12" t="e">
        <f>IF($N35&lt;&gt;"",#REF!*SQRT(#REF!*#REF!+#REF!*#REF!)/16000,"")</f>
        <v>#REF!</v>
      </c>
      <c r="Q35" s="10" t="e">
        <f>IF(#REF!&lt;&gt;"",#REF!*#REF!/1000000,"")</f>
        <v>#REF!</v>
      </c>
      <c r="R35" s="13" t="e">
        <f>IF(#REF!&lt;&gt;"",1000/#REF!,"")</f>
        <v>#REF!</v>
      </c>
      <c r="S35" s="13" t="e">
        <f t="shared" si="35"/>
        <v>#REF!</v>
      </c>
      <c r="T35" s="22" t="e">
        <f>IF(R35&lt;&gt;"",VLOOKUP(P35,Constants!$D$3:$E$10,2),"")</f>
        <v>#REF!</v>
      </c>
    </row>
    <row r="36" spans="2:20" x14ac:dyDescent="0.25">
      <c r="B36" s="59"/>
      <c r="C36" s="59"/>
      <c r="D36" s="60"/>
      <c r="E36" s="59"/>
      <c r="F36" s="59"/>
      <c r="G36" s="59"/>
      <c r="H36" s="61"/>
      <c r="I36" s="61"/>
      <c r="J36" s="61"/>
      <c r="K36" s="62"/>
      <c r="L36" s="10" t="str">
        <f t="shared" si="8"/>
        <v/>
      </c>
      <c r="M36" s="10" t="str">
        <f t="shared" si="9"/>
        <v/>
      </c>
      <c r="N36" s="11" t="str">
        <f t="shared" si="66"/>
        <v/>
      </c>
      <c r="O36" s="10" t="str">
        <f t="shared" ref="O36:O65" si="77">IF(D36&lt;&gt;"",1000/(2*D36),"")</f>
        <v/>
      </c>
      <c r="P36" s="12" t="str">
        <f t="shared" ref="P36:P65" si="78">IF($N36&lt;&gt;"",D36*SQRT(E36*E36+F36*F36)/16000,"")</f>
        <v/>
      </c>
      <c r="Q36" s="10" t="str">
        <f t="shared" ref="Q36:Q65" si="79">IF(F36&lt;&gt;"",F36*E36/1000000,"")</f>
        <v/>
      </c>
      <c r="R36" s="13" t="str">
        <f t="shared" ref="R36:R65" si="80">IF(G36&lt;&gt;"",1000/G36,"")</f>
        <v/>
      </c>
      <c r="S36" s="13" t="str">
        <f t="shared" si="35"/>
        <v/>
      </c>
      <c r="T36" s="22" t="str">
        <f>IF(R36&lt;&gt;"",VLOOKUP(P36,Constants!$D$3:$E$10,2),"")</f>
        <v/>
      </c>
    </row>
    <row r="37" spans="2:20" x14ac:dyDescent="0.25">
      <c r="B37" s="59"/>
      <c r="C37" s="59"/>
      <c r="D37" s="60"/>
      <c r="E37" s="59"/>
      <c r="F37" s="59"/>
      <c r="G37" s="59"/>
      <c r="H37" s="61"/>
      <c r="I37" s="61"/>
      <c r="J37" s="61"/>
      <c r="K37" s="62"/>
      <c r="L37" s="10" t="str">
        <f t="shared" si="8"/>
        <v/>
      </c>
      <c r="M37" s="10" t="str">
        <f t="shared" si="9"/>
        <v/>
      </c>
      <c r="N37" s="11" t="str">
        <f t="shared" si="66"/>
        <v/>
      </c>
      <c r="O37" s="10" t="str">
        <f t="shared" si="77"/>
        <v/>
      </c>
      <c r="P37" s="12" t="str">
        <f t="shared" si="78"/>
        <v/>
      </c>
      <c r="Q37" s="10" t="str">
        <f t="shared" si="79"/>
        <v/>
      </c>
      <c r="R37" s="13" t="str">
        <f t="shared" si="80"/>
        <v/>
      </c>
      <c r="S37" s="13" t="str">
        <f t="shared" si="35"/>
        <v/>
      </c>
      <c r="T37" s="22" t="str">
        <f>IF(R37&lt;&gt;"",VLOOKUP(P37,Constants!$D$3:$E$10,2),"")</f>
        <v/>
      </c>
    </row>
    <row r="38" spans="2:20" x14ac:dyDescent="0.25">
      <c r="B38" s="59"/>
      <c r="C38" s="59"/>
      <c r="D38" s="60"/>
      <c r="E38" s="59"/>
      <c r="F38" s="59"/>
      <c r="G38" s="59"/>
      <c r="H38" s="61"/>
      <c r="I38" s="61"/>
      <c r="J38" s="61"/>
      <c r="K38" s="62"/>
      <c r="L38" s="10" t="str">
        <f t="shared" si="8"/>
        <v/>
      </c>
      <c r="M38" s="10" t="str">
        <f t="shared" si="9"/>
        <v/>
      </c>
      <c r="N38" s="11" t="str">
        <f t="shared" si="66"/>
        <v/>
      </c>
      <c r="O38" s="10" t="str">
        <f t="shared" si="77"/>
        <v/>
      </c>
      <c r="P38" s="12" t="str">
        <f t="shared" si="78"/>
        <v/>
      </c>
      <c r="Q38" s="10" t="str">
        <f t="shared" si="79"/>
        <v/>
      </c>
      <c r="R38" s="13" t="str">
        <f t="shared" si="80"/>
        <v/>
      </c>
      <c r="S38" s="13" t="str">
        <f t="shared" si="35"/>
        <v/>
      </c>
      <c r="T38" s="22" t="str">
        <f>IF(R38&lt;&gt;"",VLOOKUP(P38,Constants!$D$3:$E$10,2),"")</f>
        <v/>
      </c>
    </row>
    <row r="39" spans="2:20" x14ac:dyDescent="0.25">
      <c r="B39" s="59"/>
      <c r="C39" s="59"/>
      <c r="D39" s="60"/>
      <c r="E39" s="59"/>
      <c r="F39" s="59"/>
      <c r="G39" s="59"/>
      <c r="H39" s="61"/>
      <c r="I39" s="61"/>
      <c r="J39" s="61"/>
      <c r="K39" s="62"/>
      <c r="L39" s="10" t="str">
        <f t="shared" si="8"/>
        <v/>
      </c>
      <c r="M39" s="10" t="str">
        <f t="shared" si="9"/>
        <v/>
      </c>
      <c r="N39" s="11" t="str">
        <f t="shared" si="66"/>
        <v/>
      </c>
      <c r="O39" s="10" t="str">
        <f t="shared" si="77"/>
        <v/>
      </c>
      <c r="P39" s="12" t="str">
        <f t="shared" si="78"/>
        <v/>
      </c>
      <c r="Q39" s="10" t="str">
        <f t="shared" si="79"/>
        <v/>
      </c>
      <c r="R39" s="13" t="str">
        <f t="shared" si="80"/>
        <v/>
      </c>
      <c r="S39" s="13" t="str">
        <f t="shared" si="35"/>
        <v/>
      </c>
      <c r="T39" s="22" t="str">
        <f>IF(R39&lt;&gt;"",VLOOKUP(P39,Constants!$D$3:$E$10,2),"")</f>
        <v/>
      </c>
    </row>
    <row r="40" spans="2:20" x14ac:dyDescent="0.25">
      <c r="B40" s="59"/>
      <c r="C40" s="59"/>
      <c r="D40" s="60"/>
      <c r="E40" s="59"/>
      <c r="F40" s="59"/>
      <c r="G40" s="59"/>
      <c r="H40" s="61"/>
      <c r="I40" s="61"/>
      <c r="J40" s="61"/>
      <c r="K40" s="62"/>
      <c r="L40" s="10" t="str">
        <f t="shared" si="8"/>
        <v/>
      </c>
      <c r="M40" s="10" t="str">
        <f t="shared" si="9"/>
        <v/>
      </c>
      <c r="N40" s="11" t="str">
        <f t="shared" si="66"/>
        <v/>
      </c>
      <c r="O40" s="10" t="str">
        <f t="shared" si="77"/>
        <v/>
      </c>
      <c r="P40" s="12" t="str">
        <f t="shared" si="78"/>
        <v/>
      </c>
      <c r="Q40" s="10" t="str">
        <f t="shared" si="79"/>
        <v/>
      </c>
      <c r="R40" s="13" t="str">
        <f t="shared" si="80"/>
        <v/>
      </c>
      <c r="S40" s="13" t="str">
        <f t="shared" si="35"/>
        <v/>
      </c>
      <c r="T40" s="22" t="str">
        <f>IF(R40&lt;&gt;"",VLOOKUP(P40,Constants!$D$3:$E$10,2),"")</f>
        <v/>
      </c>
    </row>
    <row r="41" spans="2:20" x14ac:dyDescent="0.25">
      <c r="B41" s="59"/>
      <c r="C41" s="59"/>
      <c r="D41" s="60"/>
      <c r="E41" s="59"/>
      <c r="F41" s="59"/>
      <c r="G41" s="59"/>
      <c r="H41" s="61"/>
      <c r="I41" s="61"/>
      <c r="J41" s="61"/>
      <c r="K41" s="62"/>
      <c r="L41" s="10" t="str">
        <f t="shared" si="8"/>
        <v/>
      </c>
      <c r="M41" s="10" t="str">
        <f t="shared" si="9"/>
        <v/>
      </c>
      <c r="N41" s="11" t="str">
        <f t="shared" si="66"/>
        <v/>
      </c>
      <c r="O41" s="10" t="str">
        <f t="shared" si="77"/>
        <v/>
      </c>
      <c r="P41" s="12" t="str">
        <f t="shared" si="78"/>
        <v/>
      </c>
      <c r="Q41" s="10" t="str">
        <f t="shared" si="79"/>
        <v/>
      </c>
      <c r="R41" s="13" t="str">
        <f t="shared" si="80"/>
        <v/>
      </c>
      <c r="S41" s="13" t="str">
        <f t="shared" si="35"/>
        <v/>
      </c>
      <c r="T41" s="22" t="str">
        <f>IF(R41&lt;&gt;"",VLOOKUP(P41,Constants!$D$3:$E$10,2),"")</f>
        <v/>
      </c>
    </row>
    <row r="42" spans="2:20" x14ac:dyDescent="0.25">
      <c r="B42" s="59"/>
      <c r="C42" s="59"/>
      <c r="D42" s="60"/>
      <c r="E42" s="59"/>
      <c r="F42" s="59"/>
      <c r="G42" s="59"/>
      <c r="H42" s="61"/>
      <c r="I42" s="61"/>
      <c r="J42" s="61"/>
      <c r="K42" s="62"/>
      <c r="L42" s="10" t="str">
        <f t="shared" si="8"/>
        <v/>
      </c>
      <c r="M42" s="10" t="str">
        <f t="shared" si="9"/>
        <v/>
      </c>
      <c r="N42" s="11" t="str">
        <f t="shared" si="66"/>
        <v/>
      </c>
      <c r="O42" s="10" t="str">
        <f t="shared" si="77"/>
        <v/>
      </c>
      <c r="P42" s="12" t="str">
        <f t="shared" si="78"/>
        <v/>
      </c>
      <c r="Q42" s="10" t="str">
        <f t="shared" si="79"/>
        <v/>
      </c>
      <c r="R42" s="13" t="str">
        <f t="shared" si="80"/>
        <v/>
      </c>
      <c r="S42" s="13" t="str">
        <f t="shared" si="35"/>
        <v/>
      </c>
      <c r="T42" s="22" t="str">
        <f>IF(R42&lt;&gt;"",VLOOKUP(P42,Constants!$D$3:$E$10,2),"")</f>
        <v/>
      </c>
    </row>
    <row r="43" spans="2:20" x14ac:dyDescent="0.25">
      <c r="B43" s="59"/>
      <c r="C43" s="59"/>
      <c r="D43" s="60"/>
      <c r="E43" s="59"/>
      <c r="F43" s="59"/>
      <c r="G43" s="59"/>
      <c r="H43" s="61"/>
      <c r="I43" s="61"/>
      <c r="J43" s="61"/>
      <c r="K43" s="62"/>
      <c r="L43" s="10" t="str">
        <f t="shared" si="8"/>
        <v/>
      </c>
      <c r="M43" s="10" t="str">
        <f t="shared" si="9"/>
        <v/>
      </c>
      <c r="N43" s="11" t="str">
        <f t="shared" si="66"/>
        <v/>
      </c>
      <c r="O43" s="10" t="str">
        <f t="shared" si="77"/>
        <v/>
      </c>
      <c r="P43" s="12" t="str">
        <f t="shared" si="78"/>
        <v/>
      </c>
      <c r="Q43" s="10" t="str">
        <f t="shared" si="79"/>
        <v/>
      </c>
      <c r="R43" s="13" t="str">
        <f t="shared" si="80"/>
        <v/>
      </c>
      <c r="S43" s="13" t="str">
        <f t="shared" si="35"/>
        <v/>
      </c>
      <c r="T43" s="22" t="str">
        <f>IF(R43&lt;&gt;"",VLOOKUP(P43,Constants!$D$3:$E$10,2),"")</f>
        <v/>
      </c>
    </row>
    <row r="44" spans="2:20" x14ac:dyDescent="0.25">
      <c r="B44" s="59"/>
      <c r="C44" s="59"/>
      <c r="D44" s="60"/>
      <c r="E44" s="59"/>
      <c r="F44" s="59"/>
      <c r="G44" s="59"/>
      <c r="H44" s="61"/>
      <c r="I44" s="61"/>
      <c r="J44" s="61"/>
      <c r="K44" s="62"/>
      <c r="L44" s="10" t="str">
        <f t="shared" si="8"/>
        <v/>
      </c>
      <c r="M44" s="10" t="str">
        <f t="shared" si="9"/>
        <v/>
      </c>
      <c r="N44" s="11" t="str">
        <f t="shared" si="66"/>
        <v/>
      </c>
      <c r="O44" s="10" t="str">
        <f t="shared" si="77"/>
        <v/>
      </c>
      <c r="P44" s="12" t="str">
        <f t="shared" si="78"/>
        <v/>
      </c>
      <c r="Q44" s="10" t="str">
        <f t="shared" si="79"/>
        <v/>
      </c>
      <c r="R44" s="13" t="str">
        <f t="shared" si="80"/>
        <v/>
      </c>
      <c r="S44" s="13" t="str">
        <f t="shared" si="35"/>
        <v/>
      </c>
      <c r="T44" s="22" t="str">
        <f>IF(R44&lt;&gt;"",VLOOKUP(P44,Constants!$D$3:$E$10,2),"")</f>
        <v/>
      </c>
    </row>
    <row r="45" spans="2:20" x14ac:dyDescent="0.25">
      <c r="B45" s="59"/>
      <c r="C45" s="59"/>
      <c r="D45" s="60"/>
      <c r="E45" s="59"/>
      <c r="F45" s="59"/>
      <c r="G45" s="59"/>
      <c r="H45" s="61"/>
      <c r="I45" s="61"/>
      <c r="J45" s="61"/>
      <c r="K45" s="62"/>
      <c r="L45" s="10" t="str">
        <f t="shared" si="8"/>
        <v/>
      </c>
      <c r="M45" s="10" t="str">
        <f t="shared" si="9"/>
        <v/>
      </c>
      <c r="N45" s="11" t="str">
        <f t="shared" si="66"/>
        <v/>
      </c>
      <c r="O45" s="10" t="str">
        <f t="shared" si="77"/>
        <v/>
      </c>
      <c r="P45" s="12" t="str">
        <f t="shared" si="78"/>
        <v/>
      </c>
      <c r="Q45" s="10" t="str">
        <f t="shared" si="79"/>
        <v/>
      </c>
      <c r="R45" s="13" t="str">
        <f t="shared" si="80"/>
        <v/>
      </c>
      <c r="S45" s="13" t="str">
        <f t="shared" si="35"/>
        <v/>
      </c>
      <c r="T45" s="22" t="str">
        <f>IF(R45&lt;&gt;"",VLOOKUP(P45,Constants!$D$3:$E$10,2),"")</f>
        <v/>
      </c>
    </row>
    <row r="46" spans="2:20" x14ac:dyDescent="0.25">
      <c r="B46" s="59"/>
      <c r="C46" s="59"/>
      <c r="D46" s="60"/>
      <c r="E46" s="59"/>
      <c r="F46" s="59"/>
      <c r="G46" s="59"/>
      <c r="H46" s="61"/>
      <c r="I46" s="61"/>
      <c r="J46" s="61"/>
      <c r="K46" s="62"/>
      <c r="L46" s="10" t="str">
        <f t="shared" si="8"/>
        <v/>
      </c>
      <c r="M46" s="10" t="str">
        <f t="shared" si="9"/>
        <v/>
      </c>
      <c r="N46" s="11" t="str">
        <f t="shared" si="66"/>
        <v/>
      </c>
      <c r="O46" s="10" t="str">
        <f t="shared" si="77"/>
        <v/>
      </c>
      <c r="P46" s="12" t="str">
        <f t="shared" si="78"/>
        <v/>
      </c>
      <c r="Q46" s="10" t="str">
        <f t="shared" si="79"/>
        <v/>
      </c>
      <c r="R46" s="13" t="str">
        <f t="shared" si="80"/>
        <v/>
      </c>
      <c r="S46" s="13" t="str">
        <f t="shared" si="35"/>
        <v/>
      </c>
      <c r="T46" s="22" t="str">
        <f>IF(R46&lt;&gt;"",VLOOKUP(P46,Constants!$D$3:$E$10,2),"")</f>
        <v/>
      </c>
    </row>
    <row r="47" spans="2:20" x14ac:dyDescent="0.25">
      <c r="B47" s="59"/>
      <c r="C47" s="59"/>
      <c r="D47" s="60"/>
      <c r="E47" s="59"/>
      <c r="F47" s="59"/>
      <c r="G47" s="59"/>
      <c r="H47" s="61"/>
      <c r="I47" s="61"/>
      <c r="J47" s="61"/>
      <c r="K47" s="62"/>
      <c r="L47" s="10" t="str">
        <f t="shared" si="8"/>
        <v/>
      </c>
      <c r="M47" s="10" t="str">
        <f t="shared" si="9"/>
        <v/>
      </c>
      <c r="N47" s="11" t="str">
        <f t="shared" si="66"/>
        <v/>
      </c>
      <c r="O47" s="10" t="str">
        <f t="shared" si="77"/>
        <v/>
      </c>
      <c r="P47" s="12" t="str">
        <f t="shared" si="78"/>
        <v/>
      </c>
      <c r="Q47" s="10" t="str">
        <f t="shared" si="79"/>
        <v/>
      </c>
      <c r="R47" s="13" t="str">
        <f t="shared" si="80"/>
        <v/>
      </c>
      <c r="S47" s="13" t="str">
        <f t="shared" si="35"/>
        <v/>
      </c>
      <c r="T47" s="22" t="str">
        <f>IF(R47&lt;&gt;"",VLOOKUP(P47,Constants!$D$3:$E$10,2),"")</f>
        <v/>
      </c>
    </row>
    <row r="48" spans="2:20" x14ac:dyDescent="0.25">
      <c r="B48" s="59"/>
      <c r="C48" s="59"/>
      <c r="D48" s="60"/>
      <c r="E48" s="59"/>
      <c r="F48" s="59"/>
      <c r="G48" s="59"/>
      <c r="H48" s="61"/>
      <c r="I48" s="61"/>
      <c r="J48" s="61"/>
      <c r="K48" s="62"/>
      <c r="L48" s="10" t="str">
        <f t="shared" si="8"/>
        <v/>
      </c>
      <c r="M48" s="10" t="str">
        <f t="shared" si="9"/>
        <v/>
      </c>
      <c r="N48" s="11" t="str">
        <f t="shared" si="66"/>
        <v/>
      </c>
      <c r="O48" s="10" t="str">
        <f t="shared" si="77"/>
        <v/>
      </c>
      <c r="P48" s="12" t="str">
        <f t="shared" si="78"/>
        <v/>
      </c>
      <c r="Q48" s="10" t="str">
        <f t="shared" si="79"/>
        <v/>
      </c>
      <c r="R48" s="13" t="str">
        <f t="shared" si="80"/>
        <v/>
      </c>
      <c r="S48" s="13" t="str">
        <f t="shared" si="35"/>
        <v/>
      </c>
      <c r="T48" s="22" t="str">
        <f>IF(R48&lt;&gt;"",VLOOKUP(P48,Constants!$D$3:$E$10,2),"")</f>
        <v/>
      </c>
    </row>
    <row r="49" spans="2:20" x14ac:dyDescent="0.25">
      <c r="B49" s="59"/>
      <c r="C49" s="59"/>
      <c r="D49" s="60"/>
      <c r="E49" s="59"/>
      <c r="F49" s="59"/>
      <c r="G49" s="59"/>
      <c r="H49" s="61"/>
      <c r="I49" s="61"/>
      <c r="J49" s="61"/>
      <c r="K49" s="62"/>
      <c r="L49" s="10" t="str">
        <f t="shared" si="8"/>
        <v/>
      </c>
      <c r="M49" s="10" t="str">
        <f t="shared" si="9"/>
        <v/>
      </c>
      <c r="N49" s="11" t="str">
        <f t="shared" si="66"/>
        <v/>
      </c>
      <c r="O49" s="10" t="str">
        <f t="shared" si="77"/>
        <v/>
      </c>
      <c r="P49" s="12" t="str">
        <f t="shared" si="78"/>
        <v/>
      </c>
      <c r="Q49" s="10" t="str">
        <f t="shared" si="79"/>
        <v/>
      </c>
      <c r="R49" s="13" t="str">
        <f t="shared" si="80"/>
        <v/>
      </c>
      <c r="S49" s="13" t="str">
        <f t="shared" si="35"/>
        <v/>
      </c>
      <c r="T49" s="22" t="str">
        <f>IF(R49&lt;&gt;"",VLOOKUP(P49,Constants!$D$3:$E$10,2),"")</f>
        <v/>
      </c>
    </row>
    <row r="50" spans="2:20" x14ac:dyDescent="0.25">
      <c r="B50" s="59"/>
      <c r="C50" s="59"/>
      <c r="D50" s="60"/>
      <c r="E50" s="59"/>
      <c r="F50" s="59"/>
      <c r="G50" s="59"/>
      <c r="H50" s="61"/>
      <c r="I50" s="61"/>
      <c r="J50" s="61"/>
      <c r="K50" s="62"/>
      <c r="L50" s="10" t="str">
        <f t="shared" si="8"/>
        <v/>
      </c>
      <c r="M50" s="10" t="str">
        <f t="shared" si="9"/>
        <v/>
      </c>
      <c r="N50" s="11" t="str">
        <f t="shared" si="66"/>
        <v/>
      </c>
      <c r="O50" s="10" t="str">
        <f t="shared" si="77"/>
        <v/>
      </c>
      <c r="P50" s="12" t="str">
        <f t="shared" si="78"/>
        <v/>
      </c>
      <c r="Q50" s="10" t="str">
        <f t="shared" si="79"/>
        <v/>
      </c>
      <c r="R50" s="13" t="str">
        <f t="shared" si="80"/>
        <v/>
      </c>
      <c r="S50" s="13" t="str">
        <f t="shared" si="35"/>
        <v/>
      </c>
      <c r="T50" s="22" t="str">
        <f>IF(R50&lt;&gt;"",VLOOKUP(P50,Constants!$D$3:$E$10,2),"")</f>
        <v/>
      </c>
    </row>
    <row r="51" spans="2:20" x14ac:dyDescent="0.25">
      <c r="B51" s="59"/>
      <c r="C51" s="59"/>
      <c r="D51" s="60"/>
      <c r="E51" s="59"/>
      <c r="F51" s="59"/>
      <c r="G51" s="59"/>
      <c r="H51" s="61"/>
      <c r="I51" s="61"/>
      <c r="J51" s="61"/>
      <c r="K51" s="62"/>
      <c r="L51" s="10" t="str">
        <f t="shared" si="8"/>
        <v/>
      </c>
      <c r="M51" s="10" t="str">
        <f t="shared" si="9"/>
        <v/>
      </c>
      <c r="N51" s="11" t="str">
        <f t="shared" si="66"/>
        <v/>
      </c>
      <c r="O51" s="10" t="str">
        <f t="shared" si="77"/>
        <v/>
      </c>
      <c r="P51" s="12" t="str">
        <f t="shared" si="78"/>
        <v/>
      </c>
      <c r="Q51" s="10" t="str">
        <f t="shared" si="79"/>
        <v/>
      </c>
      <c r="R51" s="13" t="str">
        <f t="shared" si="80"/>
        <v/>
      </c>
      <c r="S51" s="13" t="str">
        <f t="shared" si="35"/>
        <v/>
      </c>
      <c r="T51" s="22" t="str">
        <f>IF(R51&lt;&gt;"",VLOOKUP(P51,Constants!$D$3:$E$10,2),"")</f>
        <v/>
      </c>
    </row>
    <row r="52" spans="2:20" x14ac:dyDescent="0.25">
      <c r="B52" s="59"/>
      <c r="C52" s="59"/>
      <c r="D52" s="60"/>
      <c r="E52" s="59"/>
      <c r="F52" s="59"/>
      <c r="G52" s="59"/>
      <c r="H52" s="61"/>
      <c r="I52" s="61"/>
      <c r="J52" s="61"/>
      <c r="K52" s="62"/>
      <c r="L52" s="10" t="str">
        <f t="shared" si="8"/>
        <v/>
      </c>
      <c r="M52" s="10" t="str">
        <f t="shared" si="9"/>
        <v/>
      </c>
      <c r="N52" s="11" t="str">
        <f t="shared" si="66"/>
        <v/>
      </c>
      <c r="O52" s="10" t="str">
        <f t="shared" si="77"/>
        <v/>
      </c>
      <c r="P52" s="12" t="str">
        <f t="shared" si="78"/>
        <v/>
      </c>
      <c r="Q52" s="10" t="str">
        <f t="shared" si="79"/>
        <v/>
      </c>
      <c r="R52" s="13" t="str">
        <f t="shared" si="80"/>
        <v/>
      </c>
      <c r="S52" s="13" t="str">
        <f t="shared" si="35"/>
        <v/>
      </c>
      <c r="T52" s="22" t="str">
        <f>IF(R52&lt;&gt;"",VLOOKUP(P52,Constants!$D$3:$E$10,2),"")</f>
        <v/>
      </c>
    </row>
    <row r="53" spans="2:20" x14ac:dyDescent="0.25">
      <c r="B53" s="59"/>
      <c r="C53" s="59"/>
      <c r="D53" s="60"/>
      <c r="E53" s="59"/>
      <c r="F53" s="59"/>
      <c r="G53" s="59"/>
      <c r="H53" s="61"/>
      <c r="I53" s="61"/>
      <c r="J53" s="61"/>
      <c r="K53" s="62"/>
      <c r="L53" s="10" t="str">
        <f t="shared" si="8"/>
        <v/>
      </c>
      <c r="M53" s="10" t="str">
        <f t="shared" si="9"/>
        <v/>
      </c>
      <c r="N53" s="11" t="str">
        <f t="shared" si="66"/>
        <v/>
      </c>
      <c r="O53" s="10" t="str">
        <f t="shared" si="77"/>
        <v/>
      </c>
      <c r="P53" s="12" t="str">
        <f t="shared" si="78"/>
        <v/>
      </c>
      <c r="Q53" s="10" t="str">
        <f t="shared" si="79"/>
        <v/>
      </c>
      <c r="R53" s="13" t="str">
        <f t="shared" si="80"/>
        <v/>
      </c>
      <c r="S53" s="13" t="str">
        <f t="shared" si="35"/>
        <v/>
      </c>
      <c r="T53" s="22" t="str">
        <f>IF(R53&lt;&gt;"",VLOOKUP(P53,Constants!$D$3:$E$10,2),"")</f>
        <v/>
      </c>
    </row>
    <row r="54" spans="2:20" x14ac:dyDescent="0.25">
      <c r="B54" s="59"/>
      <c r="C54" s="59"/>
      <c r="D54" s="60"/>
      <c r="E54" s="59"/>
      <c r="F54" s="59"/>
      <c r="G54" s="59"/>
      <c r="H54" s="61"/>
      <c r="I54" s="61"/>
      <c r="J54" s="61"/>
      <c r="K54" s="62"/>
      <c r="L54" s="10" t="str">
        <f t="shared" si="8"/>
        <v/>
      </c>
      <c r="M54" s="10" t="str">
        <f t="shared" si="9"/>
        <v/>
      </c>
      <c r="N54" s="11" t="str">
        <f t="shared" si="66"/>
        <v/>
      </c>
      <c r="O54" s="10" t="str">
        <f t="shared" si="77"/>
        <v/>
      </c>
      <c r="P54" s="12" t="str">
        <f t="shared" si="78"/>
        <v/>
      </c>
      <c r="Q54" s="10" t="str">
        <f t="shared" si="79"/>
        <v/>
      </c>
      <c r="R54" s="13" t="str">
        <f t="shared" si="80"/>
        <v/>
      </c>
      <c r="S54" s="13" t="str">
        <f t="shared" si="35"/>
        <v/>
      </c>
      <c r="T54" s="22" t="str">
        <f>IF(R54&lt;&gt;"",VLOOKUP(P54,Constants!$D$3:$E$10,2),"")</f>
        <v/>
      </c>
    </row>
    <row r="55" spans="2:20" x14ac:dyDescent="0.25">
      <c r="B55" s="59"/>
      <c r="C55" s="59"/>
      <c r="D55" s="60"/>
      <c r="E55" s="59"/>
      <c r="F55" s="59"/>
      <c r="G55" s="59"/>
      <c r="H55" s="61"/>
      <c r="I55" s="61"/>
      <c r="J55" s="61"/>
      <c r="K55" s="62"/>
      <c r="L55" s="10" t="str">
        <f t="shared" si="8"/>
        <v/>
      </c>
      <c r="M55" s="10" t="str">
        <f t="shared" si="9"/>
        <v/>
      </c>
      <c r="N55" s="11" t="str">
        <f t="shared" si="66"/>
        <v/>
      </c>
      <c r="O55" s="10" t="str">
        <f t="shared" si="77"/>
        <v/>
      </c>
      <c r="P55" s="12" t="str">
        <f t="shared" si="78"/>
        <v/>
      </c>
      <c r="Q55" s="10" t="str">
        <f t="shared" si="79"/>
        <v/>
      </c>
      <c r="R55" s="13" t="str">
        <f t="shared" si="80"/>
        <v/>
      </c>
      <c r="S55" s="13" t="str">
        <f t="shared" si="35"/>
        <v/>
      </c>
      <c r="T55" s="22" t="str">
        <f>IF(R55&lt;&gt;"",VLOOKUP(P55,Constants!$D$3:$E$10,2),"")</f>
        <v/>
      </c>
    </row>
    <row r="56" spans="2:20" x14ac:dyDescent="0.25">
      <c r="B56" s="59"/>
      <c r="C56" s="59"/>
      <c r="D56" s="60"/>
      <c r="E56" s="59"/>
      <c r="F56" s="59"/>
      <c r="G56" s="59"/>
      <c r="H56" s="61"/>
      <c r="I56" s="61"/>
      <c r="J56" s="61"/>
      <c r="K56" s="62"/>
      <c r="L56" s="10" t="str">
        <f t="shared" si="8"/>
        <v/>
      </c>
      <c r="M56" s="10" t="str">
        <f t="shared" si="9"/>
        <v/>
      </c>
      <c r="N56" s="11" t="str">
        <f t="shared" si="66"/>
        <v/>
      </c>
      <c r="O56" s="10" t="str">
        <f t="shared" si="77"/>
        <v/>
      </c>
      <c r="P56" s="12" t="str">
        <f t="shared" si="78"/>
        <v/>
      </c>
      <c r="Q56" s="10" t="str">
        <f t="shared" si="79"/>
        <v/>
      </c>
      <c r="R56" s="13" t="str">
        <f t="shared" si="80"/>
        <v/>
      </c>
      <c r="S56" s="13" t="str">
        <f t="shared" si="35"/>
        <v/>
      </c>
      <c r="T56" s="22" t="str">
        <f>IF(R56&lt;&gt;"",VLOOKUP(P56,Constants!$D$3:$E$10,2),"")</f>
        <v/>
      </c>
    </row>
    <row r="57" spans="2:20" x14ac:dyDescent="0.25">
      <c r="B57" s="59"/>
      <c r="C57" s="59"/>
      <c r="D57" s="60"/>
      <c r="E57" s="59"/>
      <c r="F57" s="59"/>
      <c r="G57" s="59"/>
      <c r="H57" s="61"/>
      <c r="I57" s="61"/>
      <c r="J57" s="61"/>
      <c r="K57" s="62"/>
      <c r="L57" s="10" t="str">
        <f t="shared" si="8"/>
        <v/>
      </c>
      <c r="M57" s="10" t="str">
        <f t="shared" si="9"/>
        <v/>
      </c>
      <c r="N57" s="11" t="str">
        <f t="shared" si="66"/>
        <v/>
      </c>
      <c r="O57" s="10" t="str">
        <f t="shared" si="77"/>
        <v/>
      </c>
      <c r="P57" s="12" t="str">
        <f t="shared" si="78"/>
        <v/>
      </c>
      <c r="Q57" s="10" t="str">
        <f t="shared" si="79"/>
        <v/>
      </c>
      <c r="R57" s="13" t="str">
        <f t="shared" si="80"/>
        <v/>
      </c>
      <c r="S57" s="13" t="str">
        <f t="shared" si="35"/>
        <v/>
      </c>
      <c r="T57" s="22" t="str">
        <f>IF(R57&lt;&gt;"",VLOOKUP(P57,Constants!$D$3:$E$10,2),"")</f>
        <v/>
      </c>
    </row>
    <row r="58" spans="2:20" x14ac:dyDescent="0.25">
      <c r="B58" s="59"/>
      <c r="C58" s="59"/>
      <c r="D58" s="60"/>
      <c r="E58" s="59"/>
      <c r="F58" s="59"/>
      <c r="G58" s="59"/>
      <c r="H58" s="61"/>
      <c r="I58" s="61"/>
      <c r="J58" s="61"/>
      <c r="K58" s="62"/>
      <c r="L58" s="10" t="str">
        <f t="shared" si="8"/>
        <v/>
      </c>
      <c r="M58" s="10" t="str">
        <f t="shared" si="9"/>
        <v/>
      </c>
      <c r="N58" s="11" t="str">
        <f t="shared" ref="N58:N81" si="81">IF($L58&lt;&gt;"",SQRT($L58*$L58+$M58*$M58),"")</f>
        <v/>
      </c>
      <c r="O58" s="10" t="str">
        <f t="shared" si="77"/>
        <v/>
      </c>
      <c r="P58" s="12" t="str">
        <f t="shared" si="78"/>
        <v/>
      </c>
      <c r="Q58" s="10" t="str">
        <f t="shared" si="79"/>
        <v/>
      </c>
      <c r="R58" s="13" t="str">
        <f t="shared" si="80"/>
        <v/>
      </c>
      <c r="S58" s="13" t="str">
        <f t="shared" si="35"/>
        <v/>
      </c>
      <c r="T58" s="22" t="str">
        <f>IF(R58&lt;&gt;"",VLOOKUP(P58,Constants!$D$3:$E$10,2),"")</f>
        <v/>
      </c>
    </row>
    <row r="59" spans="2:20" x14ac:dyDescent="0.25">
      <c r="B59" s="59"/>
      <c r="C59" s="59"/>
      <c r="D59" s="60"/>
      <c r="E59" s="59"/>
      <c r="F59" s="59"/>
      <c r="G59" s="59"/>
      <c r="H59" s="61"/>
      <c r="I59" s="61"/>
      <c r="J59" s="61"/>
      <c r="K59" s="62"/>
      <c r="L59" s="10" t="str">
        <f t="shared" si="8"/>
        <v/>
      </c>
      <c r="M59" s="10" t="str">
        <f t="shared" si="9"/>
        <v/>
      </c>
      <c r="N59" s="11" t="str">
        <f t="shared" si="81"/>
        <v/>
      </c>
      <c r="O59" s="10" t="str">
        <f t="shared" si="77"/>
        <v/>
      </c>
      <c r="P59" s="12" t="str">
        <f t="shared" si="78"/>
        <v/>
      </c>
      <c r="Q59" s="10" t="str">
        <f t="shared" si="79"/>
        <v/>
      </c>
      <c r="R59" s="13" t="str">
        <f t="shared" si="80"/>
        <v/>
      </c>
      <c r="S59" s="13" t="str">
        <f t="shared" si="35"/>
        <v/>
      </c>
      <c r="T59" s="22" t="str">
        <f>IF(R59&lt;&gt;"",VLOOKUP(P59,Constants!$D$3:$E$10,2),"")</f>
        <v/>
      </c>
    </row>
    <row r="60" spans="2:20" x14ac:dyDescent="0.25">
      <c r="B60" s="59"/>
      <c r="C60" s="59"/>
      <c r="D60" s="60"/>
      <c r="E60" s="59"/>
      <c r="F60" s="59"/>
      <c r="G60" s="59"/>
      <c r="H60" s="61"/>
      <c r="I60" s="61"/>
      <c r="J60" s="61"/>
      <c r="K60" s="62"/>
      <c r="L60" s="10" t="str">
        <f t="shared" si="8"/>
        <v/>
      </c>
      <c r="M60" s="10" t="str">
        <f t="shared" si="9"/>
        <v/>
      </c>
      <c r="N60" s="11" t="str">
        <f t="shared" si="81"/>
        <v/>
      </c>
      <c r="O60" s="10" t="str">
        <f t="shared" si="77"/>
        <v/>
      </c>
      <c r="P60" s="12" t="str">
        <f t="shared" si="78"/>
        <v/>
      </c>
      <c r="Q60" s="10" t="str">
        <f t="shared" si="79"/>
        <v/>
      </c>
      <c r="R60" s="13" t="str">
        <f t="shared" si="80"/>
        <v/>
      </c>
      <c r="S60" s="13" t="str">
        <f t="shared" si="35"/>
        <v/>
      </c>
      <c r="T60" s="22" t="str">
        <f>IF(R60&lt;&gt;"",VLOOKUP(P60,Constants!$D$3:$E$10,2),"")</f>
        <v/>
      </c>
    </row>
    <row r="61" spans="2:20" x14ac:dyDescent="0.25">
      <c r="B61" s="59"/>
      <c r="C61" s="59"/>
      <c r="D61" s="60"/>
      <c r="E61" s="59"/>
      <c r="F61" s="59"/>
      <c r="G61" s="59"/>
      <c r="H61" s="61"/>
      <c r="I61" s="61"/>
      <c r="J61" s="61"/>
      <c r="K61" s="62"/>
      <c r="L61" s="10" t="str">
        <f t="shared" si="8"/>
        <v/>
      </c>
      <c r="M61" s="10" t="str">
        <f t="shared" si="9"/>
        <v/>
      </c>
      <c r="N61" s="11" t="str">
        <f t="shared" si="81"/>
        <v/>
      </c>
      <c r="O61" s="10" t="str">
        <f t="shared" si="77"/>
        <v/>
      </c>
      <c r="P61" s="12" t="str">
        <f t="shared" si="78"/>
        <v/>
      </c>
      <c r="Q61" s="10" t="str">
        <f t="shared" si="79"/>
        <v/>
      </c>
      <c r="R61" s="13" t="str">
        <f t="shared" si="80"/>
        <v/>
      </c>
      <c r="S61" s="13" t="str">
        <f t="shared" si="35"/>
        <v/>
      </c>
      <c r="T61" s="22" t="str">
        <f>IF(R61&lt;&gt;"",VLOOKUP(P61,Constants!$D$3:$E$10,2),"")</f>
        <v/>
      </c>
    </row>
    <row r="62" spans="2:20" x14ac:dyDescent="0.25">
      <c r="B62" s="59"/>
      <c r="C62" s="59"/>
      <c r="D62" s="60"/>
      <c r="E62" s="59"/>
      <c r="F62" s="59"/>
      <c r="G62" s="59"/>
      <c r="H62" s="61"/>
      <c r="I62" s="61"/>
      <c r="J62" s="61"/>
      <c r="K62" s="62"/>
      <c r="L62" s="10" t="str">
        <f t="shared" si="8"/>
        <v/>
      </c>
      <c r="M62" s="10" t="str">
        <f t="shared" si="9"/>
        <v/>
      </c>
      <c r="N62" s="11" t="str">
        <f t="shared" si="81"/>
        <v/>
      </c>
      <c r="O62" s="10" t="str">
        <f t="shared" si="77"/>
        <v/>
      </c>
      <c r="P62" s="12" t="str">
        <f t="shared" si="78"/>
        <v/>
      </c>
      <c r="Q62" s="10" t="str">
        <f t="shared" si="79"/>
        <v/>
      </c>
      <c r="R62" s="13" t="str">
        <f t="shared" si="80"/>
        <v/>
      </c>
      <c r="S62" s="13" t="str">
        <f t="shared" si="35"/>
        <v/>
      </c>
      <c r="T62" s="22" t="str">
        <f>IF(R62&lt;&gt;"",VLOOKUP(P62,Constants!$D$3:$E$10,2),"")</f>
        <v/>
      </c>
    </row>
    <row r="63" spans="2:20" x14ac:dyDescent="0.25">
      <c r="B63" s="59"/>
      <c r="C63" s="59"/>
      <c r="D63" s="60"/>
      <c r="E63" s="59"/>
      <c r="F63" s="59"/>
      <c r="G63" s="59"/>
      <c r="H63" s="61"/>
      <c r="I63" s="61"/>
      <c r="J63" s="61"/>
      <c r="K63" s="62"/>
      <c r="L63" s="10" t="str">
        <f t="shared" si="8"/>
        <v/>
      </c>
      <c r="M63" s="10" t="str">
        <f t="shared" si="9"/>
        <v/>
      </c>
      <c r="N63" s="11" t="str">
        <f t="shared" si="81"/>
        <v/>
      </c>
      <c r="O63" s="10" t="str">
        <f t="shared" si="77"/>
        <v/>
      </c>
      <c r="P63" s="12" t="str">
        <f t="shared" si="78"/>
        <v/>
      </c>
      <c r="Q63" s="10" t="str">
        <f t="shared" si="79"/>
        <v/>
      </c>
      <c r="R63" s="13" t="str">
        <f t="shared" si="80"/>
        <v/>
      </c>
      <c r="S63" s="13" t="str">
        <f t="shared" si="35"/>
        <v/>
      </c>
      <c r="T63" s="22" t="str">
        <f>IF(R63&lt;&gt;"",VLOOKUP(P63,Constants!$D$3:$E$10,2),"")</f>
        <v/>
      </c>
    </row>
    <row r="64" spans="2:20" x14ac:dyDescent="0.25">
      <c r="B64" s="59"/>
      <c r="C64" s="59"/>
      <c r="D64" s="60"/>
      <c r="E64" s="59"/>
      <c r="F64" s="59"/>
      <c r="G64" s="59"/>
      <c r="H64" s="61"/>
      <c r="I64" s="61"/>
      <c r="J64" s="61"/>
      <c r="K64" s="62"/>
      <c r="L64" s="10" t="str">
        <f t="shared" si="8"/>
        <v/>
      </c>
      <c r="M64" s="10" t="str">
        <f t="shared" si="9"/>
        <v/>
      </c>
      <c r="N64" s="11" t="str">
        <f t="shared" si="81"/>
        <v/>
      </c>
      <c r="O64" s="10" t="str">
        <f t="shared" si="77"/>
        <v/>
      </c>
      <c r="P64" s="12" t="str">
        <f t="shared" si="78"/>
        <v/>
      </c>
      <c r="Q64" s="10" t="str">
        <f t="shared" si="79"/>
        <v/>
      </c>
      <c r="R64" s="13" t="str">
        <f t="shared" si="80"/>
        <v/>
      </c>
      <c r="S64" s="13" t="str">
        <f t="shared" si="35"/>
        <v/>
      </c>
      <c r="T64" s="22" t="str">
        <f>IF(R64&lt;&gt;"",VLOOKUP(P64,Constants!$D$3:$E$10,2),"")</f>
        <v/>
      </c>
    </row>
    <row r="65" spans="2:20" x14ac:dyDescent="0.25">
      <c r="B65" s="59"/>
      <c r="C65" s="59"/>
      <c r="D65" s="60"/>
      <c r="E65" s="59"/>
      <c r="F65" s="59"/>
      <c r="G65" s="59"/>
      <c r="H65" s="61"/>
      <c r="I65" s="61"/>
      <c r="J65" s="61"/>
      <c r="K65" s="62"/>
      <c r="L65" s="10" t="str">
        <f t="shared" si="8"/>
        <v/>
      </c>
      <c r="M65" s="10" t="str">
        <f t="shared" si="9"/>
        <v/>
      </c>
      <c r="N65" s="11" t="str">
        <f t="shared" si="81"/>
        <v/>
      </c>
      <c r="O65" s="10" t="str">
        <f t="shared" si="77"/>
        <v/>
      </c>
      <c r="P65" s="12" t="str">
        <f t="shared" si="78"/>
        <v/>
      </c>
      <c r="Q65" s="10" t="str">
        <f t="shared" si="79"/>
        <v/>
      </c>
      <c r="R65" s="13" t="str">
        <f t="shared" si="80"/>
        <v/>
      </c>
      <c r="S65" s="13" t="str">
        <f t="shared" si="35"/>
        <v/>
      </c>
      <c r="T65" s="22" t="str">
        <f>IF(R65&lt;&gt;"",VLOOKUP(P65,Constants!$D$3:$E$10,2),"")</f>
        <v/>
      </c>
    </row>
    <row r="66" spans="2:20" x14ac:dyDescent="0.25">
      <c r="B66" s="59"/>
      <c r="C66" s="59"/>
      <c r="D66" s="60"/>
      <c r="E66" s="59"/>
      <c r="F66" s="59"/>
      <c r="G66" s="59"/>
      <c r="H66" s="61"/>
      <c r="I66" s="61"/>
      <c r="J66" s="61"/>
      <c r="K66" s="62"/>
      <c r="L66" s="10" t="str">
        <f t="shared" si="8"/>
        <v/>
      </c>
      <c r="M66" s="10" t="str">
        <f t="shared" si="9"/>
        <v/>
      </c>
      <c r="N66" s="11" t="str">
        <f t="shared" si="81"/>
        <v/>
      </c>
      <c r="O66" s="10" t="str">
        <f t="shared" ref="O66:O83" si="82">IF(D66&lt;&gt;"",1000/(2*D66),"")</f>
        <v/>
      </c>
      <c r="P66" s="12" t="str">
        <f t="shared" ref="P66:P83" si="83">IF($N66&lt;&gt;"",D66*SQRT(E66*E66+F66*F66)/16000,"")</f>
        <v/>
      </c>
      <c r="Q66" s="10" t="str">
        <f t="shared" ref="Q66:Q83" si="84">IF(F66&lt;&gt;"",F66*E66/1000000,"")</f>
        <v/>
      </c>
      <c r="R66" s="13" t="str">
        <f t="shared" ref="R66:R83" si="85">IF(G66&lt;&gt;"",1000/G66,"")</f>
        <v/>
      </c>
      <c r="S66" s="13" t="str">
        <f t="shared" si="35"/>
        <v/>
      </c>
      <c r="T66" s="22" t="str">
        <f>IF(R66&lt;&gt;"",VLOOKUP(P66,Constants!$D$3:$E$10,2),"")</f>
        <v/>
      </c>
    </row>
    <row r="67" spans="2:20" x14ac:dyDescent="0.25">
      <c r="B67" s="59"/>
      <c r="C67" s="59"/>
      <c r="D67" s="60"/>
      <c r="E67" s="59"/>
      <c r="F67" s="59"/>
      <c r="G67" s="59"/>
      <c r="H67" s="61"/>
      <c r="I67" s="61"/>
      <c r="J67" s="61"/>
      <c r="K67" s="62"/>
      <c r="L67" s="10" t="str">
        <f t="shared" si="8"/>
        <v/>
      </c>
      <c r="M67" s="10" t="str">
        <f t="shared" si="9"/>
        <v/>
      </c>
      <c r="N67" s="11" t="str">
        <f t="shared" si="81"/>
        <v/>
      </c>
      <c r="O67" s="10" t="str">
        <f t="shared" si="82"/>
        <v/>
      </c>
      <c r="P67" s="12" t="str">
        <f t="shared" si="83"/>
        <v/>
      </c>
      <c r="Q67" s="10" t="str">
        <f t="shared" si="84"/>
        <v/>
      </c>
      <c r="R67" s="13" t="str">
        <f t="shared" si="85"/>
        <v/>
      </c>
      <c r="S67" s="13" t="str">
        <f t="shared" si="35"/>
        <v/>
      </c>
      <c r="T67" s="22" t="str">
        <f>IF(R67&lt;&gt;"",VLOOKUP(P67,Constants!$D$3:$E$10,2),"")</f>
        <v/>
      </c>
    </row>
    <row r="68" spans="2:20" x14ac:dyDescent="0.25">
      <c r="B68" s="59"/>
      <c r="C68" s="59"/>
      <c r="D68" s="60"/>
      <c r="E68" s="59"/>
      <c r="F68" s="59"/>
      <c r="G68" s="59"/>
      <c r="H68" s="61"/>
      <c r="I68" s="61"/>
      <c r="J68" s="61"/>
      <c r="K68" s="62"/>
      <c r="L68" s="10" t="str">
        <f t="shared" si="8"/>
        <v/>
      </c>
      <c r="M68" s="10" t="str">
        <f t="shared" si="9"/>
        <v/>
      </c>
      <c r="N68" s="11" t="str">
        <f t="shared" si="81"/>
        <v/>
      </c>
      <c r="O68" s="10" t="str">
        <f t="shared" si="82"/>
        <v/>
      </c>
      <c r="P68" s="12" t="str">
        <f t="shared" si="83"/>
        <v/>
      </c>
      <c r="Q68" s="10" t="str">
        <f t="shared" si="84"/>
        <v/>
      </c>
      <c r="R68" s="13" t="str">
        <f t="shared" si="85"/>
        <v/>
      </c>
      <c r="S68" s="13" t="str">
        <f t="shared" si="35"/>
        <v/>
      </c>
      <c r="T68" s="22" t="str">
        <f>IF(R68&lt;&gt;"",VLOOKUP(P68,Constants!$D$3:$E$10,2),"")</f>
        <v/>
      </c>
    </row>
    <row r="69" spans="2:20" x14ac:dyDescent="0.25">
      <c r="B69" s="59"/>
      <c r="C69" s="59"/>
      <c r="D69" s="60"/>
      <c r="E69" s="59"/>
      <c r="F69" s="59"/>
      <c r="G69" s="59"/>
      <c r="H69" s="61"/>
      <c r="I69" s="61"/>
      <c r="J69" s="61"/>
      <c r="K69" s="62"/>
      <c r="L69" s="10" t="str">
        <f t="shared" si="8"/>
        <v/>
      </c>
      <c r="M69" s="10" t="str">
        <f t="shared" si="9"/>
        <v/>
      </c>
      <c r="N69" s="11" t="str">
        <f t="shared" si="81"/>
        <v/>
      </c>
      <c r="O69" s="10" t="str">
        <f t="shared" si="82"/>
        <v/>
      </c>
      <c r="P69" s="12" t="str">
        <f t="shared" si="83"/>
        <v/>
      </c>
      <c r="Q69" s="10" t="str">
        <f t="shared" si="84"/>
        <v/>
      </c>
      <c r="R69" s="13" t="str">
        <f t="shared" si="85"/>
        <v/>
      </c>
      <c r="S69" s="13" t="str">
        <f t="shared" si="35"/>
        <v/>
      </c>
      <c r="T69" s="22" t="str">
        <f>IF(R69&lt;&gt;"",VLOOKUP(P69,Constants!$D$3:$E$10,2),"")</f>
        <v/>
      </c>
    </row>
    <row r="70" spans="2:20" x14ac:dyDescent="0.25">
      <c r="B70" s="59"/>
      <c r="C70" s="59"/>
      <c r="D70" s="60"/>
      <c r="E70" s="59"/>
      <c r="F70" s="59"/>
      <c r="G70" s="59"/>
      <c r="H70" s="61"/>
      <c r="I70" s="61"/>
      <c r="J70" s="61"/>
      <c r="K70" s="62"/>
      <c r="L70" s="10" t="str">
        <f t="shared" si="8"/>
        <v/>
      </c>
      <c r="M70" s="10" t="str">
        <f t="shared" si="9"/>
        <v/>
      </c>
      <c r="N70" s="11" t="str">
        <f t="shared" si="81"/>
        <v/>
      </c>
      <c r="O70" s="10" t="str">
        <f t="shared" si="82"/>
        <v/>
      </c>
      <c r="P70" s="12" t="str">
        <f t="shared" si="83"/>
        <v/>
      </c>
      <c r="Q70" s="10" t="str">
        <f t="shared" si="84"/>
        <v/>
      </c>
      <c r="R70" s="13" t="str">
        <f t="shared" si="85"/>
        <v/>
      </c>
      <c r="S70" s="13" t="str">
        <f t="shared" si="35"/>
        <v/>
      </c>
      <c r="T70" s="22" t="str">
        <f>IF(R70&lt;&gt;"",VLOOKUP(P70,Constants!$D$3:$E$10,2),"")</f>
        <v/>
      </c>
    </row>
    <row r="71" spans="2:20" x14ac:dyDescent="0.25">
      <c r="B71" s="59"/>
      <c r="C71" s="59"/>
      <c r="D71" s="60"/>
      <c r="E71" s="59"/>
      <c r="F71" s="59"/>
      <c r="G71" s="59"/>
      <c r="H71" s="61"/>
      <c r="I71" s="61"/>
      <c r="J71" s="61"/>
      <c r="K71" s="62"/>
      <c r="L71" s="10" t="str">
        <f t="shared" si="8"/>
        <v/>
      </c>
      <c r="M71" s="10" t="str">
        <f t="shared" si="9"/>
        <v/>
      </c>
      <c r="N71" s="11" t="str">
        <f t="shared" si="81"/>
        <v/>
      </c>
      <c r="O71" s="10" t="str">
        <f t="shared" si="82"/>
        <v/>
      </c>
      <c r="P71" s="12" t="str">
        <f t="shared" si="83"/>
        <v/>
      </c>
      <c r="Q71" s="10" t="str">
        <f t="shared" si="84"/>
        <v/>
      </c>
      <c r="R71" s="13" t="str">
        <f t="shared" si="85"/>
        <v/>
      </c>
      <c r="S71" s="13" t="str">
        <f t="shared" si="35"/>
        <v/>
      </c>
      <c r="T71" s="22" t="str">
        <f>IF(R71&lt;&gt;"",VLOOKUP(P71,Constants!$D$3:$E$10,2),"")</f>
        <v/>
      </c>
    </row>
    <row r="72" spans="2:20" x14ac:dyDescent="0.25">
      <c r="B72" s="59"/>
      <c r="C72" s="59"/>
      <c r="D72" s="60"/>
      <c r="E72" s="59"/>
      <c r="F72" s="59"/>
      <c r="G72" s="59"/>
      <c r="H72" s="61"/>
      <c r="I72" s="61"/>
      <c r="J72" s="61"/>
      <c r="K72" s="62"/>
      <c r="L72" s="10" t="str">
        <f t="shared" si="8"/>
        <v/>
      </c>
      <c r="M72" s="10" t="str">
        <f t="shared" si="9"/>
        <v/>
      </c>
      <c r="N72" s="11" t="str">
        <f t="shared" si="81"/>
        <v/>
      </c>
      <c r="O72" s="10" t="str">
        <f t="shared" si="82"/>
        <v/>
      </c>
      <c r="P72" s="12" t="str">
        <f t="shared" si="83"/>
        <v/>
      </c>
      <c r="Q72" s="10" t="str">
        <f t="shared" si="84"/>
        <v/>
      </c>
      <c r="R72" s="13" t="str">
        <f t="shared" si="85"/>
        <v/>
      </c>
      <c r="S72" s="13" t="str">
        <f t="shared" si="35"/>
        <v/>
      </c>
      <c r="T72" s="22" t="str">
        <f>IF(R72&lt;&gt;"",VLOOKUP(P72,Constants!$D$3:$E$10,2),"")</f>
        <v/>
      </c>
    </row>
    <row r="73" spans="2:20" x14ac:dyDescent="0.25">
      <c r="B73" s="59"/>
      <c r="C73" s="59"/>
      <c r="D73" s="60"/>
      <c r="E73" s="59"/>
      <c r="F73" s="59"/>
      <c r="G73" s="59"/>
      <c r="H73" s="61"/>
      <c r="I73" s="61"/>
      <c r="J73" s="61"/>
      <c r="K73" s="62"/>
      <c r="L73" s="10" t="str">
        <f t="shared" si="8"/>
        <v/>
      </c>
      <c r="M73" s="10" t="str">
        <f t="shared" si="9"/>
        <v/>
      </c>
      <c r="N73" s="11" t="str">
        <f t="shared" si="81"/>
        <v/>
      </c>
      <c r="O73" s="10" t="str">
        <f t="shared" si="82"/>
        <v/>
      </c>
      <c r="P73" s="12" t="str">
        <f t="shared" si="83"/>
        <v/>
      </c>
      <c r="Q73" s="10" t="str">
        <f t="shared" si="84"/>
        <v/>
      </c>
      <c r="R73" s="13" t="str">
        <f t="shared" si="85"/>
        <v/>
      </c>
      <c r="S73" s="13" t="str">
        <f t="shared" si="35"/>
        <v/>
      </c>
      <c r="T73" s="22" t="str">
        <f>IF(R73&lt;&gt;"",VLOOKUP(P73,Constants!$D$3:$E$10,2),"")</f>
        <v/>
      </c>
    </row>
    <row r="74" spans="2:20" x14ac:dyDescent="0.25">
      <c r="B74" s="59"/>
      <c r="C74" s="59"/>
      <c r="D74" s="60"/>
      <c r="E74" s="59"/>
      <c r="F74" s="59"/>
      <c r="G74" s="59"/>
      <c r="H74" s="61"/>
      <c r="I74" s="61"/>
      <c r="J74" s="61"/>
      <c r="K74" s="62"/>
      <c r="L74" s="10" t="str">
        <f t="shared" si="8"/>
        <v/>
      </c>
      <c r="M74" s="10" t="str">
        <f t="shared" si="9"/>
        <v/>
      </c>
      <c r="N74" s="11" t="str">
        <f t="shared" si="81"/>
        <v/>
      </c>
      <c r="O74" s="10" t="str">
        <f t="shared" si="82"/>
        <v/>
      </c>
      <c r="P74" s="12" t="str">
        <f t="shared" si="83"/>
        <v/>
      </c>
      <c r="Q74" s="10" t="str">
        <f t="shared" si="84"/>
        <v/>
      </c>
      <c r="R74" s="13" t="str">
        <f t="shared" si="85"/>
        <v/>
      </c>
      <c r="S74" s="13" t="str">
        <f t="shared" si="35"/>
        <v/>
      </c>
      <c r="T74" s="22" t="str">
        <f>IF(R74&lt;&gt;"",VLOOKUP(P74,Constants!$D$3:$E$10,2),"")</f>
        <v/>
      </c>
    </row>
    <row r="75" spans="2:20" x14ac:dyDescent="0.25">
      <c r="B75" s="59"/>
      <c r="C75" s="59"/>
      <c r="D75" s="60"/>
      <c r="E75" s="59"/>
      <c r="F75" s="59"/>
      <c r="G75" s="59"/>
      <c r="H75" s="61"/>
      <c r="I75" s="61"/>
      <c r="J75" s="61"/>
      <c r="K75" s="62"/>
      <c r="L75" s="10" t="str">
        <f t="shared" si="8"/>
        <v/>
      </c>
      <c r="M75" s="10" t="str">
        <f t="shared" si="9"/>
        <v/>
      </c>
      <c r="N75" s="11" t="str">
        <f t="shared" si="81"/>
        <v/>
      </c>
      <c r="O75" s="10" t="str">
        <f t="shared" si="82"/>
        <v/>
      </c>
      <c r="P75" s="12" t="str">
        <f t="shared" si="83"/>
        <v/>
      </c>
      <c r="Q75" s="10" t="str">
        <f t="shared" si="84"/>
        <v/>
      </c>
      <c r="R75" s="13" t="str">
        <f t="shared" si="85"/>
        <v/>
      </c>
      <c r="S75" s="13" t="str">
        <f t="shared" si="35"/>
        <v/>
      </c>
      <c r="T75" s="22" t="str">
        <f>IF(R75&lt;&gt;"",VLOOKUP(P75,Constants!$D$3:$E$10,2),"")</f>
        <v/>
      </c>
    </row>
    <row r="76" spans="2:20" x14ac:dyDescent="0.25">
      <c r="B76" s="59"/>
      <c r="C76" s="59"/>
      <c r="D76" s="60"/>
      <c r="E76" s="59"/>
      <c r="F76" s="59"/>
      <c r="G76" s="59"/>
      <c r="H76" s="61"/>
      <c r="I76" s="61"/>
      <c r="J76" s="61"/>
      <c r="K76" s="62"/>
      <c r="L76" s="10" t="str">
        <f t="shared" si="8"/>
        <v/>
      </c>
      <c r="M76" s="10" t="str">
        <f t="shared" si="9"/>
        <v/>
      </c>
      <c r="N76" s="11" t="str">
        <f t="shared" si="81"/>
        <v/>
      </c>
      <c r="O76" s="10" t="str">
        <f t="shared" si="82"/>
        <v/>
      </c>
      <c r="P76" s="12" t="str">
        <f t="shared" si="83"/>
        <v/>
      </c>
      <c r="Q76" s="10" t="str">
        <f t="shared" si="84"/>
        <v/>
      </c>
      <c r="R76" s="13" t="str">
        <f t="shared" si="85"/>
        <v/>
      </c>
      <c r="S76" s="13" t="str">
        <f t="shared" si="35"/>
        <v/>
      </c>
      <c r="T76" s="22" t="str">
        <f>IF(R76&lt;&gt;"",VLOOKUP(P76,Constants!$D$3:$E$10,2),"")</f>
        <v/>
      </c>
    </row>
    <row r="77" spans="2:20" x14ac:dyDescent="0.25">
      <c r="B77" s="59"/>
      <c r="C77" s="59"/>
      <c r="D77" s="60"/>
      <c r="E77" s="59"/>
      <c r="F77" s="59"/>
      <c r="G77" s="59"/>
      <c r="H77" s="61"/>
      <c r="I77" s="61"/>
      <c r="J77" s="61"/>
      <c r="K77" s="62"/>
      <c r="L77" s="10" t="str">
        <f t="shared" si="8"/>
        <v/>
      </c>
      <c r="M77" s="10" t="str">
        <f t="shared" si="9"/>
        <v/>
      </c>
      <c r="N77" s="11" t="str">
        <f t="shared" si="81"/>
        <v/>
      </c>
      <c r="O77" s="10" t="str">
        <f t="shared" si="82"/>
        <v/>
      </c>
      <c r="P77" s="12" t="str">
        <f t="shared" si="83"/>
        <v/>
      </c>
      <c r="Q77" s="10" t="str">
        <f t="shared" si="84"/>
        <v/>
      </c>
      <c r="R77" s="13" t="str">
        <f t="shared" si="85"/>
        <v/>
      </c>
      <c r="S77" s="13" t="str">
        <f t="shared" si="35"/>
        <v/>
      </c>
      <c r="T77" s="22" t="str">
        <f>IF(R77&lt;&gt;"",VLOOKUP(P77,Constants!$D$3:$E$10,2),"")</f>
        <v/>
      </c>
    </row>
    <row r="78" spans="2:20" x14ac:dyDescent="0.25">
      <c r="B78" s="59"/>
      <c r="C78" s="59"/>
      <c r="D78" s="60"/>
      <c r="E78" s="59"/>
      <c r="F78" s="59"/>
      <c r="G78" s="59"/>
      <c r="H78" s="61"/>
      <c r="I78" s="61"/>
      <c r="J78" s="61"/>
      <c r="K78" s="62"/>
      <c r="L78" s="10" t="str">
        <f t="shared" si="8"/>
        <v/>
      </c>
      <c r="M78" s="10" t="str">
        <f t="shared" si="9"/>
        <v/>
      </c>
      <c r="N78" s="11" t="str">
        <f t="shared" si="81"/>
        <v/>
      </c>
      <c r="O78" s="10" t="str">
        <f t="shared" si="82"/>
        <v/>
      </c>
      <c r="P78" s="12" t="str">
        <f t="shared" si="83"/>
        <v/>
      </c>
      <c r="Q78" s="10" t="str">
        <f t="shared" si="84"/>
        <v/>
      </c>
      <c r="R78" s="13" t="str">
        <f t="shared" si="85"/>
        <v/>
      </c>
      <c r="S78" s="13" t="str">
        <f t="shared" si="35"/>
        <v/>
      </c>
      <c r="T78" s="22" t="str">
        <f>IF(R78&lt;&gt;"",VLOOKUP(P78,Constants!$D$3:$E$10,2),"")</f>
        <v/>
      </c>
    </row>
    <row r="79" spans="2:20" x14ac:dyDescent="0.25">
      <c r="B79" s="59"/>
      <c r="C79" s="59"/>
      <c r="D79" s="60"/>
      <c r="E79" s="59"/>
      <c r="F79" s="59"/>
      <c r="G79" s="59"/>
      <c r="H79" s="61"/>
      <c r="I79" s="61"/>
      <c r="J79" s="61"/>
      <c r="K79" s="62"/>
      <c r="L79" s="10" t="str">
        <f t="shared" si="8"/>
        <v/>
      </c>
      <c r="M79" s="10" t="str">
        <f t="shared" si="9"/>
        <v/>
      </c>
      <c r="N79" s="11" t="str">
        <f t="shared" si="81"/>
        <v/>
      </c>
      <c r="O79" s="10" t="str">
        <f t="shared" si="82"/>
        <v/>
      </c>
      <c r="P79" s="12" t="str">
        <f t="shared" si="83"/>
        <v/>
      </c>
      <c r="Q79" s="10" t="str">
        <f t="shared" si="84"/>
        <v/>
      </c>
      <c r="R79" s="13" t="str">
        <f t="shared" si="85"/>
        <v/>
      </c>
      <c r="S79" s="13" t="str">
        <f t="shared" si="35"/>
        <v/>
      </c>
      <c r="T79" s="22" t="str">
        <f>IF(R79&lt;&gt;"",VLOOKUP(P79,Constants!$D$3:$E$10,2),"")</f>
        <v/>
      </c>
    </row>
    <row r="80" spans="2:20" x14ac:dyDescent="0.25">
      <c r="B80" s="59"/>
      <c r="C80" s="59"/>
      <c r="D80" s="60"/>
      <c r="E80" s="59"/>
      <c r="F80" s="59"/>
      <c r="G80" s="59"/>
      <c r="H80" s="61"/>
      <c r="I80" s="61"/>
      <c r="J80" s="61"/>
      <c r="K80" s="62"/>
      <c r="L80" s="10" t="str">
        <f t="shared" si="8"/>
        <v/>
      </c>
      <c r="M80" s="10" t="str">
        <f t="shared" si="9"/>
        <v/>
      </c>
      <c r="N80" s="11" t="str">
        <f t="shared" si="81"/>
        <v/>
      </c>
      <c r="O80" s="10" t="str">
        <f t="shared" si="82"/>
        <v/>
      </c>
      <c r="P80" s="12" t="str">
        <f t="shared" si="83"/>
        <v/>
      </c>
      <c r="Q80" s="10" t="str">
        <f t="shared" si="84"/>
        <v/>
      </c>
      <c r="R80" s="13" t="str">
        <f t="shared" si="85"/>
        <v/>
      </c>
      <c r="S80" s="13" t="str">
        <f t="shared" si="35"/>
        <v/>
      </c>
      <c r="T80" s="22" t="str">
        <f>IF(R80&lt;&gt;"",VLOOKUP(P80,Constants!$D$3:$E$10,2),"")</f>
        <v/>
      </c>
    </row>
    <row r="81" spans="2:20" x14ac:dyDescent="0.25">
      <c r="B81" s="59"/>
      <c r="C81" s="59"/>
      <c r="D81" s="60"/>
      <c r="E81" s="59"/>
      <c r="F81" s="59"/>
      <c r="G81" s="59"/>
      <c r="H81" s="61"/>
      <c r="I81" s="61"/>
      <c r="J81" s="61"/>
      <c r="K81" s="62"/>
      <c r="L81" s="10" t="str">
        <f t="shared" si="8"/>
        <v/>
      </c>
      <c r="M81" s="10" t="str">
        <f t="shared" si="9"/>
        <v/>
      </c>
      <c r="N81" s="11" t="str">
        <f t="shared" si="81"/>
        <v/>
      </c>
      <c r="O81" s="10" t="str">
        <f t="shared" si="82"/>
        <v/>
      </c>
      <c r="P81" s="12" t="str">
        <f t="shared" si="83"/>
        <v/>
      </c>
      <c r="Q81" s="10" t="str">
        <f t="shared" si="84"/>
        <v/>
      </c>
      <c r="R81" s="13" t="str">
        <f t="shared" si="85"/>
        <v/>
      </c>
      <c r="S81" s="13" t="str">
        <f t="shared" si="35"/>
        <v/>
      </c>
      <c r="T81" s="22" t="str">
        <f>IF(R81&lt;&gt;"",VLOOKUP(P81,Constants!$D$3:$E$10,2),"")</f>
        <v/>
      </c>
    </row>
    <row r="82" spans="2:20" x14ac:dyDescent="0.25">
      <c r="B82" s="59"/>
      <c r="C82" s="59"/>
      <c r="D82" s="60"/>
      <c r="E82" s="59"/>
      <c r="F82" s="59"/>
      <c r="G82" s="59"/>
      <c r="H82" s="61"/>
      <c r="I82" s="61"/>
      <c r="J82" s="61"/>
      <c r="K82" s="62"/>
      <c r="L82" s="10" t="str">
        <f t="shared" ref="L82:L145" si="86">IF($D82&lt;&gt;"",$D82*$E82/1000,"")</f>
        <v/>
      </c>
      <c r="M82" s="10" t="str">
        <f t="shared" ref="M82:M145" si="87">IF($D82&lt;&gt;"",$D82*$F82/1000,"")</f>
        <v/>
      </c>
      <c r="N82" s="11" t="str">
        <f t="shared" ref="N82:N145" si="88">IF($L82&lt;&gt;"",SQRT($L82*$L82+$M82*$M82),"")</f>
        <v/>
      </c>
      <c r="O82" s="10" t="str">
        <f t="shared" si="82"/>
        <v/>
      </c>
      <c r="P82" s="12" t="str">
        <f t="shared" si="83"/>
        <v/>
      </c>
      <c r="Q82" s="10" t="str">
        <f t="shared" si="84"/>
        <v/>
      </c>
      <c r="R82" s="13" t="str">
        <f t="shared" si="85"/>
        <v/>
      </c>
      <c r="S82" s="13" t="str">
        <f t="shared" si="35"/>
        <v/>
      </c>
      <c r="T82" s="22" t="str">
        <f>IF(R82&lt;&gt;"",VLOOKUP(P82,Constants!$D$3:$E$10,2),"")</f>
        <v/>
      </c>
    </row>
    <row r="83" spans="2:20" x14ac:dyDescent="0.25">
      <c r="B83" s="59"/>
      <c r="C83" s="59"/>
      <c r="D83" s="60"/>
      <c r="E83" s="59"/>
      <c r="F83" s="59"/>
      <c r="G83" s="59"/>
      <c r="H83" s="61"/>
      <c r="I83" s="61"/>
      <c r="J83" s="61"/>
      <c r="K83" s="62"/>
      <c r="L83" s="10" t="str">
        <f t="shared" si="86"/>
        <v/>
      </c>
      <c r="M83" s="10" t="str">
        <f t="shared" si="87"/>
        <v/>
      </c>
      <c r="N83" s="11" t="str">
        <f t="shared" si="88"/>
        <v/>
      </c>
      <c r="O83" s="10" t="str">
        <f t="shared" si="82"/>
        <v/>
      </c>
      <c r="P83" s="12" t="str">
        <f t="shared" si="83"/>
        <v/>
      </c>
      <c r="Q83" s="10" t="str">
        <f t="shared" si="84"/>
        <v/>
      </c>
      <c r="R83" s="13" t="str">
        <f t="shared" si="85"/>
        <v/>
      </c>
      <c r="S83" s="13" t="str">
        <f t="shared" si="35"/>
        <v/>
      </c>
      <c r="T83" s="22" t="str">
        <f>IF(R83&lt;&gt;"",VLOOKUP(P83,Constants!$D$3:$E$10,2),"")</f>
        <v/>
      </c>
    </row>
    <row r="84" spans="2:20" x14ac:dyDescent="0.25">
      <c r="B84" s="59"/>
      <c r="C84" s="59"/>
      <c r="D84" s="60"/>
      <c r="E84" s="59"/>
      <c r="F84" s="59"/>
      <c r="G84" s="59"/>
      <c r="H84" s="61"/>
      <c r="I84" s="61"/>
      <c r="J84" s="61"/>
      <c r="K84" s="62"/>
      <c r="L84" s="10" t="str">
        <f t="shared" si="86"/>
        <v/>
      </c>
      <c r="M84" s="10" t="str">
        <f t="shared" si="87"/>
        <v/>
      </c>
      <c r="N84" s="11" t="str">
        <f t="shared" si="88"/>
        <v/>
      </c>
      <c r="O84" s="10" t="str">
        <f t="shared" ref="O84:O147" si="89">IF(D84&lt;&gt;"",1000/(2*D84),"")</f>
        <v/>
      </c>
      <c r="P84" s="12" t="str">
        <f t="shared" ref="P84:P147" si="90">IF($N84&lt;&gt;"",D84*SQRT(E84*E84+F84*F84)/16000,"")</f>
        <v/>
      </c>
      <c r="Q84" s="10" t="str">
        <f t="shared" ref="Q84:Q147" si="91">IF(F84&lt;&gt;"",F84*E84/1000000,"")</f>
        <v/>
      </c>
      <c r="R84" s="13" t="str">
        <f t="shared" ref="R84:R147" si="92">IF(G84&lt;&gt;"",1000/G84,"")</f>
        <v/>
      </c>
      <c r="S84" s="13" t="str">
        <f t="shared" ref="S84:S147" si="93">IF(R84&lt;&gt;"",Q84/R84*1000,"")</f>
        <v/>
      </c>
      <c r="T84" s="22" t="str">
        <f>IF(R84&lt;&gt;"",VLOOKUP(P84,Constants!$D$3:$E$10,2),"")</f>
        <v/>
      </c>
    </row>
    <row r="85" spans="2:20" x14ac:dyDescent="0.25">
      <c r="B85" s="59"/>
      <c r="C85" s="59"/>
      <c r="D85" s="60"/>
      <c r="E85" s="59"/>
      <c r="F85" s="59"/>
      <c r="G85" s="59"/>
      <c r="H85" s="61"/>
      <c r="I85" s="61"/>
      <c r="J85" s="61"/>
      <c r="K85" s="62"/>
      <c r="L85" s="10" t="str">
        <f t="shared" si="86"/>
        <v/>
      </c>
      <c r="M85" s="10" t="str">
        <f t="shared" si="87"/>
        <v/>
      </c>
      <c r="N85" s="11" t="str">
        <f t="shared" si="88"/>
        <v/>
      </c>
      <c r="O85" s="10" t="str">
        <f t="shared" si="89"/>
        <v/>
      </c>
      <c r="P85" s="12" t="str">
        <f t="shared" si="90"/>
        <v/>
      </c>
      <c r="Q85" s="10" t="str">
        <f t="shared" si="91"/>
        <v/>
      </c>
      <c r="R85" s="13" t="str">
        <f t="shared" si="92"/>
        <v/>
      </c>
      <c r="S85" s="13" t="str">
        <f t="shared" si="93"/>
        <v/>
      </c>
      <c r="T85" s="22" t="str">
        <f>IF(R85&lt;&gt;"",VLOOKUP(P85,Constants!$D$3:$E$10,2),"")</f>
        <v/>
      </c>
    </row>
    <row r="86" spans="2:20" x14ac:dyDescent="0.25">
      <c r="B86" s="59"/>
      <c r="C86" s="59"/>
      <c r="D86" s="60"/>
      <c r="E86" s="59"/>
      <c r="F86" s="59"/>
      <c r="G86" s="59"/>
      <c r="H86" s="61"/>
      <c r="I86" s="61"/>
      <c r="J86" s="61"/>
      <c r="K86" s="62"/>
      <c r="L86" s="10" t="str">
        <f t="shared" si="86"/>
        <v/>
      </c>
      <c r="M86" s="10" t="str">
        <f t="shared" si="87"/>
        <v/>
      </c>
      <c r="N86" s="11" t="str">
        <f t="shared" si="88"/>
        <v/>
      </c>
      <c r="O86" s="10" t="str">
        <f t="shared" si="89"/>
        <v/>
      </c>
      <c r="P86" s="12" t="str">
        <f t="shared" si="90"/>
        <v/>
      </c>
      <c r="Q86" s="10" t="str">
        <f t="shared" si="91"/>
        <v/>
      </c>
      <c r="R86" s="13" t="str">
        <f t="shared" si="92"/>
        <v/>
      </c>
      <c r="S86" s="13" t="str">
        <f t="shared" si="93"/>
        <v/>
      </c>
      <c r="T86" s="22" t="str">
        <f>IF(R86&lt;&gt;"",VLOOKUP(P86,Constants!$D$3:$E$10,2),"")</f>
        <v/>
      </c>
    </row>
    <row r="87" spans="2:20" x14ac:dyDescent="0.25">
      <c r="B87" s="59"/>
      <c r="C87" s="59"/>
      <c r="D87" s="60"/>
      <c r="E87" s="59"/>
      <c r="F87" s="59"/>
      <c r="G87" s="59"/>
      <c r="H87" s="61"/>
      <c r="I87" s="61"/>
      <c r="J87" s="61"/>
      <c r="K87" s="62"/>
      <c r="L87" s="10" t="str">
        <f t="shared" si="86"/>
        <v/>
      </c>
      <c r="M87" s="10" t="str">
        <f t="shared" si="87"/>
        <v/>
      </c>
      <c r="N87" s="11" t="str">
        <f t="shared" si="88"/>
        <v/>
      </c>
      <c r="O87" s="10" t="str">
        <f t="shared" si="89"/>
        <v/>
      </c>
      <c r="P87" s="12" t="str">
        <f t="shared" si="90"/>
        <v/>
      </c>
      <c r="Q87" s="10" t="str">
        <f t="shared" si="91"/>
        <v/>
      </c>
      <c r="R87" s="13" t="str">
        <f t="shared" si="92"/>
        <v/>
      </c>
      <c r="S87" s="13" t="str">
        <f t="shared" si="93"/>
        <v/>
      </c>
      <c r="T87" s="22" t="str">
        <f>IF(R87&lt;&gt;"",VLOOKUP(P87,Constants!$D$3:$E$10,2),"")</f>
        <v/>
      </c>
    </row>
    <row r="88" spans="2:20" x14ac:dyDescent="0.25">
      <c r="B88" s="59"/>
      <c r="C88" s="59"/>
      <c r="D88" s="60"/>
      <c r="E88" s="59"/>
      <c r="F88" s="59"/>
      <c r="G88" s="59"/>
      <c r="H88" s="61"/>
      <c r="I88" s="61"/>
      <c r="J88" s="61"/>
      <c r="K88" s="62"/>
      <c r="L88" s="10" t="str">
        <f t="shared" si="86"/>
        <v/>
      </c>
      <c r="M88" s="10" t="str">
        <f t="shared" si="87"/>
        <v/>
      </c>
      <c r="N88" s="11" t="str">
        <f t="shared" si="88"/>
        <v/>
      </c>
      <c r="O88" s="10" t="str">
        <f t="shared" si="89"/>
        <v/>
      </c>
      <c r="P88" s="12" t="str">
        <f t="shared" si="90"/>
        <v/>
      </c>
      <c r="Q88" s="10" t="str">
        <f t="shared" si="91"/>
        <v/>
      </c>
      <c r="R88" s="13" t="str">
        <f t="shared" si="92"/>
        <v/>
      </c>
      <c r="S88" s="13" t="str">
        <f t="shared" si="93"/>
        <v/>
      </c>
      <c r="T88" s="22" t="str">
        <f>IF(R88&lt;&gt;"",VLOOKUP(P88,Constants!$D$3:$E$10,2),"")</f>
        <v/>
      </c>
    </row>
    <row r="89" spans="2:20" x14ac:dyDescent="0.25">
      <c r="B89" s="59"/>
      <c r="C89" s="59"/>
      <c r="D89" s="60"/>
      <c r="E89" s="59"/>
      <c r="F89" s="59"/>
      <c r="G89" s="59"/>
      <c r="H89" s="61"/>
      <c r="I89" s="61"/>
      <c r="J89" s="61"/>
      <c r="K89" s="62"/>
      <c r="L89" s="10" t="str">
        <f t="shared" si="86"/>
        <v/>
      </c>
      <c r="M89" s="10" t="str">
        <f t="shared" si="87"/>
        <v/>
      </c>
      <c r="N89" s="11" t="str">
        <f t="shared" si="88"/>
        <v/>
      </c>
      <c r="O89" s="10" t="str">
        <f t="shared" si="89"/>
        <v/>
      </c>
      <c r="P89" s="12" t="str">
        <f t="shared" si="90"/>
        <v/>
      </c>
      <c r="Q89" s="10" t="str">
        <f t="shared" si="91"/>
        <v/>
      </c>
      <c r="R89" s="13" t="str">
        <f t="shared" si="92"/>
        <v/>
      </c>
      <c r="S89" s="13" t="str">
        <f t="shared" si="93"/>
        <v/>
      </c>
      <c r="T89" s="22" t="str">
        <f>IF(R89&lt;&gt;"",VLOOKUP(P89,Constants!$D$3:$E$10,2),"")</f>
        <v/>
      </c>
    </row>
    <row r="90" spans="2:20" x14ac:dyDescent="0.25">
      <c r="B90" s="59"/>
      <c r="C90" s="59"/>
      <c r="D90" s="60"/>
      <c r="E90" s="59"/>
      <c r="F90" s="59"/>
      <c r="G90" s="59"/>
      <c r="H90" s="61"/>
      <c r="I90" s="61"/>
      <c r="J90" s="61"/>
      <c r="K90" s="62"/>
      <c r="L90" s="10" t="str">
        <f t="shared" si="86"/>
        <v/>
      </c>
      <c r="M90" s="10" t="str">
        <f t="shared" si="87"/>
        <v/>
      </c>
      <c r="N90" s="11" t="str">
        <f t="shared" si="88"/>
        <v/>
      </c>
      <c r="O90" s="10" t="str">
        <f t="shared" si="89"/>
        <v/>
      </c>
      <c r="P90" s="12" t="str">
        <f t="shared" si="90"/>
        <v/>
      </c>
      <c r="Q90" s="10" t="str">
        <f t="shared" si="91"/>
        <v/>
      </c>
      <c r="R90" s="13" t="str">
        <f t="shared" si="92"/>
        <v/>
      </c>
      <c r="S90" s="13" t="str">
        <f t="shared" si="93"/>
        <v/>
      </c>
      <c r="T90" s="22" t="str">
        <f>IF(R90&lt;&gt;"",VLOOKUP(P90,Constants!$D$3:$E$10,2),"")</f>
        <v/>
      </c>
    </row>
    <row r="91" spans="2:20" x14ac:dyDescent="0.25">
      <c r="B91" s="59"/>
      <c r="C91" s="59"/>
      <c r="D91" s="60"/>
      <c r="E91" s="59"/>
      <c r="F91" s="59"/>
      <c r="G91" s="59"/>
      <c r="H91" s="61"/>
      <c r="I91" s="61"/>
      <c r="J91" s="61"/>
      <c r="K91" s="62"/>
      <c r="L91" s="10" t="str">
        <f t="shared" si="86"/>
        <v/>
      </c>
      <c r="M91" s="10" t="str">
        <f t="shared" si="87"/>
        <v/>
      </c>
      <c r="N91" s="11" t="str">
        <f t="shared" si="88"/>
        <v/>
      </c>
      <c r="O91" s="10" t="str">
        <f t="shared" si="89"/>
        <v/>
      </c>
      <c r="P91" s="12" t="str">
        <f t="shared" si="90"/>
        <v/>
      </c>
      <c r="Q91" s="10" t="str">
        <f t="shared" si="91"/>
        <v/>
      </c>
      <c r="R91" s="13" t="str">
        <f t="shared" si="92"/>
        <v/>
      </c>
      <c r="S91" s="13" t="str">
        <f t="shared" si="93"/>
        <v/>
      </c>
      <c r="T91" s="22" t="str">
        <f>IF(R91&lt;&gt;"",VLOOKUP(P91,Constants!$D$3:$E$10,2),"")</f>
        <v/>
      </c>
    </row>
    <row r="92" spans="2:20" x14ac:dyDescent="0.25">
      <c r="B92" s="59"/>
      <c r="C92" s="59"/>
      <c r="D92" s="60"/>
      <c r="E92" s="59"/>
      <c r="F92" s="59"/>
      <c r="G92" s="59"/>
      <c r="H92" s="61"/>
      <c r="I92" s="61"/>
      <c r="J92" s="61"/>
      <c r="K92" s="62"/>
      <c r="L92" s="10" t="str">
        <f t="shared" si="86"/>
        <v/>
      </c>
      <c r="M92" s="10" t="str">
        <f t="shared" si="87"/>
        <v/>
      </c>
      <c r="N92" s="11" t="str">
        <f t="shared" si="88"/>
        <v/>
      </c>
      <c r="O92" s="10" t="str">
        <f t="shared" si="89"/>
        <v/>
      </c>
      <c r="P92" s="12" t="str">
        <f t="shared" si="90"/>
        <v/>
      </c>
      <c r="Q92" s="10" t="str">
        <f t="shared" si="91"/>
        <v/>
      </c>
      <c r="R92" s="13" t="str">
        <f t="shared" si="92"/>
        <v/>
      </c>
      <c r="S92" s="13" t="str">
        <f t="shared" si="93"/>
        <v/>
      </c>
      <c r="T92" s="22" t="str">
        <f>IF(R92&lt;&gt;"",VLOOKUP(P92,Constants!$D$3:$E$10,2),"")</f>
        <v/>
      </c>
    </row>
    <row r="93" spans="2:20" x14ac:dyDescent="0.25">
      <c r="B93" s="59"/>
      <c r="C93" s="59"/>
      <c r="D93" s="60"/>
      <c r="E93" s="59"/>
      <c r="F93" s="59"/>
      <c r="G93" s="59"/>
      <c r="H93" s="61"/>
      <c r="I93" s="61"/>
      <c r="J93" s="61"/>
      <c r="K93" s="62"/>
      <c r="L93" s="10" t="str">
        <f t="shared" si="86"/>
        <v/>
      </c>
      <c r="M93" s="10" t="str">
        <f t="shared" si="87"/>
        <v/>
      </c>
      <c r="N93" s="11" t="str">
        <f t="shared" si="88"/>
        <v/>
      </c>
      <c r="O93" s="10" t="str">
        <f t="shared" si="89"/>
        <v/>
      </c>
      <c r="P93" s="12" t="str">
        <f t="shared" si="90"/>
        <v/>
      </c>
      <c r="Q93" s="10" t="str">
        <f t="shared" si="91"/>
        <v/>
      </c>
      <c r="R93" s="13" t="str">
        <f t="shared" si="92"/>
        <v/>
      </c>
      <c r="S93" s="13" t="str">
        <f t="shared" si="93"/>
        <v/>
      </c>
      <c r="T93" s="22" t="str">
        <f>IF(R93&lt;&gt;"",VLOOKUP(P93,Constants!$D$3:$E$10,2),"")</f>
        <v/>
      </c>
    </row>
    <row r="94" spans="2:20" x14ac:dyDescent="0.25">
      <c r="B94" s="59"/>
      <c r="C94" s="59"/>
      <c r="D94" s="60"/>
      <c r="E94" s="59"/>
      <c r="F94" s="59"/>
      <c r="G94" s="59"/>
      <c r="H94" s="61"/>
      <c r="I94" s="61"/>
      <c r="J94" s="61"/>
      <c r="K94" s="62"/>
      <c r="L94" s="10" t="str">
        <f t="shared" si="86"/>
        <v/>
      </c>
      <c r="M94" s="10" t="str">
        <f t="shared" si="87"/>
        <v/>
      </c>
      <c r="N94" s="11" t="str">
        <f t="shared" si="88"/>
        <v/>
      </c>
      <c r="O94" s="10" t="str">
        <f t="shared" si="89"/>
        <v/>
      </c>
      <c r="P94" s="12" t="str">
        <f t="shared" si="90"/>
        <v/>
      </c>
      <c r="Q94" s="10" t="str">
        <f t="shared" si="91"/>
        <v/>
      </c>
      <c r="R94" s="13" t="str">
        <f t="shared" si="92"/>
        <v/>
      </c>
      <c r="S94" s="13" t="str">
        <f t="shared" si="93"/>
        <v/>
      </c>
      <c r="T94" s="22" t="str">
        <f>IF(R94&lt;&gt;"",VLOOKUP(P94,Constants!$D$3:$E$10,2),"")</f>
        <v/>
      </c>
    </row>
    <row r="95" spans="2:20" x14ac:dyDescent="0.25">
      <c r="B95" s="59"/>
      <c r="C95" s="59"/>
      <c r="D95" s="60"/>
      <c r="E95" s="59"/>
      <c r="F95" s="59"/>
      <c r="G95" s="59"/>
      <c r="H95" s="61"/>
      <c r="I95" s="61"/>
      <c r="J95" s="61"/>
      <c r="K95" s="62"/>
      <c r="L95" s="10" t="str">
        <f t="shared" si="86"/>
        <v/>
      </c>
      <c r="M95" s="10" t="str">
        <f t="shared" si="87"/>
        <v/>
      </c>
      <c r="N95" s="11" t="str">
        <f t="shared" si="88"/>
        <v/>
      </c>
      <c r="O95" s="10" t="str">
        <f t="shared" si="89"/>
        <v/>
      </c>
      <c r="P95" s="12" t="str">
        <f t="shared" si="90"/>
        <v/>
      </c>
      <c r="Q95" s="10" t="str">
        <f t="shared" si="91"/>
        <v/>
      </c>
      <c r="R95" s="13" t="str">
        <f t="shared" si="92"/>
        <v/>
      </c>
      <c r="S95" s="13" t="str">
        <f t="shared" si="93"/>
        <v/>
      </c>
      <c r="T95" s="22" t="str">
        <f>IF(R95&lt;&gt;"",VLOOKUP(P95,Constants!$D$3:$E$10,2),"")</f>
        <v/>
      </c>
    </row>
    <row r="96" spans="2:20" x14ac:dyDescent="0.25">
      <c r="B96" s="59"/>
      <c r="C96" s="59"/>
      <c r="D96" s="60"/>
      <c r="E96" s="59"/>
      <c r="F96" s="59"/>
      <c r="G96" s="59"/>
      <c r="H96" s="61"/>
      <c r="I96" s="61"/>
      <c r="J96" s="61"/>
      <c r="K96" s="62"/>
      <c r="L96" s="10" t="str">
        <f t="shared" si="86"/>
        <v/>
      </c>
      <c r="M96" s="10" t="str">
        <f t="shared" si="87"/>
        <v/>
      </c>
      <c r="N96" s="11" t="str">
        <f t="shared" si="88"/>
        <v/>
      </c>
      <c r="O96" s="10" t="str">
        <f t="shared" si="89"/>
        <v/>
      </c>
      <c r="P96" s="12" t="str">
        <f t="shared" si="90"/>
        <v/>
      </c>
      <c r="Q96" s="10" t="str">
        <f t="shared" si="91"/>
        <v/>
      </c>
      <c r="R96" s="13" t="str">
        <f t="shared" si="92"/>
        <v/>
      </c>
      <c r="S96" s="13" t="str">
        <f t="shared" si="93"/>
        <v/>
      </c>
      <c r="T96" s="22" t="str">
        <f>IF(R96&lt;&gt;"",VLOOKUP(P96,Constants!$D$3:$E$10,2),"")</f>
        <v/>
      </c>
    </row>
    <row r="97" spans="2:20" x14ac:dyDescent="0.25">
      <c r="B97" s="59"/>
      <c r="C97" s="59"/>
      <c r="D97" s="60"/>
      <c r="E97" s="59"/>
      <c r="F97" s="59"/>
      <c r="G97" s="59"/>
      <c r="H97" s="61"/>
      <c r="I97" s="61"/>
      <c r="J97" s="61"/>
      <c r="K97" s="62"/>
      <c r="L97" s="10" t="str">
        <f t="shared" si="86"/>
        <v/>
      </c>
      <c r="M97" s="10" t="str">
        <f t="shared" si="87"/>
        <v/>
      </c>
      <c r="N97" s="11" t="str">
        <f t="shared" si="88"/>
        <v/>
      </c>
      <c r="O97" s="10" t="str">
        <f t="shared" si="89"/>
        <v/>
      </c>
      <c r="P97" s="12" t="str">
        <f t="shared" si="90"/>
        <v/>
      </c>
      <c r="Q97" s="10" t="str">
        <f t="shared" si="91"/>
        <v/>
      </c>
      <c r="R97" s="13" t="str">
        <f t="shared" si="92"/>
        <v/>
      </c>
      <c r="S97" s="13" t="str">
        <f t="shared" si="93"/>
        <v/>
      </c>
      <c r="T97" s="22" t="str">
        <f>IF(R97&lt;&gt;"",VLOOKUP(P97,Constants!$D$3:$E$10,2),"")</f>
        <v/>
      </c>
    </row>
    <row r="98" spans="2:20" x14ac:dyDescent="0.25">
      <c r="B98" s="59"/>
      <c r="C98" s="59"/>
      <c r="D98" s="60"/>
      <c r="E98" s="59"/>
      <c r="F98" s="59"/>
      <c r="G98" s="59"/>
      <c r="H98" s="61"/>
      <c r="I98" s="61"/>
      <c r="J98" s="61"/>
      <c r="K98" s="62"/>
      <c r="L98" s="10" t="str">
        <f t="shared" si="86"/>
        <v/>
      </c>
      <c r="M98" s="10" t="str">
        <f t="shared" si="87"/>
        <v/>
      </c>
      <c r="N98" s="11" t="str">
        <f t="shared" si="88"/>
        <v/>
      </c>
      <c r="O98" s="10" t="str">
        <f t="shared" si="89"/>
        <v/>
      </c>
      <c r="P98" s="12" t="str">
        <f t="shared" si="90"/>
        <v/>
      </c>
      <c r="Q98" s="10" t="str">
        <f t="shared" si="91"/>
        <v/>
      </c>
      <c r="R98" s="13" t="str">
        <f t="shared" si="92"/>
        <v/>
      </c>
      <c r="S98" s="13" t="str">
        <f t="shared" si="93"/>
        <v/>
      </c>
      <c r="T98" s="22" t="str">
        <f>IF(R98&lt;&gt;"",VLOOKUP(P98,Constants!$D$3:$E$10,2),"")</f>
        <v/>
      </c>
    </row>
    <row r="99" spans="2:20" x14ac:dyDescent="0.25">
      <c r="B99" s="59"/>
      <c r="C99" s="59"/>
      <c r="D99" s="60"/>
      <c r="E99" s="59"/>
      <c r="F99" s="59"/>
      <c r="G99" s="59"/>
      <c r="H99" s="61"/>
      <c r="I99" s="61"/>
      <c r="J99" s="61"/>
      <c r="K99" s="62"/>
      <c r="L99" s="10" t="str">
        <f t="shared" si="86"/>
        <v/>
      </c>
      <c r="M99" s="10" t="str">
        <f t="shared" si="87"/>
        <v/>
      </c>
      <c r="N99" s="11" t="str">
        <f t="shared" si="88"/>
        <v/>
      </c>
      <c r="O99" s="10" t="str">
        <f t="shared" si="89"/>
        <v/>
      </c>
      <c r="P99" s="12" t="str">
        <f t="shared" si="90"/>
        <v/>
      </c>
      <c r="Q99" s="10" t="str">
        <f t="shared" si="91"/>
        <v/>
      </c>
      <c r="R99" s="13" t="str">
        <f t="shared" si="92"/>
        <v/>
      </c>
      <c r="S99" s="13" t="str">
        <f t="shared" si="93"/>
        <v/>
      </c>
      <c r="T99" s="22" t="str">
        <f>IF(R99&lt;&gt;"",VLOOKUP(P99,Constants!$D$3:$E$10,2),"")</f>
        <v/>
      </c>
    </row>
    <row r="100" spans="2:20" x14ac:dyDescent="0.25">
      <c r="B100" s="59"/>
      <c r="C100" s="59"/>
      <c r="D100" s="60"/>
      <c r="E100" s="59"/>
      <c r="F100" s="59"/>
      <c r="G100" s="59"/>
      <c r="H100" s="61"/>
      <c r="I100" s="61"/>
      <c r="J100" s="61"/>
      <c r="K100" s="62"/>
      <c r="L100" s="10" t="str">
        <f t="shared" si="86"/>
        <v/>
      </c>
      <c r="M100" s="10" t="str">
        <f t="shared" si="87"/>
        <v/>
      </c>
      <c r="N100" s="11" t="str">
        <f t="shared" si="88"/>
        <v/>
      </c>
      <c r="O100" s="10" t="str">
        <f t="shared" si="89"/>
        <v/>
      </c>
      <c r="P100" s="12" t="str">
        <f t="shared" si="90"/>
        <v/>
      </c>
      <c r="Q100" s="10" t="str">
        <f t="shared" si="91"/>
        <v/>
      </c>
      <c r="R100" s="13" t="str">
        <f t="shared" si="92"/>
        <v/>
      </c>
      <c r="S100" s="13" t="str">
        <f t="shared" si="93"/>
        <v/>
      </c>
      <c r="T100" s="22" t="str">
        <f>IF(R100&lt;&gt;"",VLOOKUP(P100,Constants!$D$3:$E$10,2),"")</f>
        <v/>
      </c>
    </row>
    <row r="101" spans="2:20" x14ac:dyDescent="0.25">
      <c r="B101" s="59"/>
      <c r="C101" s="59"/>
      <c r="D101" s="60"/>
      <c r="E101" s="59"/>
      <c r="F101" s="59"/>
      <c r="G101" s="59"/>
      <c r="H101" s="61"/>
      <c r="I101" s="61"/>
      <c r="J101" s="61"/>
      <c r="K101" s="62"/>
      <c r="L101" s="10" t="str">
        <f t="shared" si="86"/>
        <v/>
      </c>
      <c r="M101" s="10" t="str">
        <f t="shared" si="87"/>
        <v/>
      </c>
      <c r="N101" s="11" t="str">
        <f t="shared" si="88"/>
        <v/>
      </c>
      <c r="O101" s="10" t="str">
        <f t="shared" si="89"/>
        <v/>
      </c>
      <c r="P101" s="12" t="str">
        <f t="shared" si="90"/>
        <v/>
      </c>
      <c r="Q101" s="10" t="str">
        <f t="shared" si="91"/>
        <v/>
      </c>
      <c r="R101" s="13" t="str">
        <f t="shared" si="92"/>
        <v/>
      </c>
      <c r="S101" s="13" t="str">
        <f t="shared" si="93"/>
        <v/>
      </c>
      <c r="T101" s="22" t="str">
        <f>IF(R101&lt;&gt;"",VLOOKUP(P101,Constants!$D$3:$E$10,2),"")</f>
        <v/>
      </c>
    </row>
    <row r="102" spans="2:20" x14ac:dyDescent="0.25">
      <c r="B102" s="59"/>
      <c r="C102" s="59"/>
      <c r="D102" s="60"/>
      <c r="E102" s="59"/>
      <c r="F102" s="59"/>
      <c r="G102" s="59"/>
      <c r="H102" s="61"/>
      <c r="I102" s="61"/>
      <c r="J102" s="61"/>
      <c r="K102" s="62"/>
      <c r="L102" s="10" t="str">
        <f t="shared" si="86"/>
        <v/>
      </c>
      <c r="M102" s="10" t="str">
        <f t="shared" si="87"/>
        <v/>
      </c>
      <c r="N102" s="11" t="str">
        <f t="shared" si="88"/>
        <v/>
      </c>
      <c r="O102" s="10" t="str">
        <f t="shared" si="89"/>
        <v/>
      </c>
      <c r="P102" s="12" t="str">
        <f t="shared" si="90"/>
        <v/>
      </c>
      <c r="Q102" s="10" t="str">
        <f t="shared" si="91"/>
        <v/>
      </c>
      <c r="R102" s="13" t="str">
        <f t="shared" si="92"/>
        <v/>
      </c>
      <c r="S102" s="13" t="str">
        <f t="shared" si="93"/>
        <v/>
      </c>
      <c r="T102" s="22" t="str">
        <f>IF(R102&lt;&gt;"",VLOOKUP(P102,Constants!$D$3:$E$10,2),"")</f>
        <v/>
      </c>
    </row>
    <row r="103" spans="2:20" x14ac:dyDescent="0.25">
      <c r="B103" s="59"/>
      <c r="C103" s="59"/>
      <c r="D103" s="60"/>
      <c r="E103" s="59"/>
      <c r="F103" s="59"/>
      <c r="G103" s="59"/>
      <c r="H103" s="61"/>
      <c r="I103" s="61"/>
      <c r="J103" s="61"/>
      <c r="K103" s="62"/>
      <c r="L103" s="10" t="str">
        <f t="shared" si="86"/>
        <v/>
      </c>
      <c r="M103" s="10" t="str">
        <f t="shared" si="87"/>
        <v/>
      </c>
      <c r="N103" s="11" t="str">
        <f t="shared" si="88"/>
        <v/>
      </c>
      <c r="O103" s="10" t="str">
        <f t="shared" si="89"/>
        <v/>
      </c>
      <c r="P103" s="12" t="str">
        <f t="shared" si="90"/>
        <v/>
      </c>
      <c r="Q103" s="10" t="str">
        <f t="shared" si="91"/>
        <v/>
      </c>
      <c r="R103" s="13" t="str">
        <f t="shared" si="92"/>
        <v/>
      </c>
      <c r="S103" s="13" t="str">
        <f t="shared" si="93"/>
        <v/>
      </c>
      <c r="T103" s="22" t="str">
        <f>IF(R103&lt;&gt;"",VLOOKUP(P103,Constants!$D$3:$E$10,2),"")</f>
        <v/>
      </c>
    </row>
    <row r="104" spans="2:20" x14ac:dyDescent="0.25">
      <c r="B104" s="59"/>
      <c r="C104" s="59"/>
      <c r="D104" s="60"/>
      <c r="E104" s="59"/>
      <c r="F104" s="59"/>
      <c r="G104" s="59"/>
      <c r="H104" s="61"/>
      <c r="I104" s="61"/>
      <c r="J104" s="61"/>
      <c r="K104" s="62"/>
      <c r="L104" s="10" t="str">
        <f t="shared" si="86"/>
        <v/>
      </c>
      <c r="M104" s="10" t="str">
        <f t="shared" si="87"/>
        <v/>
      </c>
      <c r="N104" s="11" t="str">
        <f t="shared" si="88"/>
        <v/>
      </c>
      <c r="O104" s="10" t="str">
        <f t="shared" si="89"/>
        <v/>
      </c>
      <c r="P104" s="12" t="str">
        <f t="shared" si="90"/>
        <v/>
      </c>
      <c r="Q104" s="10" t="str">
        <f t="shared" si="91"/>
        <v/>
      </c>
      <c r="R104" s="13" t="str">
        <f t="shared" si="92"/>
        <v/>
      </c>
      <c r="S104" s="13" t="str">
        <f t="shared" si="93"/>
        <v/>
      </c>
      <c r="T104" s="22" t="str">
        <f>IF(R104&lt;&gt;"",VLOOKUP(P104,Constants!$D$3:$E$10,2),"")</f>
        <v/>
      </c>
    </row>
    <row r="105" spans="2:20" x14ac:dyDescent="0.25">
      <c r="B105" s="59"/>
      <c r="C105" s="59"/>
      <c r="D105" s="60"/>
      <c r="E105" s="59"/>
      <c r="F105" s="59"/>
      <c r="G105" s="59"/>
      <c r="H105" s="61"/>
      <c r="I105" s="61"/>
      <c r="J105" s="61"/>
      <c r="K105" s="62"/>
      <c r="L105" s="10" t="str">
        <f t="shared" si="86"/>
        <v/>
      </c>
      <c r="M105" s="10" t="str">
        <f t="shared" si="87"/>
        <v/>
      </c>
      <c r="N105" s="11" t="str">
        <f t="shared" si="88"/>
        <v/>
      </c>
      <c r="O105" s="10" t="str">
        <f t="shared" si="89"/>
        <v/>
      </c>
      <c r="P105" s="12" t="str">
        <f t="shared" si="90"/>
        <v/>
      </c>
      <c r="Q105" s="10" t="str">
        <f t="shared" si="91"/>
        <v/>
      </c>
      <c r="R105" s="13" t="str">
        <f t="shared" si="92"/>
        <v/>
      </c>
      <c r="S105" s="13" t="str">
        <f t="shared" si="93"/>
        <v/>
      </c>
      <c r="T105" s="22" t="str">
        <f>IF(R105&lt;&gt;"",VLOOKUP(P105,Constants!$D$3:$E$10,2),"")</f>
        <v/>
      </c>
    </row>
    <row r="106" spans="2:20" x14ac:dyDescent="0.25">
      <c r="B106" s="59"/>
      <c r="C106" s="59"/>
      <c r="D106" s="60"/>
      <c r="E106" s="59"/>
      <c r="F106" s="59"/>
      <c r="G106" s="59"/>
      <c r="H106" s="61"/>
      <c r="I106" s="61"/>
      <c r="J106" s="61"/>
      <c r="K106" s="62"/>
      <c r="L106" s="10" t="str">
        <f t="shared" si="86"/>
        <v/>
      </c>
      <c r="M106" s="10" t="str">
        <f t="shared" si="87"/>
        <v/>
      </c>
      <c r="N106" s="11" t="str">
        <f t="shared" si="88"/>
        <v/>
      </c>
      <c r="O106" s="10" t="str">
        <f t="shared" si="89"/>
        <v/>
      </c>
      <c r="P106" s="12" t="str">
        <f t="shared" si="90"/>
        <v/>
      </c>
      <c r="Q106" s="10" t="str">
        <f t="shared" si="91"/>
        <v/>
      </c>
      <c r="R106" s="13" t="str">
        <f t="shared" si="92"/>
        <v/>
      </c>
      <c r="S106" s="13" t="str">
        <f t="shared" si="93"/>
        <v/>
      </c>
      <c r="T106" s="22" t="str">
        <f>IF(R106&lt;&gt;"",VLOOKUP(P106,Constants!$D$3:$E$10,2),"")</f>
        <v/>
      </c>
    </row>
    <row r="107" spans="2:20" x14ac:dyDescent="0.25">
      <c r="B107" s="59"/>
      <c r="C107" s="59"/>
      <c r="D107" s="60"/>
      <c r="E107" s="59"/>
      <c r="F107" s="59"/>
      <c r="G107" s="59"/>
      <c r="H107" s="61"/>
      <c r="I107" s="61"/>
      <c r="J107" s="61"/>
      <c r="K107" s="62"/>
      <c r="L107" s="10" t="str">
        <f t="shared" si="86"/>
        <v/>
      </c>
      <c r="M107" s="10" t="str">
        <f t="shared" si="87"/>
        <v/>
      </c>
      <c r="N107" s="11" t="str">
        <f t="shared" si="88"/>
        <v/>
      </c>
      <c r="O107" s="10" t="str">
        <f t="shared" si="89"/>
        <v/>
      </c>
      <c r="P107" s="12" t="str">
        <f t="shared" si="90"/>
        <v/>
      </c>
      <c r="Q107" s="10" t="str">
        <f t="shared" si="91"/>
        <v/>
      </c>
      <c r="R107" s="13" t="str">
        <f t="shared" si="92"/>
        <v/>
      </c>
      <c r="S107" s="13" t="str">
        <f t="shared" si="93"/>
        <v/>
      </c>
      <c r="T107" s="22" t="str">
        <f>IF(R107&lt;&gt;"",VLOOKUP(P107,Constants!$D$3:$E$10,2),"")</f>
        <v/>
      </c>
    </row>
    <row r="108" spans="2:20" x14ac:dyDescent="0.25">
      <c r="B108" s="59"/>
      <c r="C108" s="59"/>
      <c r="D108" s="60"/>
      <c r="E108" s="59"/>
      <c r="F108" s="59"/>
      <c r="G108" s="59"/>
      <c r="H108" s="61"/>
      <c r="I108" s="61"/>
      <c r="J108" s="61"/>
      <c r="K108" s="62"/>
      <c r="L108" s="10" t="str">
        <f t="shared" si="86"/>
        <v/>
      </c>
      <c r="M108" s="10" t="str">
        <f t="shared" si="87"/>
        <v/>
      </c>
      <c r="N108" s="11" t="str">
        <f t="shared" si="88"/>
        <v/>
      </c>
      <c r="O108" s="10" t="str">
        <f t="shared" si="89"/>
        <v/>
      </c>
      <c r="P108" s="12" t="str">
        <f t="shared" si="90"/>
        <v/>
      </c>
      <c r="Q108" s="10" t="str">
        <f t="shared" si="91"/>
        <v/>
      </c>
      <c r="R108" s="13" t="str">
        <f t="shared" si="92"/>
        <v/>
      </c>
      <c r="S108" s="13" t="str">
        <f t="shared" si="93"/>
        <v/>
      </c>
      <c r="T108" s="22" t="str">
        <f>IF(R108&lt;&gt;"",VLOOKUP(P108,Constants!$D$3:$E$10,2),"")</f>
        <v/>
      </c>
    </row>
    <row r="109" spans="2:20" x14ac:dyDescent="0.25">
      <c r="B109" s="59"/>
      <c r="C109" s="59"/>
      <c r="D109" s="60"/>
      <c r="E109" s="59"/>
      <c r="F109" s="59"/>
      <c r="G109" s="59"/>
      <c r="H109" s="61"/>
      <c r="I109" s="61"/>
      <c r="J109" s="61"/>
      <c r="K109" s="62"/>
      <c r="L109" s="10" t="str">
        <f t="shared" si="86"/>
        <v/>
      </c>
      <c r="M109" s="10" t="str">
        <f t="shared" si="87"/>
        <v/>
      </c>
      <c r="N109" s="11" t="str">
        <f t="shared" si="88"/>
        <v/>
      </c>
      <c r="O109" s="10" t="str">
        <f t="shared" si="89"/>
        <v/>
      </c>
      <c r="P109" s="12" t="str">
        <f t="shared" si="90"/>
        <v/>
      </c>
      <c r="Q109" s="10" t="str">
        <f t="shared" si="91"/>
        <v/>
      </c>
      <c r="R109" s="13" t="str">
        <f t="shared" si="92"/>
        <v/>
      </c>
      <c r="S109" s="13" t="str">
        <f t="shared" si="93"/>
        <v/>
      </c>
      <c r="T109" s="22" t="str">
        <f>IF(R109&lt;&gt;"",VLOOKUP(P109,Constants!$D$3:$E$10,2),"")</f>
        <v/>
      </c>
    </row>
    <row r="110" spans="2:20" x14ac:dyDescent="0.25">
      <c r="B110" s="59"/>
      <c r="C110" s="59"/>
      <c r="D110" s="60"/>
      <c r="E110" s="59"/>
      <c r="F110" s="59"/>
      <c r="G110" s="59"/>
      <c r="H110" s="61"/>
      <c r="I110" s="61"/>
      <c r="J110" s="61"/>
      <c r="K110" s="62"/>
      <c r="L110" s="10" t="str">
        <f t="shared" si="86"/>
        <v/>
      </c>
      <c r="M110" s="10" t="str">
        <f t="shared" si="87"/>
        <v/>
      </c>
      <c r="N110" s="11" t="str">
        <f t="shared" si="88"/>
        <v/>
      </c>
      <c r="O110" s="10" t="str">
        <f t="shared" si="89"/>
        <v/>
      </c>
      <c r="P110" s="12" t="str">
        <f t="shared" si="90"/>
        <v/>
      </c>
      <c r="Q110" s="10" t="str">
        <f t="shared" si="91"/>
        <v/>
      </c>
      <c r="R110" s="13" t="str">
        <f t="shared" si="92"/>
        <v/>
      </c>
      <c r="S110" s="13" t="str">
        <f t="shared" si="93"/>
        <v/>
      </c>
      <c r="T110" s="22" t="str">
        <f>IF(R110&lt;&gt;"",VLOOKUP(P110,Constants!$D$3:$E$10,2),"")</f>
        <v/>
      </c>
    </row>
    <row r="111" spans="2:20" x14ac:dyDescent="0.25">
      <c r="B111" s="59"/>
      <c r="C111" s="59"/>
      <c r="D111" s="60"/>
      <c r="E111" s="59"/>
      <c r="F111" s="59"/>
      <c r="G111" s="59"/>
      <c r="H111" s="61"/>
      <c r="I111" s="61"/>
      <c r="J111" s="61"/>
      <c r="K111" s="62"/>
      <c r="L111" s="10" t="str">
        <f t="shared" si="86"/>
        <v/>
      </c>
      <c r="M111" s="10" t="str">
        <f t="shared" si="87"/>
        <v/>
      </c>
      <c r="N111" s="11" t="str">
        <f t="shared" si="88"/>
        <v/>
      </c>
      <c r="O111" s="10" t="str">
        <f t="shared" si="89"/>
        <v/>
      </c>
      <c r="P111" s="12" t="str">
        <f t="shared" si="90"/>
        <v/>
      </c>
      <c r="Q111" s="10" t="str">
        <f t="shared" si="91"/>
        <v/>
      </c>
      <c r="R111" s="13" t="str">
        <f t="shared" si="92"/>
        <v/>
      </c>
      <c r="S111" s="13" t="str">
        <f t="shared" si="93"/>
        <v/>
      </c>
      <c r="T111" s="22" t="str">
        <f>IF(R111&lt;&gt;"",VLOOKUP(P111,Constants!$D$3:$E$10,2),"")</f>
        <v/>
      </c>
    </row>
    <row r="112" spans="2:20" x14ac:dyDescent="0.25">
      <c r="B112" s="59"/>
      <c r="C112" s="59"/>
      <c r="D112" s="60"/>
      <c r="E112" s="59"/>
      <c r="F112" s="59"/>
      <c r="G112" s="59"/>
      <c r="H112" s="61"/>
      <c r="I112" s="61"/>
      <c r="J112" s="61"/>
      <c r="K112" s="62"/>
      <c r="L112" s="10" t="str">
        <f t="shared" si="86"/>
        <v/>
      </c>
      <c r="M112" s="10" t="str">
        <f t="shared" si="87"/>
        <v/>
      </c>
      <c r="N112" s="11" t="str">
        <f t="shared" si="88"/>
        <v/>
      </c>
      <c r="O112" s="10" t="str">
        <f t="shared" si="89"/>
        <v/>
      </c>
      <c r="P112" s="12" t="str">
        <f t="shared" si="90"/>
        <v/>
      </c>
      <c r="Q112" s="10" t="str">
        <f t="shared" si="91"/>
        <v/>
      </c>
      <c r="R112" s="13" t="str">
        <f t="shared" si="92"/>
        <v/>
      </c>
      <c r="S112" s="13" t="str">
        <f t="shared" si="93"/>
        <v/>
      </c>
      <c r="T112" s="22" t="str">
        <f>IF(R112&lt;&gt;"",VLOOKUP(P112,Constants!$D$3:$E$10,2),"")</f>
        <v/>
      </c>
    </row>
    <row r="113" spans="2:20" x14ac:dyDescent="0.25">
      <c r="B113" s="59"/>
      <c r="C113" s="59"/>
      <c r="D113" s="60"/>
      <c r="E113" s="59"/>
      <c r="F113" s="59"/>
      <c r="G113" s="59"/>
      <c r="H113" s="61"/>
      <c r="I113" s="61"/>
      <c r="J113" s="61"/>
      <c r="K113" s="62"/>
      <c r="L113" s="10" t="str">
        <f t="shared" si="86"/>
        <v/>
      </c>
      <c r="M113" s="10" t="str">
        <f t="shared" si="87"/>
        <v/>
      </c>
      <c r="N113" s="11" t="str">
        <f t="shared" si="88"/>
        <v/>
      </c>
      <c r="O113" s="10" t="str">
        <f t="shared" si="89"/>
        <v/>
      </c>
      <c r="P113" s="12" t="str">
        <f t="shared" si="90"/>
        <v/>
      </c>
      <c r="Q113" s="10" t="str">
        <f t="shared" si="91"/>
        <v/>
      </c>
      <c r="R113" s="13" t="str">
        <f t="shared" si="92"/>
        <v/>
      </c>
      <c r="S113" s="13" t="str">
        <f t="shared" si="93"/>
        <v/>
      </c>
      <c r="T113" s="22" t="str">
        <f>IF(R113&lt;&gt;"",VLOOKUP(P113,Constants!$D$3:$E$10,2),"")</f>
        <v/>
      </c>
    </row>
    <row r="114" spans="2:20" x14ac:dyDescent="0.25">
      <c r="B114" s="59"/>
      <c r="C114" s="59"/>
      <c r="D114" s="60"/>
      <c r="E114" s="59"/>
      <c r="F114" s="59"/>
      <c r="G114" s="59"/>
      <c r="H114" s="61"/>
      <c r="I114" s="61"/>
      <c r="J114" s="61"/>
      <c r="K114" s="62"/>
      <c r="L114" s="10" t="str">
        <f t="shared" si="86"/>
        <v/>
      </c>
      <c r="M114" s="10" t="str">
        <f t="shared" si="87"/>
        <v/>
      </c>
      <c r="N114" s="11" t="str">
        <f t="shared" si="88"/>
        <v/>
      </c>
      <c r="O114" s="10" t="str">
        <f t="shared" si="89"/>
        <v/>
      </c>
      <c r="P114" s="12" t="str">
        <f t="shared" si="90"/>
        <v/>
      </c>
      <c r="Q114" s="10" t="str">
        <f t="shared" si="91"/>
        <v/>
      </c>
      <c r="R114" s="13" t="str">
        <f t="shared" si="92"/>
        <v/>
      </c>
      <c r="S114" s="13" t="str">
        <f t="shared" si="93"/>
        <v/>
      </c>
      <c r="T114" s="22" t="str">
        <f>IF(R114&lt;&gt;"",VLOOKUP(P114,Constants!$D$3:$E$10,2),"")</f>
        <v/>
      </c>
    </row>
    <row r="115" spans="2:20" x14ac:dyDescent="0.25">
      <c r="B115" s="59"/>
      <c r="C115" s="59"/>
      <c r="D115" s="60"/>
      <c r="E115" s="59"/>
      <c r="F115" s="59"/>
      <c r="G115" s="59"/>
      <c r="H115" s="61"/>
      <c r="I115" s="61"/>
      <c r="J115" s="61"/>
      <c r="K115" s="62"/>
      <c r="L115" s="10" t="str">
        <f t="shared" si="86"/>
        <v/>
      </c>
      <c r="M115" s="10" t="str">
        <f t="shared" si="87"/>
        <v/>
      </c>
      <c r="N115" s="11" t="str">
        <f t="shared" si="88"/>
        <v/>
      </c>
      <c r="O115" s="10" t="str">
        <f t="shared" si="89"/>
        <v/>
      </c>
      <c r="P115" s="12" t="str">
        <f t="shared" si="90"/>
        <v/>
      </c>
      <c r="Q115" s="10" t="str">
        <f t="shared" si="91"/>
        <v/>
      </c>
      <c r="R115" s="13" t="str">
        <f t="shared" si="92"/>
        <v/>
      </c>
      <c r="S115" s="13" t="str">
        <f t="shared" si="93"/>
        <v/>
      </c>
      <c r="T115" s="22" t="str">
        <f>IF(R115&lt;&gt;"",VLOOKUP(P115,Constants!$D$3:$E$10,2),"")</f>
        <v/>
      </c>
    </row>
    <row r="116" spans="2:20" x14ac:dyDescent="0.25">
      <c r="B116" s="59"/>
      <c r="C116" s="59"/>
      <c r="D116" s="60"/>
      <c r="E116" s="59"/>
      <c r="F116" s="59"/>
      <c r="G116" s="59"/>
      <c r="H116" s="61"/>
      <c r="I116" s="61"/>
      <c r="J116" s="61"/>
      <c r="K116" s="62"/>
      <c r="L116" s="10" t="str">
        <f t="shared" si="86"/>
        <v/>
      </c>
      <c r="M116" s="10" t="str">
        <f t="shared" si="87"/>
        <v/>
      </c>
      <c r="N116" s="11" t="str">
        <f t="shared" si="88"/>
        <v/>
      </c>
      <c r="O116" s="10" t="str">
        <f t="shared" si="89"/>
        <v/>
      </c>
      <c r="P116" s="12" t="str">
        <f t="shared" si="90"/>
        <v/>
      </c>
      <c r="Q116" s="10" t="str">
        <f t="shared" si="91"/>
        <v/>
      </c>
      <c r="R116" s="13" t="str">
        <f t="shared" si="92"/>
        <v/>
      </c>
      <c r="S116" s="13" t="str">
        <f t="shared" si="93"/>
        <v/>
      </c>
      <c r="T116" s="22" t="str">
        <f>IF(R116&lt;&gt;"",VLOOKUP(P116,Constants!$D$3:$E$10,2),"")</f>
        <v/>
      </c>
    </row>
    <row r="117" spans="2:20" x14ac:dyDescent="0.25">
      <c r="B117" s="59"/>
      <c r="C117" s="59"/>
      <c r="D117" s="60"/>
      <c r="E117" s="59"/>
      <c r="F117" s="59"/>
      <c r="G117" s="59"/>
      <c r="H117" s="61"/>
      <c r="I117" s="61"/>
      <c r="J117" s="61"/>
      <c r="K117" s="62"/>
      <c r="L117" s="10" t="str">
        <f t="shared" si="86"/>
        <v/>
      </c>
      <c r="M117" s="10" t="str">
        <f t="shared" si="87"/>
        <v/>
      </c>
      <c r="N117" s="11" t="str">
        <f t="shared" si="88"/>
        <v/>
      </c>
      <c r="O117" s="10" t="str">
        <f t="shared" si="89"/>
        <v/>
      </c>
      <c r="P117" s="12" t="str">
        <f t="shared" si="90"/>
        <v/>
      </c>
      <c r="Q117" s="10" t="str">
        <f t="shared" si="91"/>
        <v/>
      </c>
      <c r="R117" s="13" t="str">
        <f t="shared" si="92"/>
        <v/>
      </c>
      <c r="S117" s="13" t="str">
        <f t="shared" si="93"/>
        <v/>
      </c>
      <c r="T117" s="22" t="str">
        <f>IF(R117&lt;&gt;"",VLOOKUP(P117,Constants!$D$3:$E$10,2),"")</f>
        <v/>
      </c>
    </row>
    <row r="118" spans="2:20" x14ac:dyDescent="0.25">
      <c r="B118" s="59"/>
      <c r="C118" s="59"/>
      <c r="D118" s="60"/>
      <c r="E118" s="59"/>
      <c r="F118" s="59"/>
      <c r="G118" s="59"/>
      <c r="H118" s="61"/>
      <c r="I118" s="61"/>
      <c r="J118" s="61"/>
      <c r="K118" s="62"/>
      <c r="L118" s="10" t="str">
        <f t="shared" si="86"/>
        <v/>
      </c>
      <c r="M118" s="10" t="str">
        <f t="shared" si="87"/>
        <v/>
      </c>
      <c r="N118" s="11" t="str">
        <f t="shared" si="88"/>
        <v/>
      </c>
      <c r="O118" s="10" t="str">
        <f t="shared" si="89"/>
        <v/>
      </c>
      <c r="P118" s="12" t="str">
        <f t="shared" si="90"/>
        <v/>
      </c>
      <c r="Q118" s="10" t="str">
        <f t="shared" si="91"/>
        <v/>
      </c>
      <c r="R118" s="13" t="str">
        <f t="shared" si="92"/>
        <v/>
      </c>
      <c r="S118" s="13" t="str">
        <f t="shared" si="93"/>
        <v/>
      </c>
      <c r="T118" s="22" t="str">
        <f>IF(R118&lt;&gt;"",VLOOKUP(P118,Constants!$D$3:$E$10,2),"")</f>
        <v/>
      </c>
    </row>
    <row r="119" spans="2:20" x14ac:dyDescent="0.25">
      <c r="B119" s="59"/>
      <c r="C119" s="59"/>
      <c r="D119" s="60"/>
      <c r="E119" s="59"/>
      <c r="F119" s="59"/>
      <c r="G119" s="59"/>
      <c r="H119" s="61"/>
      <c r="I119" s="61"/>
      <c r="J119" s="61"/>
      <c r="K119" s="62"/>
      <c r="L119" s="10" t="str">
        <f t="shared" si="86"/>
        <v/>
      </c>
      <c r="M119" s="10" t="str">
        <f t="shared" si="87"/>
        <v/>
      </c>
      <c r="N119" s="11" t="str">
        <f t="shared" si="88"/>
        <v/>
      </c>
      <c r="O119" s="10" t="str">
        <f t="shared" si="89"/>
        <v/>
      </c>
      <c r="P119" s="12" t="str">
        <f t="shared" si="90"/>
        <v/>
      </c>
      <c r="Q119" s="10" t="str">
        <f t="shared" si="91"/>
        <v/>
      </c>
      <c r="R119" s="13" t="str">
        <f t="shared" si="92"/>
        <v/>
      </c>
      <c r="S119" s="13" t="str">
        <f t="shared" si="93"/>
        <v/>
      </c>
      <c r="T119" s="22" t="str">
        <f>IF(R119&lt;&gt;"",VLOOKUP(P119,Constants!$D$3:$E$10,2),"")</f>
        <v/>
      </c>
    </row>
    <row r="120" spans="2:20" x14ac:dyDescent="0.25">
      <c r="B120" s="59"/>
      <c r="C120" s="59"/>
      <c r="D120" s="60"/>
      <c r="E120" s="59"/>
      <c r="F120" s="59"/>
      <c r="G120" s="59"/>
      <c r="H120" s="61"/>
      <c r="I120" s="61"/>
      <c r="J120" s="61"/>
      <c r="K120" s="62"/>
      <c r="L120" s="10" t="str">
        <f t="shared" si="86"/>
        <v/>
      </c>
      <c r="M120" s="10" t="str">
        <f t="shared" si="87"/>
        <v/>
      </c>
      <c r="N120" s="11" t="str">
        <f t="shared" si="88"/>
        <v/>
      </c>
      <c r="O120" s="10" t="str">
        <f t="shared" si="89"/>
        <v/>
      </c>
      <c r="P120" s="12" t="str">
        <f t="shared" si="90"/>
        <v/>
      </c>
      <c r="Q120" s="10" t="str">
        <f t="shared" si="91"/>
        <v/>
      </c>
      <c r="R120" s="13" t="str">
        <f t="shared" si="92"/>
        <v/>
      </c>
      <c r="S120" s="13" t="str">
        <f t="shared" si="93"/>
        <v/>
      </c>
      <c r="T120" s="22" t="str">
        <f>IF(R120&lt;&gt;"",VLOOKUP(P120,Constants!$D$3:$E$10,2),"")</f>
        <v/>
      </c>
    </row>
    <row r="121" spans="2:20" x14ac:dyDescent="0.25">
      <c r="B121" s="59"/>
      <c r="C121" s="59"/>
      <c r="D121" s="60"/>
      <c r="E121" s="59"/>
      <c r="F121" s="59"/>
      <c r="G121" s="59"/>
      <c r="H121" s="61"/>
      <c r="I121" s="61"/>
      <c r="J121" s="61"/>
      <c r="K121" s="62"/>
      <c r="L121" s="10" t="str">
        <f t="shared" si="86"/>
        <v/>
      </c>
      <c r="M121" s="10" t="str">
        <f t="shared" si="87"/>
        <v/>
      </c>
      <c r="N121" s="11" t="str">
        <f t="shared" si="88"/>
        <v/>
      </c>
      <c r="O121" s="10" t="str">
        <f t="shared" si="89"/>
        <v/>
      </c>
      <c r="P121" s="12" t="str">
        <f t="shared" si="90"/>
        <v/>
      </c>
      <c r="Q121" s="10" t="str">
        <f t="shared" si="91"/>
        <v/>
      </c>
      <c r="R121" s="13" t="str">
        <f t="shared" si="92"/>
        <v/>
      </c>
      <c r="S121" s="13" t="str">
        <f t="shared" si="93"/>
        <v/>
      </c>
      <c r="T121" s="22" t="str">
        <f>IF(R121&lt;&gt;"",VLOOKUP(P121,Constants!$D$3:$E$10,2),"")</f>
        <v/>
      </c>
    </row>
    <row r="122" spans="2:20" x14ac:dyDescent="0.25">
      <c r="B122" s="59"/>
      <c r="C122" s="59"/>
      <c r="D122" s="60"/>
      <c r="E122" s="59"/>
      <c r="F122" s="59"/>
      <c r="G122" s="59"/>
      <c r="H122" s="61"/>
      <c r="I122" s="61"/>
      <c r="J122" s="61"/>
      <c r="K122" s="62"/>
      <c r="L122" s="10" t="str">
        <f t="shared" si="86"/>
        <v/>
      </c>
      <c r="M122" s="10" t="str">
        <f t="shared" si="87"/>
        <v/>
      </c>
      <c r="N122" s="11" t="str">
        <f t="shared" si="88"/>
        <v/>
      </c>
      <c r="O122" s="10" t="str">
        <f t="shared" si="89"/>
        <v/>
      </c>
      <c r="P122" s="12" t="str">
        <f t="shared" si="90"/>
        <v/>
      </c>
      <c r="Q122" s="10" t="str">
        <f t="shared" si="91"/>
        <v/>
      </c>
      <c r="R122" s="13" t="str">
        <f t="shared" si="92"/>
        <v/>
      </c>
      <c r="S122" s="13" t="str">
        <f t="shared" si="93"/>
        <v/>
      </c>
      <c r="T122" s="22" t="str">
        <f>IF(R122&lt;&gt;"",VLOOKUP(P122,Constants!$D$3:$E$10,2),"")</f>
        <v/>
      </c>
    </row>
    <row r="123" spans="2:20" x14ac:dyDescent="0.25">
      <c r="B123" s="59"/>
      <c r="C123" s="59"/>
      <c r="D123" s="60"/>
      <c r="E123" s="59"/>
      <c r="F123" s="59"/>
      <c r="G123" s="59"/>
      <c r="H123" s="61"/>
      <c r="I123" s="61"/>
      <c r="J123" s="61"/>
      <c r="K123" s="62"/>
      <c r="L123" s="10" t="str">
        <f t="shared" si="86"/>
        <v/>
      </c>
      <c r="M123" s="10" t="str">
        <f t="shared" si="87"/>
        <v/>
      </c>
      <c r="N123" s="11" t="str">
        <f t="shared" si="88"/>
        <v/>
      </c>
      <c r="O123" s="10" t="str">
        <f t="shared" si="89"/>
        <v/>
      </c>
      <c r="P123" s="12" t="str">
        <f t="shared" si="90"/>
        <v/>
      </c>
      <c r="Q123" s="10" t="str">
        <f t="shared" si="91"/>
        <v/>
      </c>
      <c r="R123" s="13" t="str">
        <f t="shared" si="92"/>
        <v/>
      </c>
      <c r="S123" s="13" t="str">
        <f t="shared" si="93"/>
        <v/>
      </c>
      <c r="T123" s="22" t="str">
        <f>IF(R123&lt;&gt;"",VLOOKUP(P123,Constants!$D$3:$E$10,2),"")</f>
        <v/>
      </c>
    </row>
    <row r="124" spans="2:20" x14ac:dyDescent="0.25">
      <c r="B124" s="59"/>
      <c r="C124" s="59"/>
      <c r="D124" s="60"/>
      <c r="E124" s="59"/>
      <c r="F124" s="59"/>
      <c r="G124" s="59"/>
      <c r="H124" s="61"/>
      <c r="I124" s="61"/>
      <c r="J124" s="61"/>
      <c r="K124" s="62"/>
      <c r="L124" s="10" t="str">
        <f t="shared" si="86"/>
        <v/>
      </c>
      <c r="M124" s="10" t="str">
        <f t="shared" si="87"/>
        <v/>
      </c>
      <c r="N124" s="11" t="str">
        <f t="shared" si="88"/>
        <v/>
      </c>
      <c r="O124" s="10" t="str">
        <f t="shared" si="89"/>
        <v/>
      </c>
      <c r="P124" s="12" t="str">
        <f t="shared" si="90"/>
        <v/>
      </c>
      <c r="Q124" s="10" t="str">
        <f t="shared" si="91"/>
        <v/>
      </c>
      <c r="R124" s="13" t="str">
        <f t="shared" si="92"/>
        <v/>
      </c>
      <c r="S124" s="13" t="str">
        <f t="shared" si="93"/>
        <v/>
      </c>
      <c r="T124" s="22" t="str">
        <f>IF(R124&lt;&gt;"",VLOOKUP(P124,Constants!$D$3:$E$10,2),"")</f>
        <v/>
      </c>
    </row>
    <row r="125" spans="2:20" x14ac:dyDescent="0.25">
      <c r="B125" s="59"/>
      <c r="C125" s="59"/>
      <c r="D125" s="60"/>
      <c r="E125" s="59"/>
      <c r="F125" s="59"/>
      <c r="G125" s="59"/>
      <c r="H125" s="61"/>
      <c r="I125" s="61"/>
      <c r="J125" s="61"/>
      <c r="K125" s="62"/>
      <c r="L125" s="10" t="str">
        <f t="shared" si="86"/>
        <v/>
      </c>
      <c r="M125" s="10" t="str">
        <f t="shared" si="87"/>
        <v/>
      </c>
      <c r="N125" s="11" t="str">
        <f t="shared" si="88"/>
        <v/>
      </c>
      <c r="O125" s="10" t="str">
        <f t="shared" si="89"/>
        <v/>
      </c>
      <c r="P125" s="12" t="str">
        <f t="shared" si="90"/>
        <v/>
      </c>
      <c r="Q125" s="10" t="str">
        <f t="shared" si="91"/>
        <v/>
      </c>
      <c r="R125" s="13" t="str">
        <f t="shared" si="92"/>
        <v/>
      </c>
      <c r="S125" s="13" t="str">
        <f t="shared" si="93"/>
        <v/>
      </c>
      <c r="T125" s="22" t="str">
        <f>IF(R125&lt;&gt;"",VLOOKUP(P125,Constants!$D$3:$E$10,2),"")</f>
        <v/>
      </c>
    </row>
    <row r="126" spans="2:20" x14ac:dyDescent="0.25">
      <c r="B126" s="59"/>
      <c r="C126" s="59"/>
      <c r="D126" s="60"/>
      <c r="E126" s="59"/>
      <c r="F126" s="59"/>
      <c r="G126" s="59"/>
      <c r="H126" s="61"/>
      <c r="I126" s="61"/>
      <c r="J126" s="61"/>
      <c r="K126" s="62"/>
      <c r="L126" s="10" t="str">
        <f t="shared" si="86"/>
        <v/>
      </c>
      <c r="M126" s="10" t="str">
        <f t="shared" si="87"/>
        <v/>
      </c>
      <c r="N126" s="11" t="str">
        <f t="shared" si="88"/>
        <v/>
      </c>
      <c r="O126" s="10" t="str">
        <f t="shared" si="89"/>
        <v/>
      </c>
      <c r="P126" s="12" t="str">
        <f t="shared" si="90"/>
        <v/>
      </c>
      <c r="Q126" s="10" t="str">
        <f t="shared" si="91"/>
        <v/>
      </c>
      <c r="R126" s="13" t="str">
        <f t="shared" si="92"/>
        <v/>
      </c>
      <c r="S126" s="13" t="str">
        <f t="shared" si="93"/>
        <v/>
      </c>
      <c r="T126" s="22" t="str">
        <f>IF(R126&lt;&gt;"",VLOOKUP(P126,Constants!$D$3:$E$10,2),"")</f>
        <v/>
      </c>
    </row>
    <row r="127" spans="2:20" x14ac:dyDescent="0.25">
      <c r="B127" s="59"/>
      <c r="C127" s="59"/>
      <c r="D127" s="60"/>
      <c r="E127" s="59"/>
      <c r="F127" s="59"/>
      <c r="G127" s="59"/>
      <c r="H127" s="61"/>
      <c r="I127" s="61"/>
      <c r="J127" s="61"/>
      <c r="K127" s="62"/>
      <c r="L127" s="10" t="str">
        <f t="shared" si="86"/>
        <v/>
      </c>
      <c r="M127" s="10" t="str">
        <f t="shared" si="87"/>
        <v/>
      </c>
      <c r="N127" s="11" t="str">
        <f t="shared" si="88"/>
        <v/>
      </c>
      <c r="O127" s="10" t="str">
        <f t="shared" si="89"/>
        <v/>
      </c>
      <c r="P127" s="12" t="str">
        <f t="shared" si="90"/>
        <v/>
      </c>
      <c r="Q127" s="10" t="str">
        <f t="shared" si="91"/>
        <v/>
      </c>
      <c r="R127" s="13" t="str">
        <f t="shared" si="92"/>
        <v/>
      </c>
      <c r="S127" s="13" t="str">
        <f t="shared" si="93"/>
        <v/>
      </c>
      <c r="T127" s="22" t="str">
        <f>IF(R127&lt;&gt;"",VLOOKUP(P127,Constants!$D$3:$E$10,2),"")</f>
        <v/>
      </c>
    </row>
    <row r="128" spans="2:20" x14ac:dyDescent="0.25">
      <c r="B128" s="59"/>
      <c r="C128" s="59"/>
      <c r="D128" s="60"/>
      <c r="E128" s="59"/>
      <c r="F128" s="59"/>
      <c r="G128" s="59"/>
      <c r="H128" s="61"/>
      <c r="I128" s="61"/>
      <c r="J128" s="61"/>
      <c r="K128" s="62"/>
      <c r="L128" s="10" t="str">
        <f t="shared" si="86"/>
        <v/>
      </c>
      <c r="M128" s="10" t="str">
        <f t="shared" si="87"/>
        <v/>
      </c>
      <c r="N128" s="11" t="str">
        <f t="shared" si="88"/>
        <v/>
      </c>
      <c r="O128" s="10" t="str">
        <f t="shared" si="89"/>
        <v/>
      </c>
      <c r="P128" s="12" t="str">
        <f t="shared" si="90"/>
        <v/>
      </c>
      <c r="Q128" s="10" t="str">
        <f t="shared" si="91"/>
        <v/>
      </c>
      <c r="R128" s="13" t="str">
        <f t="shared" si="92"/>
        <v/>
      </c>
      <c r="S128" s="13" t="str">
        <f t="shared" si="93"/>
        <v/>
      </c>
      <c r="T128" s="22" t="str">
        <f>IF(R128&lt;&gt;"",VLOOKUP(P128,Constants!$D$3:$E$10,2),"")</f>
        <v/>
      </c>
    </row>
    <row r="129" spans="2:20" x14ac:dyDescent="0.25">
      <c r="B129" s="59"/>
      <c r="C129" s="59"/>
      <c r="D129" s="60"/>
      <c r="E129" s="59"/>
      <c r="F129" s="59"/>
      <c r="G129" s="59"/>
      <c r="H129" s="61"/>
      <c r="I129" s="61"/>
      <c r="J129" s="61"/>
      <c r="K129" s="62"/>
      <c r="L129" s="10" t="str">
        <f t="shared" si="86"/>
        <v/>
      </c>
      <c r="M129" s="10" t="str">
        <f t="shared" si="87"/>
        <v/>
      </c>
      <c r="N129" s="11" t="str">
        <f t="shared" si="88"/>
        <v/>
      </c>
      <c r="O129" s="10" t="str">
        <f t="shared" si="89"/>
        <v/>
      </c>
      <c r="P129" s="12" t="str">
        <f t="shared" si="90"/>
        <v/>
      </c>
      <c r="Q129" s="10" t="str">
        <f t="shared" si="91"/>
        <v/>
      </c>
      <c r="R129" s="13" t="str">
        <f t="shared" si="92"/>
        <v/>
      </c>
      <c r="S129" s="13" t="str">
        <f t="shared" si="93"/>
        <v/>
      </c>
      <c r="T129" s="22" t="str">
        <f>IF(R129&lt;&gt;"",VLOOKUP(P129,Constants!$D$3:$E$10,2),"")</f>
        <v/>
      </c>
    </row>
    <row r="130" spans="2:20" x14ac:dyDescent="0.25">
      <c r="B130" s="59"/>
      <c r="C130" s="59"/>
      <c r="D130" s="60"/>
      <c r="E130" s="59"/>
      <c r="F130" s="59"/>
      <c r="G130" s="59"/>
      <c r="H130" s="61"/>
      <c r="I130" s="61"/>
      <c r="J130" s="61"/>
      <c r="K130" s="62"/>
      <c r="L130" s="10" t="str">
        <f t="shared" si="86"/>
        <v/>
      </c>
      <c r="M130" s="10" t="str">
        <f t="shared" si="87"/>
        <v/>
      </c>
      <c r="N130" s="11" t="str">
        <f t="shared" si="88"/>
        <v/>
      </c>
      <c r="O130" s="10" t="str">
        <f t="shared" si="89"/>
        <v/>
      </c>
      <c r="P130" s="12" t="str">
        <f t="shared" si="90"/>
        <v/>
      </c>
      <c r="Q130" s="10" t="str">
        <f t="shared" si="91"/>
        <v/>
      </c>
      <c r="R130" s="13" t="str">
        <f t="shared" si="92"/>
        <v/>
      </c>
      <c r="S130" s="13" t="str">
        <f t="shared" si="93"/>
        <v/>
      </c>
      <c r="T130" s="22" t="str">
        <f>IF(R130&lt;&gt;"",VLOOKUP(P130,Constants!$D$3:$E$10,2),"")</f>
        <v/>
      </c>
    </row>
    <row r="131" spans="2:20" x14ac:dyDescent="0.25">
      <c r="B131" s="59"/>
      <c r="C131" s="59"/>
      <c r="D131" s="60"/>
      <c r="E131" s="59"/>
      <c r="F131" s="59"/>
      <c r="G131" s="59"/>
      <c r="H131" s="61"/>
      <c r="I131" s="61"/>
      <c r="J131" s="61"/>
      <c r="K131" s="62"/>
      <c r="L131" s="10" t="str">
        <f t="shared" si="86"/>
        <v/>
      </c>
      <c r="M131" s="10" t="str">
        <f t="shared" si="87"/>
        <v/>
      </c>
      <c r="N131" s="11" t="str">
        <f t="shared" si="88"/>
        <v/>
      </c>
      <c r="O131" s="10" t="str">
        <f t="shared" si="89"/>
        <v/>
      </c>
      <c r="P131" s="12" t="str">
        <f t="shared" si="90"/>
        <v/>
      </c>
      <c r="Q131" s="10" t="str">
        <f t="shared" si="91"/>
        <v/>
      </c>
      <c r="R131" s="13" t="str">
        <f t="shared" si="92"/>
        <v/>
      </c>
      <c r="S131" s="13" t="str">
        <f t="shared" si="93"/>
        <v/>
      </c>
      <c r="T131" s="22" t="str">
        <f>IF(R131&lt;&gt;"",VLOOKUP(P131,Constants!$D$3:$E$10,2),"")</f>
        <v/>
      </c>
    </row>
    <row r="132" spans="2:20" x14ac:dyDescent="0.25">
      <c r="B132" s="59"/>
      <c r="C132" s="59"/>
      <c r="D132" s="60"/>
      <c r="E132" s="59"/>
      <c r="F132" s="59"/>
      <c r="G132" s="59"/>
      <c r="H132" s="61"/>
      <c r="I132" s="61"/>
      <c r="J132" s="61"/>
      <c r="K132" s="62"/>
      <c r="L132" s="10" t="str">
        <f t="shared" si="86"/>
        <v/>
      </c>
      <c r="M132" s="10" t="str">
        <f t="shared" si="87"/>
        <v/>
      </c>
      <c r="N132" s="11" t="str">
        <f t="shared" si="88"/>
        <v/>
      </c>
      <c r="O132" s="10" t="str">
        <f t="shared" si="89"/>
        <v/>
      </c>
      <c r="P132" s="12" t="str">
        <f t="shared" si="90"/>
        <v/>
      </c>
      <c r="Q132" s="10" t="str">
        <f t="shared" si="91"/>
        <v/>
      </c>
      <c r="R132" s="13" t="str">
        <f t="shared" si="92"/>
        <v/>
      </c>
      <c r="S132" s="13" t="str">
        <f t="shared" si="93"/>
        <v/>
      </c>
      <c r="T132" s="22" t="str">
        <f>IF(R132&lt;&gt;"",VLOOKUP(P132,Constants!$D$3:$E$10,2),"")</f>
        <v/>
      </c>
    </row>
    <row r="133" spans="2:20" x14ac:dyDescent="0.25">
      <c r="B133" s="59"/>
      <c r="C133" s="59"/>
      <c r="D133" s="60"/>
      <c r="E133" s="59"/>
      <c r="F133" s="59"/>
      <c r="G133" s="59"/>
      <c r="H133" s="61"/>
      <c r="I133" s="61"/>
      <c r="J133" s="61"/>
      <c r="K133" s="62"/>
      <c r="L133" s="10" t="str">
        <f t="shared" si="86"/>
        <v/>
      </c>
      <c r="M133" s="10" t="str">
        <f t="shared" si="87"/>
        <v/>
      </c>
      <c r="N133" s="11" t="str">
        <f t="shared" si="88"/>
        <v/>
      </c>
      <c r="O133" s="10" t="str">
        <f t="shared" si="89"/>
        <v/>
      </c>
      <c r="P133" s="12" t="str">
        <f t="shared" si="90"/>
        <v/>
      </c>
      <c r="Q133" s="10" t="str">
        <f t="shared" si="91"/>
        <v/>
      </c>
      <c r="R133" s="13" t="str">
        <f t="shared" si="92"/>
        <v/>
      </c>
      <c r="S133" s="13" t="str">
        <f t="shared" si="93"/>
        <v/>
      </c>
      <c r="T133" s="22" t="str">
        <f>IF(R133&lt;&gt;"",VLOOKUP(P133,Constants!$D$3:$E$10,2),"")</f>
        <v/>
      </c>
    </row>
    <row r="134" spans="2:20" x14ac:dyDescent="0.25">
      <c r="B134" s="59"/>
      <c r="C134" s="59"/>
      <c r="D134" s="60"/>
      <c r="E134" s="59"/>
      <c r="F134" s="59"/>
      <c r="G134" s="59"/>
      <c r="H134" s="61"/>
      <c r="I134" s="61"/>
      <c r="J134" s="61"/>
      <c r="K134" s="62"/>
      <c r="L134" s="10" t="str">
        <f t="shared" si="86"/>
        <v/>
      </c>
      <c r="M134" s="10" t="str">
        <f t="shared" si="87"/>
        <v/>
      </c>
      <c r="N134" s="11" t="str">
        <f t="shared" si="88"/>
        <v/>
      </c>
      <c r="O134" s="10" t="str">
        <f t="shared" si="89"/>
        <v/>
      </c>
      <c r="P134" s="12" t="str">
        <f t="shared" si="90"/>
        <v/>
      </c>
      <c r="Q134" s="10" t="str">
        <f t="shared" si="91"/>
        <v/>
      </c>
      <c r="R134" s="13" t="str">
        <f t="shared" si="92"/>
        <v/>
      </c>
      <c r="S134" s="13" t="str">
        <f t="shared" si="93"/>
        <v/>
      </c>
      <c r="T134" s="22" t="str">
        <f>IF(R134&lt;&gt;"",VLOOKUP(P134,Constants!$D$3:$E$10,2),"")</f>
        <v/>
      </c>
    </row>
    <row r="135" spans="2:20" x14ac:dyDescent="0.25">
      <c r="B135" s="59"/>
      <c r="C135" s="59"/>
      <c r="D135" s="60"/>
      <c r="E135" s="59"/>
      <c r="F135" s="59"/>
      <c r="G135" s="59"/>
      <c r="H135" s="61"/>
      <c r="I135" s="61"/>
      <c r="J135" s="61"/>
      <c r="K135" s="62"/>
      <c r="L135" s="10" t="str">
        <f t="shared" si="86"/>
        <v/>
      </c>
      <c r="M135" s="10" t="str">
        <f t="shared" si="87"/>
        <v/>
      </c>
      <c r="N135" s="11" t="str">
        <f t="shared" si="88"/>
        <v/>
      </c>
      <c r="O135" s="10" t="str">
        <f t="shared" si="89"/>
        <v/>
      </c>
      <c r="P135" s="12" t="str">
        <f t="shared" si="90"/>
        <v/>
      </c>
      <c r="Q135" s="10" t="str">
        <f t="shared" si="91"/>
        <v/>
      </c>
      <c r="R135" s="13" t="str">
        <f t="shared" si="92"/>
        <v/>
      </c>
      <c r="S135" s="13" t="str">
        <f t="shared" si="93"/>
        <v/>
      </c>
      <c r="T135" s="22" t="str">
        <f>IF(R135&lt;&gt;"",VLOOKUP(P135,Constants!$D$3:$E$10,2),"")</f>
        <v/>
      </c>
    </row>
    <row r="136" spans="2:20" x14ac:dyDescent="0.25">
      <c r="B136" s="59"/>
      <c r="C136" s="59"/>
      <c r="D136" s="60"/>
      <c r="E136" s="59"/>
      <c r="F136" s="59"/>
      <c r="G136" s="59"/>
      <c r="H136" s="61"/>
      <c r="I136" s="61"/>
      <c r="J136" s="61"/>
      <c r="K136" s="62"/>
      <c r="L136" s="10" t="str">
        <f t="shared" si="86"/>
        <v/>
      </c>
      <c r="M136" s="10" t="str">
        <f t="shared" si="87"/>
        <v/>
      </c>
      <c r="N136" s="11" t="str">
        <f t="shared" si="88"/>
        <v/>
      </c>
      <c r="O136" s="10" t="str">
        <f t="shared" si="89"/>
        <v/>
      </c>
      <c r="P136" s="12" t="str">
        <f t="shared" si="90"/>
        <v/>
      </c>
      <c r="Q136" s="10" t="str">
        <f t="shared" si="91"/>
        <v/>
      </c>
      <c r="R136" s="13" t="str">
        <f t="shared" si="92"/>
        <v/>
      </c>
      <c r="S136" s="13" t="str">
        <f t="shared" si="93"/>
        <v/>
      </c>
      <c r="T136" s="22" t="str">
        <f>IF(R136&lt;&gt;"",VLOOKUP(P136,Constants!$D$3:$E$10,2),"")</f>
        <v/>
      </c>
    </row>
    <row r="137" spans="2:20" x14ac:dyDescent="0.25">
      <c r="B137" s="59"/>
      <c r="C137" s="59"/>
      <c r="D137" s="60"/>
      <c r="E137" s="59"/>
      <c r="F137" s="59"/>
      <c r="G137" s="59"/>
      <c r="H137" s="61"/>
      <c r="I137" s="61"/>
      <c r="J137" s="61"/>
      <c r="K137" s="62"/>
      <c r="L137" s="10" t="str">
        <f t="shared" si="86"/>
        <v/>
      </c>
      <c r="M137" s="10" t="str">
        <f t="shared" si="87"/>
        <v/>
      </c>
      <c r="N137" s="11" t="str">
        <f t="shared" si="88"/>
        <v/>
      </c>
      <c r="O137" s="10" t="str">
        <f t="shared" si="89"/>
        <v/>
      </c>
      <c r="P137" s="12" t="str">
        <f t="shared" si="90"/>
        <v/>
      </c>
      <c r="Q137" s="10" t="str">
        <f t="shared" si="91"/>
        <v/>
      </c>
      <c r="R137" s="13" t="str">
        <f t="shared" si="92"/>
        <v/>
      </c>
      <c r="S137" s="13" t="str">
        <f t="shared" si="93"/>
        <v/>
      </c>
      <c r="T137" s="22" t="str">
        <f>IF(R137&lt;&gt;"",VLOOKUP(P137,Constants!$D$3:$E$10,2),"")</f>
        <v/>
      </c>
    </row>
    <row r="138" spans="2:20" x14ac:dyDescent="0.25">
      <c r="B138" s="59"/>
      <c r="C138" s="59"/>
      <c r="D138" s="60"/>
      <c r="E138" s="59"/>
      <c r="F138" s="59"/>
      <c r="G138" s="59"/>
      <c r="H138" s="61"/>
      <c r="I138" s="61"/>
      <c r="J138" s="61"/>
      <c r="K138" s="62"/>
      <c r="L138" s="10" t="str">
        <f t="shared" si="86"/>
        <v/>
      </c>
      <c r="M138" s="10" t="str">
        <f t="shared" si="87"/>
        <v/>
      </c>
      <c r="N138" s="11" t="str">
        <f t="shared" si="88"/>
        <v/>
      </c>
      <c r="O138" s="10" t="str">
        <f t="shared" si="89"/>
        <v/>
      </c>
      <c r="P138" s="12" t="str">
        <f t="shared" si="90"/>
        <v/>
      </c>
      <c r="Q138" s="10" t="str">
        <f t="shared" si="91"/>
        <v/>
      </c>
      <c r="R138" s="13" t="str">
        <f t="shared" si="92"/>
        <v/>
      </c>
      <c r="S138" s="13" t="str">
        <f t="shared" si="93"/>
        <v/>
      </c>
      <c r="T138" s="22" t="str">
        <f>IF(R138&lt;&gt;"",VLOOKUP(P138,Constants!$D$3:$E$10,2),"")</f>
        <v/>
      </c>
    </row>
    <row r="139" spans="2:20" x14ac:dyDescent="0.25">
      <c r="B139" s="59"/>
      <c r="C139" s="59"/>
      <c r="D139" s="60"/>
      <c r="E139" s="59"/>
      <c r="F139" s="59"/>
      <c r="G139" s="59"/>
      <c r="H139" s="61"/>
      <c r="I139" s="61"/>
      <c r="J139" s="61"/>
      <c r="K139" s="62"/>
      <c r="L139" s="10" t="str">
        <f t="shared" si="86"/>
        <v/>
      </c>
      <c r="M139" s="10" t="str">
        <f t="shared" si="87"/>
        <v/>
      </c>
      <c r="N139" s="11" t="str">
        <f t="shared" si="88"/>
        <v/>
      </c>
      <c r="O139" s="10" t="str">
        <f t="shared" si="89"/>
        <v/>
      </c>
      <c r="P139" s="12" t="str">
        <f t="shared" si="90"/>
        <v/>
      </c>
      <c r="Q139" s="10" t="str">
        <f t="shared" si="91"/>
        <v/>
      </c>
      <c r="R139" s="13" t="str">
        <f t="shared" si="92"/>
        <v/>
      </c>
      <c r="S139" s="13" t="str">
        <f t="shared" si="93"/>
        <v/>
      </c>
      <c r="T139" s="22" t="str">
        <f>IF(R139&lt;&gt;"",VLOOKUP(P139,Constants!$D$3:$E$10,2),"")</f>
        <v/>
      </c>
    </row>
    <row r="140" spans="2:20" x14ac:dyDescent="0.25">
      <c r="B140" s="59"/>
      <c r="C140" s="59"/>
      <c r="D140" s="60"/>
      <c r="E140" s="59"/>
      <c r="F140" s="59"/>
      <c r="G140" s="59"/>
      <c r="H140" s="61"/>
      <c r="I140" s="61"/>
      <c r="J140" s="61"/>
      <c r="K140" s="62"/>
      <c r="L140" s="10" t="str">
        <f t="shared" si="86"/>
        <v/>
      </c>
      <c r="M140" s="10" t="str">
        <f t="shared" si="87"/>
        <v/>
      </c>
      <c r="N140" s="11" t="str">
        <f t="shared" si="88"/>
        <v/>
      </c>
      <c r="O140" s="10" t="str">
        <f t="shared" si="89"/>
        <v/>
      </c>
      <c r="P140" s="12" t="str">
        <f t="shared" si="90"/>
        <v/>
      </c>
      <c r="Q140" s="10" t="str">
        <f t="shared" si="91"/>
        <v/>
      </c>
      <c r="R140" s="13" t="str">
        <f t="shared" si="92"/>
        <v/>
      </c>
      <c r="S140" s="13" t="str">
        <f t="shared" si="93"/>
        <v/>
      </c>
      <c r="T140" s="22" t="str">
        <f>IF(R140&lt;&gt;"",VLOOKUP(P140,Constants!$D$3:$E$10,2),"")</f>
        <v/>
      </c>
    </row>
    <row r="141" spans="2:20" x14ac:dyDescent="0.25">
      <c r="B141" s="59"/>
      <c r="C141" s="59"/>
      <c r="D141" s="60"/>
      <c r="E141" s="59"/>
      <c r="F141" s="59"/>
      <c r="G141" s="59"/>
      <c r="H141" s="61"/>
      <c r="I141" s="61"/>
      <c r="J141" s="61"/>
      <c r="K141" s="62"/>
      <c r="L141" s="10" t="str">
        <f t="shared" si="86"/>
        <v/>
      </c>
      <c r="M141" s="10" t="str">
        <f t="shared" si="87"/>
        <v/>
      </c>
      <c r="N141" s="11" t="str">
        <f t="shared" si="88"/>
        <v/>
      </c>
      <c r="O141" s="10" t="str">
        <f t="shared" si="89"/>
        <v/>
      </c>
      <c r="P141" s="12" t="str">
        <f t="shared" si="90"/>
        <v/>
      </c>
      <c r="Q141" s="10" t="str">
        <f t="shared" si="91"/>
        <v/>
      </c>
      <c r="R141" s="13" t="str">
        <f t="shared" si="92"/>
        <v/>
      </c>
      <c r="S141" s="13" t="str">
        <f t="shared" si="93"/>
        <v/>
      </c>
      <c r="T141" s="22" t="str">
        <f>IF(R141&lt;&gt;"",VLOOKUP(P141,Constants!$D$3:$E$10,2),"")</f>
        <v/>
      </c>
    </row>
    <row r="142" spans="2:20" x14ac:dyDescent="0.25">
      <c r="B142" s="59"/>
      <c r="C142" s="59"/>
      <c r="D142" s="60"/>
      <c r="E142" s="59"/>
      <c r="F142" s="59"/>
      <c r="G142" s="59"/>
      <c r="H142" s="61"/>
      <c r="I142" s="61"/>
      <c r="J142" s="61"/>
      <c r="K142" s="62"/>
      <c r="L142" s="10" t="str">
        <f t="shared" si="86"/>
        <v/>
      </c>
      <c r="M142" s="10" t="str">
        <f t="shared" si="87"/>
        <v/>
      </c>
      <c r="N142" s="11" t="str">
        <f t="shared" si="88"/>
        <v/>
      </c>
      <c r="O142" s="10" t="str">
        <f t="shared" si="89"/>
        <v/>
      </c>
      <c r="P142" s="12" t="str">
        <f t="shared" si="90"/>
        <v/>
      </c>
      <c r="Q142" s="10" t="str">
        <f t="shared" si="91"/>
        <v/>
      </c>
      <c r="R142" s="13" t="str">
        <f t="shared" si="92"/>
        <v/>
      </c>
      <c r="S142" s="13" t="str">
        <f t="shared" si="93"/>
        <v/>
      </c>
      <c r="T142" s="22" t="str">
        <f>IF(R142&lt;&gt;"",VLOOKUP(P142,Constants!$D$3:$E$10,2),"")</f>
        <v/>
      </c>
    </row>
    <row r="143" spans="2:20" x14ac:dyDescent="0.25">
      <c r="B143" s="59"/>
      <c r="C143" s="59"/>
      <c r="D143" s="60"/>
      <c r="E143" s="59"/>
      <c r="F143" s="59"/>
      <c r="G143" s="59"/>
      <c r="H143" s="61"/>
      <c r="I143" s="61"/>
      <c r="J143" s="61"/>
      <c r="K143" s="62"/>
      <c r="L143" s="10" t="str">
        <f t="shared" si="86"/>
        <v/>
      </c>
      <c r="M143" s="10" t="str">
        <f t="shared" si="87"/>
        <v/>
      </c>
      <c r="N143" s="11" t="str">
        <f t="shared" si="88"/>
        <v/>
      </c>
      <c r="O143" s="10" t="str">
        <f t="shared" si="89"/>
        <v/>
      </c>
      <c r="P143" s="12" t="str">
        <f t="shared" si="90"/>
        <v/>
      </c>
      <c r="Q143" s="10" t="str">
        <f t="shared" si="91"/>
        <v/>
      </c>
      <c r="R143" s="13" t="str">
        <f t="shared" si="92"/>
        <v/>
      </c>
      <c r="S143" s="13" t="str">
        <f t="shared" si="93"/>
        <v/>
      </c>
      <c r="T143" s="22" t="str">
        <f>IF(R143&lt;&gt;"",VLOOKUP(P143,Constants!$D$3:$E$10,2),"")</f>
        <v/>
      </c>
    </row>
    <row r="144" spans="2:20" x14ac:dyDescent="0.25">
      <c r="B144" s="59"/>
      <c r="C144" s="59"/>
      <c r="D144" s="60"/>
      <c r="E144" s="59"/>
      <c r="F144" s="59"/>
      <c r="G144" s="59"/>
      <c r="H144" s="61"/>
      <c r="I144" s="61"/>
      <c r="J144" s="61"/>
      <c r="K144" s="62"/>
      <c r="L144" s="10" t="str">
        <f t="shared" si="86"/>
        <v/>
      </c>
      <c r="M144" s="10" t="str">
        <f t="shared" si="87"/>
        <v/>
      </c>
      <c r="N144" s="11" t="str">
        <f t="shared" si="88"/>
        <v/>
      </c>
      <c r="O144" s="10" t="str">
        <f t="shared" si="89"/>
        <v/>
      </c>
      <c r="P144" s="12" t="str">
        <f t="shared" si="90"/>
        <v/>
      </c>
      <c r="Q144" s="10" t="str">
        <f t="shared" si="91"/>
        <v/>
      </c>
      <c r="R144" s="13" t="str">
        <f t="shared" si="92"/>
        <v/>
      </c>
      <c r="S144" s="13" t="str">
        <f t="shared" si="93"/>
        <v/>
      </c>
      <c r="T144" s="22" t="str">
        <f>IF(R144&lt;&gt;"",VLOOKUP(P144,Constants!$D$3:$E$10,2),"")</f>
        <v/>
      </c>
    </row>
    <row r="145" spans="2:20" x14ac:dyDescent="0.25">
      <c r="B145" s="59"/>
      <c r="C145" s="59"/>
      <c r="D145" s="60"/>
      <c r="E145" s="59"/>
      <c r="F145" s="59"/>
      <c r="G145" s="59"/>
      <c r="H145" s="61"/>
      <c r="I145" s="61"/>
      <c r="J145" s="61"/>
      <c r="K145" s="62"/>
      <c r="L145" s="10" t="str">
        <f t="shared" si="86"/>
        <v/>
      </c>
      <c r="M145" s="10" t="str">
        <f t="shared" si="87"/>
        <v/>
      </c>
      <c r="N145" s="11" t="str">
        <f t="shared" si="88"/>
        <v/>
      </c>
      <c r="O145" s="10" t="str">
        <f t="shared" si="89"/>
        <v/>
      </c>
      <c r="P145" s="12" t="str">
        <f t="shared" si="90"/>
        <v/>
      </c>
      <c r="Q145" s="10" t="str">
        <f t="shared" si="91"/>
        <v/>
      </c>
      <c r="R145" s="13" t="str">
        <f t="shared" si="92"/>
        <v/>
      </c>
      <c r="S145" s="13" t="str">
        <f t="shared" si="93"/>
        <v/>
      </c>
      <c r="T145" s="22" t="str">
        <f>IF(R145&lt;&gt;"",VLOOKUP(P145,Constants!$D$3:$E$10,2),"")</f>
        <v/>
      </c>
    </row>
    <row r="146" spans="2:20" x14ac:dyDescent="0.25">
      <c r="B146" s="59"/>
      <c r="C146" s="59"/>
      <c r="D146" s="60"/>
      <c r="E146" s="59"/>
      <c r="F146" s="59"/>
      <c r="G146" s="59"/>
      <c r="H146" s="61"/>
      <c r="I146" s="61"/>
      <c r="J146" s="61"/>
      <c r="K146" s="62"/>
      <c r="L146" s="10" t="str">
        <f t="shared" ref="L146:L209" si="94">IF($D146&lt;&gt;"",$D146*$E146/1000,"")</f>
        <v/>
      </c>
      <c r="M146" s="10" t="str">
        <f t="shared" ref="M146:M209" si="95">IF($D146&lt;&gt;"",$D146*$F146/1000,"")</f>
        <v/>
      </c>
      <c r="N146" s="11" t="str">
        <f t="shared" ref="N146:N209" si="96">IF($L146&lt;&gt;"",SQRT($L146*$L146+$M146*$M146),"")</f>
        <v/>
      </c>
      <c r="O146" s="10" t="str">
        <f t="shared" si="89"/>
        <v/>
      </c>
      <c r="P146" s="12" t="str">
        <f t="shared" si="90"/>
        <v/>
      </c>
      <c r="Q146" s="10" t="str">
        <f t="shared" si="91"/>
        <v/>
      </c>
      <c r="R146" s="13" t="str">
        <f t="shared" si="92"/>
        <v/>
      </c>
      <c r="S146" s="13" t="str">
        <f t="shared" si="93"/>
        <v/>
      </c>
      <c r="T146" s="22" t="str">
        <f>IF(R146&lt;&gt;"",VLOOKUP(P146,Constants!$D$3:$E$10,2),"")</f>
        <v/>
      </c>
    </row>
    <row r="147" spans="2:20" x14ac:dyDescent="0.25">
      <c r="B147" s="59"/>
      <c r="C147" s="59"/>
      <c r="D147" s="60"/>
      <c r="E147" s="59"/>
      <c r="F147" s="59"/>
      <c r="G147" s="59"/>
      <c r="H147" s="61"/>
      <c r="I147" s="61"/>
      <c r="J147" s="61"/>
      <c r="K147" s="62"/>
      <c r="L147" s="10" t="str">
        <f t="shared" si="94"/>
        <v/>
      </c>
      <c r="M147" s="10" t="str">
        <f t="shared" si="95"/>
        <v/>
      </c>
      <c r="N147" s="11" t="str">
        <f t="shared" si="96"/>
        <v/>
      </c>
      <c r="O147" s="10" t="str">
        <f t="shared" si="89"/>
        <v/>
      </c>
      <c r="P147" s="12" t="str">
        <f t="shared" si="90"/>
        <v/>
      </c>
      <c r="Q147" s="10" t="str">
        <f t="shared" si="91"/>
        <v/>
      </c>
      <c r="R147" s="13" t="str">
        <f t="shared" si="92"/>
        <v/>
      </c>
      <c r="S147" s="13" t="str">
        <f t="shared" si="93"/>
        <v/>
      </c>
      <c r="T147" s="22" t="str">
        <f>IF(R147&lt;&gt;"",VLOOKUP(P147,Constants!$D$3:$E$10,2),"")</f>
        <v/>
      </c>
    </row>
    <row r="148" spans="2:20" x14ac:dyDescent="0.25">
      <c r="B148" s="59"/>
      <c r="C148" s="59"/>
      <c r="D148" s="60"/>
      <c r="E148" s="59"/>
      <c r="F148" s="59"/>
      <c r="G148" s="59"/>
      <c r="H148" s="61"/>
      <c r="I148" s="61"/>
      <c r="J148" s="61"/>
      <c r="K148" s="62"/>
      <c r="L148" s="10" t="str">
        <f t="shared" si="94"/>
        <v/>
      </c>
      <c r="M148" s="10" t="str">
        <f t="shared" si="95"/>
        <v/>
      </c>
      <c r="N148" s="11" t="str">
        <f t="shared" si="96"/>
        <v/>
      </c>
      <c r="O148" s="10" t="str">
        <f t="shared" ref="O148:O211" si="97">IF(D148&lt;&gt;"",1000/(2*D148),"")</f>
        <v/>
      </c>
      <c r="P148" s="12" t="str">
        <f t="shared" ref="P148:P211" si="98">IF($N148&lt;&gt;"",D148*SQRT(E148*E148+F148*F148)/16000,"")</f>
        <v/>
      </c>
      <c r="Q148" s="10" t="str">
        <f t="shared" ref="Q148:Q211" si="99">IF(F148&lt;&gt;"",F148*E148/1000000,"")</f>
        <v/>
      </c>
      <c r="R148" s="13" t="str">
        <f t="shared" ref="R148:R211" si="100">IF(G148&lt;&gt;"",1000/G148,"")</f>
        <v/>
      </c>
      <c r="S148" s="13" t="str">
        <f t="shared" ref="S148:S211" si="101">IF(R148&lt;&gt;"",Q148/R148*1000,"")</f>
        <v/>
      </c>
      <c r="T148" s="22" t="str">
        <f>IF(R148&lt;&gt;"",VLOOKUP(P148,Constants!$D$3:$E$10,2),"")</f>
        <v/>
      </c>
    </row>
    <row r="149" spans="2:20" x14ac:dyDescent="0.25">
      <c r="B149" s="59"/>
      <c r="C149" s="59"/>
      <c r="D149" s="60"/>
      <c r="E149" s="59"/>
      <c r="F149" s="59"/>
      <c r="G149" s="59"/>
      <c r="H149" s="61"/>
      <c r="I149" s="61"/>
      <c r="J149" s="61"/>
      <c r="K149" s="62"/>
      <c r="L149" s="10" t="str">
        <f t="shared" si="94"/>
        <v/>
      </c>
      <c r="M149" s="10" t="str">
        <f t="shared" si="95"/>
        <v/>
      </c>
      <c r="N149" s="11" t="str">
        <f t="shared" si="96"/>
        <v/>
      </c>
      <c r="O149" s="10" t="str">
        <f t="shared" si="97"/>
        <v/>
      </c>
      <c r="P149" s="12" t="str">
        <f t="shared" si="98"/>
        <v/>
      </c>
      <c r="Q149" s="10" t="str">
        <f t="shared" si="99"/>
        <v/>
      </c>
      <c r="R149" s="13" t="str">
        <f t="shared" si="100"/>
        <v/>
      </c>
      <c r="S149" s="13" t="str">
        <f t="shared" si="101"/>
        <v/>
      </c>
      <c r="T149" s="22" t="str">
        <f>IF(R149&lt;&gt;"",VLOOKUP(P149,Constants!$D$3:$E$10,2),"")</f>
        <v/>
      </c>
    </row>
    <row r="150" spans="2:20" x14ac:dyDescent="0.25">
      <c r="B150" s="59"/>
      <c r="C150" s="59"/>
      <c r="D150" s="60"/>
      <c r="E150" s="59"/>
      <c r="F150" s="59"/>
      <c r="G150" s="59"/>
      <c r="H150" s="61"/>
      <c r="I150" s="61"/>
      <c r="J150" s="61"/>
      <c r="K150" s="62"/>
      <c r="L150" s="10" t="str">
        <f t="shared" si="94"/>
        <v/>
      </c>
      <c r="M150" s="10" t="str">
        <f t="shared" si="95"/>
        <v/>
      </c>
      <c r="N150" s="11" t="str">
        <f t="shared" si="96"/>
        <v/>
      </c>
      <c r="O150" s="10" t="str">
        <f t="shared" si="97"/>
        <v/>
      </c>
      <c r="P150" s="12" t="str">
        <f t="shared" si="98"/>
        <v/>
      </c>
      <c r="Q150" s="10" t="str">
        <f t="shared" si="99"/>
        <v/>
      </c>
      <c r="R150" s="13" t="str">
        <f t="shared" si="100"/>
        <v/>
      </c>
      <c r="S150" s="13" t="str">
        <f t="shared" si="101"/>
        <v/>
      </c>
      <c r="T150" s="22" t="str">
        <f>IF(R150&lt;&gt;"",VLOOKUP(P150,Constants!$D$3:$E$10,2),"")</f>
        <v/>
      </c>
    </row>
    <row r="151" spans="2:20" x14ac:dyDescent="0.25">
      <c r="B151" s="59"/>
      <c r="C151" s="59"/>
      <c r="D151" s="60"/>
      <c r="E151" s="59"/>
      <c r="F151" s="59"/>
      <c r="G151" s="59"/>
      <c r="H151" s="61"/>
      <c r="I151" s="61"/>
      <c r="J151" s="61"/>
      <c r="K151" s="62"/>
      <c r="L151" s="10" t="str">
        <f t="shared" si="94"/>
        <v/>
      </c>
      <c r="M151" s="10" t="str">
        <f t="shared" si="95"/>
        <v/>
      </c>
      <c r="N151" s="11" t="str">
        <f t="shared" si="96"/>
        <v/>
      </c>
      <c r="O151" s="10" t="str">
        <f t="shared" si="97"/>
        <v/>
      </c>
      <c r="P151" s="12" t="str">
        <f t="shared" si="98"/>
        <v/>
      </c>
      <c r="Q151" s="10" t="str">
        <f t="shared" si="99"/>
        <v/>
      </c>
      <c r="R151" s="13" t="str">
        <f t="shared" si="100"/>
        <v/>
      </c>
      <c r="S151" s="13" t="str">
        <f t="shared" si="101"/>
        <v/>
      </c>
      <c r="T151" s="22" t="str">
        <f>IF(R151&lt;&gt;"",VLOOKUP(P151,Constants!$D$3:$E$10,2),"")</f>
        <v/>
      </c>
    </row>
    <row r="152" spans="2:20" x14ac:dyDescent="0.25">
      <c r="B152" s="59"/>
      <c r="C152" s="59"/>
      <c r="D152" s="60"/>
      <c r="E152" s="59"/>
      <c r="F152" s="59"/>
      <c r="G152" s="59"/>
      <c r="H152" s="61"/>
      <c r="I152" s="61"/>
      <c r="J152" s="61"/>
      <c r="K152" s="62"/>
      <c r="L152" s="10" t="str">
        <f t="shared" si="94"/>
        <v/>
      </c>
      <c r="M152" s="10" t="str">
        <f t="shared" si="95"/>
        <v/>
      </c>
      <c r="N152" s="11" t="str">
        <f t="shared" si="96"/>
        <v/>
      </c>
      <c r="O152" s="10" t="str">
        <f t="shared" si="97"/>
        <v/>
      </c>
      <c r="P152" s="12" t="str">
        <f t="shared" si="98"/>
        <v/>
      </c>
      <c r="Q152" s="10" t="str">
        <f t="shared" si="99"/>
        <v/>
      </c>
      <c r="R152" s="13" t="str">
        <f t="shared" si="100"/>
        <v/>
      </c>
      <c r="S152" s="13" t="str">
        <f t="shared" si="101"/>
        <v/>
      </c>
      <c r="T152" s="22" t="str">
        <f>IF(R152&lt;&gt;"",VLOOKUP(P152,Constants!$D$3:$E$10,2),"")</f>
        <v/>
      </c>
    </row>
    <row r="153" spans="2:20" x14ac:dyDescent="0.25">
      <c r="B153" s="59"/>
      <c r="C153" s="59"/>
      <c r="D153" s="60"/>
      <c r="E153" s="59"/>
      <c r="F153" s="59"/>
      <c r="G153" s="59"/>
      <c r="H153" s="61"/>
      <c r="I153" s="61"/>
      <c r="J153" s="61"/>
      <c r="K153" s="62"/>
      <c r="L153" s="10" t="str">
        <f t="shared" si="94"/>
        <v/>
      </c>
      <c r="M153" s="10" t="str">
        <f t="shared" si="95"/>
        <v/>
      </c>
      <c r="N153" s="11" t="str">
        <f t="shared" si="96"/>
        <v/>
      </c>
      <c r="O153" s="10" t="str">
        <f t="shared" si="97"/>
        <v/>
      </c>
      <c r="P153" s="12" t="str">
        <f t="shared" si="98"/>
        <v/>
      </c>
      <c r="Q153" s="10" t="str">
        <f t="shared" si="99"/>
        <v/>
      </c>
      <c r="R153" s="13" t="str">
        <f t="shared" si="100"/>
        <v/>
      </c>
      <c r="S153" s="13" t="str">
        <f t="shared" si="101"/>
        <v/>
      </c>
      <c r="T153" s="22" t="str">
        <f>IF(R153&lt;&gt;"",VLOOKUP(P153,Constants!$D$3:$E$10,2),"")</f>
        <v/>
      </c>
    </row>
    <row r="154" spans="2:20" x14ac:dyDescent="0.25">
      <c r="B154" s="59"/>
      <c r="C154" s="59"/>
      <c r="D154" s="60"/>
      <c r="E154" s="59"/>
      <c r="F154" s="59"/>
      <c r="G154" s="59"/>
      <c r="H154" s="61"/>
      <c r="I154" s="61"/>
      <c r="J154" s="61"/>
      <c r="K154" s="62"/>
      <c r="L154" s="10" t="str">
        <f t="shared" si="94"/>
        <v/>
      </c>
      <c r="M154" s="10" t="str">
        <f t="shared" si="95"/>
        <v/>
      </c>
      <c r="N154" s="11" t="str">
        <f t="shared" si="96"/>
        <v/>
      </c>
      <c r="O154" s="10" t="str">
        <f t="shared" si="97"/>
        <v/>
      </c>
      <c r="P154" s="12" t="str">
        <f t="shared" si="98"/>
        <v/>
      </c>
      <c r="Q154" s="10" t="str">
        <f t="shared" si="99"/>
        <v/>
      </c>
      <c r="R154" s="13" t="str">
        <f t="shared" si="100"/>
        <v/>
      </c>
      <c r="S154" s="13" t="str">
        <f t="shared" si="101"/>
        <v/>
      </c>
      <c r="T154" s="22" t="str">
        <f>IF(R154&lt;&gt;"",VLOOKUP(P154,Constants!$D$3:$E$10,2),"")</f>
        <v/>
      </c>
    </row>
    <row r="155" spans="2:20" x14ac:dyDescent="0.25">
      <c r="B155" s="59"/>
      <c r="C155" s="59"/>
      <c r="D155" s="60"/>
      <c r="E155" s="59"/>
      <c r="F155" s="59"/>
      <c r="G155" s="59"/>
      <c r="H155" s="61"/>
      <c r="I155" s="61"/>
      <c r="J155" s="61"/>
      <c r="K155" s="62"/>
      <c r="L155" s="10" t="str">
        <f t="shared" si="94"/>
        <v/>
      </c>
      <c r="M155" s="10" t="str">
        <f t="shared" si="95"/>
        <v/>
      </c>
      <c r="N155" s="11" t="str">
        <f t="shared" si="96"/>
        <v/>
      </c>
      <c r="O155" s="10" t="str">
        <f t="shared" si="97"/>
        <v/>
      </c>
      <c r="P155" s="12" t="str">
        <f t="shared" si="98"/>
        <v/>
      </c>
      <c r="Q155" s="10" t="str">
        <f t="shared" si="99"/>
        <v/>
      </c>
      <c r="R155" s="13" t="str">
        <f t="shared" si="100"/>
        <v/>
      </c>
      <c r="S155" s="13" t="str">
        <f t="shared" si="101"/>
        <v/>
      </c>
      <c r="T155" s="22" t="str">
        <f>IF(R155&lt;&gt;"",VLOOKUP(P155,Constants!$D$3:$E$10,2),"")</f>
        <v/>
      </c>
    </row>
    <row r="156" spans="2:20" x14ac:dyDescent="0.25">
      <c r="B156" s="59"/>
      <c r="C156" s="59"/>
      <c r="D156" s="60"/>
      <c r="E156" s="59"/>
      <c r="F156" s="59"/>
      <c r="G156" s="59"/>
      <c r="H156" s="61"/>
      <c r="I156" s="61"/>
      <c r="J156" s="61"/>
      <c r="K156" s="62"/>
      <c r="L156" s="10" t="str">
        <f t="shared" si="94"/>
        <v/>
      </c>
      <c r="M156" s="10" t="str">
        <f t="shared" si="95"/>
        <v/>
      </c>
      <c r="N156" s="11" t="str">
        <f t="shared" si="96"/>
        <v/>
      </c>
      <c r="O156" s="10" t="str">
        <f t="shared" si="97"/>
        <v/>
      </c>
      <c r="P156" s="12" t="str">
        <f t="shared" si="98"/>
        <v/>
      </c>
      <c r="Q156" s="10" t="str">
        <f t="shared" si="99"/>
        <v/>
      </c>
      <c r="R156" s="13" t="str">
        <f t="shared" si="100"/>
        <v/>
      </c>
      <c r="S156" s="13" t="str">
        <f t="shared" si="101"/>
        <v/>
      </c>
      <c r="T156" s="22" t="str">
        <f>IF(R156&lt;&gt;"",VLOOKUP(P156,Constants!$D$3:$E$10,2),"")</f>
        <v/>
      </c>
    </row>
    <row r="157" spans="2:20" x14ac:dyDescent="0.25">
      <c r="B157" s="59"/>
      <c r="C157" s="59"/>
      <c r="D157" s="60"/>
      <c r="E157" s="59"/>
      <c r="F157" s="59"/>
      <c r="G157" s="59"/>
      <c r="H157" s="61"/>
      <c r="I157" s="61"/>
      <c r="J157" s="61"/>
      <c r="K157" s="62"/>
      <c r="L157" s="10" t="str">
        <f t="shared" si="94"/>
        <v/>
      </c>
      <c r="M157" s="10" t="str">
        <f t="shared" si="95"/>
        <v/>
      </c>
      <c r="N157" s="11" t="str">
        <f t="shared" si="96"/>
        <v/>
      </c>
      <c r="O157" s="10" t="str">
        <f t="shared" si="97"/>
        <v/>
      </c>
      <c r="P157" s="12" t="str">
        <f t="shared" si="98"/>
        <v/>
      </c>
      <c r="Q157" s="10" t="str">
        <f t="shared" si="99"/>
        <v/>
      </c>
      <c r="R157" s="13" t="str">
        <f t="shared" si="100"/>
        <v/>
      </c>
      <c r="S157" s="13" t="str">
        <f t="shared" si="101"/>
        <v/>
      </c>
      <c r="T157" s="22" t="str">
        <f>IF(R157&lt;&gt;"",VLOOKUP(P157,Constants!$D$3:$E$10,2),"")</f>
        <v/>
      </c>
    </row>
    <row r="158" spans="2:20" x14ac:dyDescent="0.25">
      <c r="B158" s="59"/>
      <c r="C158" s="59"/>
      <c r="D158" s="60"/>
      <c r="E158" s="59"/>
      <c r="F158" s="59"/>
      <c r="G158" s="59"/>
      <c r="H158" s="61"/>
      <c r="I158" s="61"/>
      <c r="J158" s="61"/>
      <c r="K158" s="62"/>
      <c r="L158" s="10" t="str">
        <f t="shared" si="94"/>
        <v/>
      </c>
      <c r="M158" s="10" t="str">
        <f t="shared" si="95"/>
        <v/>
      </c>
      <c r="N158" s="11" t="str">
        <f t="shared" si="96"/>
        <v/>
      </c>
      <c r="O158" s="10" t="str">
        <f t="shared" si="97"/>
        <v/>
      </c>
      <c r="P158" s="12" t="str">
        <f t="shared" si="98"/>
        <v/>
      </c>
      <c r="Q158" s="10" t="str">
        <f t="shared" si="99"/>
        <v/>
      </c>
      <c r="R158" s="13" t="str">
        <f t="shared" si="100"/>
        <v/>
      </c>
      <c r="S158" s="13" t="str">
        <f t="shared" si="101"/>
        <v/>
      </c>
      <c r="T158" s="22" t="str">
        <f>IF(R158&lt;&gt;"",VLOOKUP(P158,Constants!$D$3:$E$10,2),"")</f>
        <v/>
      </c>
    </row>
    <row r="159" spans="2:20" x14ac:dyDescent="0.25">
      <c r="B159" s="59"/>
      <c r="C159" s="59"/>
      <c r="D159" s="60"/>
      <c r="E159" s="59"/>
      <c r="F159" s="59"/>
      <c r="G159" s="59"/>
      <c r="H159" s="61"/>
      <c r="I159" s="61"/>
      <c r="J159" s="61"/>
      <c r="K159" s="62"/>
      <c r="L159" s="10" t="str">
        <f t="shared" si="94"/>
        <v/>
      </c>
      <c r="M159" s="10" t="str">
        <f t="shared" si="95"/>
        <v/>
      </c>
      <c r="N159" s="11" t="str">
        <f t="shared" si="96"/>
        <v/>
      </c>
      <c r="O159" s="10" t="str">
        <f t="shared" si="97"/>
        <v/>
      </c>
      <c r="P159" s="12" t="str">
        <f t="shared" si="98"/>
        <v/>
      </c>
      <c r="Q159" s="10" t="str">
        <f t="shared" si="99"/>
        <v/>
      </c>
      <c r="R159" s="13" t="str">
        <f t="shared" si="100"/>
        <v/>
      </c>
      <c r="S159" s="13" t="str">
        <f t="shared" si="101"/>
        <v/>
      </c>
      <c r="T159" s="22" t="str">
        <f>IF(R159&lt;&gt;"",VLOOKUP(P159,Constants!$D$3:$E$10,2),"")</f>
        <v/>
      </c>
    </row>
    <row r="160" spans="2:20" x14ac:dyDescent="0.25">
      <c r="B160" s="59"/>
      <c r="C160" s="59"/>
      <c r="D160" s="60"/>
      <c r="E160" s="59"/>
      <c r="F160" s="59"/>
      <c r="G160" s="59"/>
      <c r="H160" s="61"/>
      <c r="I160" s="61"/>
      <c r="J160" s="61"/>
      <c r="K160" s="62"/>
      <c r="L160" s="10" t="str">
        <f t="shared" si="94"/>
        <v/>
      </c>
      <c r="M160" s="10" t="str">
        <f t="shared" si="95"/>
        <v/>
      </c>
      <c r="N160" s="11" t="str">
        <f t="shared" si="96"/>
        <v/>
      </c>
      <c r="O160" s="10" t="str">
        <f t="shared" si="97"/>
        <v/>
      </c>
      <c r="P160" s="12" t="str">
        <f t="shared" si="98"/>
        <v/>
      </c>
      <c r="Q160" s="10" t="str">
        <f t="shared" si="99"/>
        <v/>
      </c>
      <c r="R160" s="13" t="str">
        <f t="shared" si="100"/>
        <v/>
      </c>
      <c r="S160" s="13" t="str">
        <f t="shared" si="101"/>
        <v/>
      </c>
      <c r="T160" s="22" t="str">
        <f>IF(R160&lt;&gt;"",VLOOKUP(P160,Constants!$D$3:$E$10,2),"")</f>
        <v/>
      </c>
    </row>
    <row r="161" spans="2:20" x14ac:dyDescent="0.25">
      <c r="B161" s="59"/>
      <c r="C161" s="59"/>
      <c r="D161" s="60"/>
      <c r="E161" s="59"/>
      <c r="F161" s="59"/>
      <c r="G161" s="59"/>
      <c r="H161" s="61"/>
      <c r="I161" s="61"/>
      <c r="J161" s="61"/>
      <c r="K161" s="62"/>
      <c r="L161" s="10" t="str">
        <f t="shared" si="94"/>
        <v/>
      </c>
      <c r="M161" s="10" t="str">
        <f t="shared" si="95"/>
        <v/>
      </c>
      <c r="N161" s="11" t="str">
        <f t="shared" si="96"/>
        <v/>
      </c>
      <c r="O161" s="10" t="str">
        <f t="shared" si="97"/>
        <v/>
      </c>
      <c r="P161" s="12" t="str">
        <f t="shared" si="98"/>
        <v/>
      </c>
      <c r="Q161" s="10" t="str">
        <f t="shared" si="99"/>
        <v/>
      </c>
      <c r="R161" s="13" t="str">
        <f t="shared" si="100"/>
        <v/>
      </c>
      <c r="S161" s="13" t="str">
        <f t="shared" si="101"/>
        <v/>
      </c>
      <c r="T161" s="22" t="str">
        <f>IF(R161&lt;&gt;"",VLOOKUP(P161,Constants!$D$3:$E$10,2),"")</f>
        <v/>
      </c>
    </row>
    <row r="162" spans="2:20" x14ac:dyDescent="0.25">
      <c r="B162" s="59"/>
      <c r="C162" s="59"/>
      <c r="D162" s="60"/>
      <c r="E162" s="59"/>
      <c r="F162" s="59"/>
      <c r="G162" s="59"/>
      <c r="H162" s="61"/>
      <c r="I162" s="61"/>
      <c r="J162" s="61"/>
      <c r="K162" s="62"/>
      <c r="L162" s="10" t="str">
        <f t="shared" si="94"/>
        <v/>
      </c>
      <c r="M162" s="10" t="str">
        <f t="shared" si="95"/>
        <v/>
      </c>
      <c r="N162" s="11" t="str">
        <f t="shared" si="96"/>
        <v/>
      </c>
      <c r="O162" s="10" t="str">
        <f t="shared" si="97"/>
        <v/>
      </c>
      <c r="P162" s="12" t="str">
        <f t="shared" si="98"/>
        <v/>
      </c>
      <c r="Q162" s="10" t="str">
        <f t="shared" si="99"/>
        <v/>
      </c>
      <c r="R162" s="13" t="str">
        <f t="shared" si="100"/>
        <v/>
      </c>
      <c r="S162" s="13" t="str">
        <f t="shared" si="101"/>
        <v/>
      </c>
      <c r="T162" s="22" t="str">
        <f>IF(R162&lt;&gt;"",VLOOKUP(P162,Constants!$D$3:$E$10,2),"")</f>
        <v/>
      </c>
    </row>
    <row r="163" spans="2:20" x14ac:dyDescent="0.25">
      <c r="B163" s="59"/>
      <c r="C163" s="59"/>
      <c r="D163" s="60"/>
      <c r="E163" s="59"/>
      <c r="F163" s="59"/>
      <c r="G163" s="59"/>
      <c r="H163" s="61"/>
      <c r="I163" s="61"/>
      <c r="J163" s="61"/>
      <c r="K163" s="62"/>
      <c r="L163" s="10" t="str">
        <f t="shared" si="94"/>
        <v/>
      </c>
      <c r="M163" s="10" t="str">
        <f t="shared" si="95"/>
        <v/>
      </c>
      <c r="N163" s="11" t="str">
        <f t="shared" si="96"/>
        <v/>
      </c>
      <c r="O163" s="10" t="str">
        <f t="shared" si="97"/>
        <v/>
      </c>
      <c r="P163" s="12" t="str">
        <f t="shared" si="98"/>
        <v/>
      </c>
      <c r="Q163" s="10" t="str">
        <f t="shared" si="99"/>
        <v/>
      </c>
      <c r="R163" s="13" t="str">
        <f t="shared" si="100"/>
        <v/>
      </c>
      <c r="S163" s="13" t="str">
        <f t="shared" si="101"/>
        <v/>
      </c>
      <c r="T163" s="22" t="str">
        <f>IF(R163&lt;&gt;"",VLOOKUP(P163,Constants!$D$3:$E$10,2),"")</f>
        <v/>
      </c>
    </row>
    <row r="164" spans="2:20" x14ac:dyDescent="0.25">
      <c r="B164" s="59"/>
      <c r="C164" s="59"/>
      <c r="D164" s="60"/>
      <c r="E164" s="59"/>
      <c r="F164" s="59"/>
      <c r="G164" s="59"/>
      <c r="H164" s="61"/>
      <c r="I164" s="61"/>
      <c r="J164" s="61"/>
      <c r="K164" s="62"/>
      <c r="L164" s="10" t="str">
        <f t="shared" si="94"/>
        <v/>
      </c>
      <c r="M164" s="10" t="str">
        <f t="shared" si="95"/>
        <v/>
      </c>
      <c r="N164" s="11" t="str">
        <f t="shared" si="96"/>
        <v/>
      </c>
      <c r="O164" s="10" t="str">
        <f t="shared" si="97"/>
        <v/>
      </c>
      <c r="P164" s="12" t="str">
        <f t="shared" si="98"/>
        <v/>
      </c>
      <c r="Q164" s="10" t="str">
        <f t="shared" si="99"/>
        <v/>
      </c>
      <c r="R164" s="13" t="str">
        <f t="shared" si="100"/>
        <v/>
      </c>
      <c r="S164" s="13" t="str">
        <f t="shared" si="101"/>
        <v/>
      </c>
      <c r="T164" s="22" t="str">
        <f>IF(R164&lt;&gt;"",VLOOKUP(P164,Constants!$D$3:$E$10,2),"")</f>
        <v/>
      </c>
    </row>
    <row r="165" spans="2:20" x14ac:dyDescent="0.25">
      <c r="B165" s="59"/>
      <c r="C165" s="59"/>
      <c r="D165" s="60"/>
      <c r="E165" s="59"/>
      <c r="F165" s="59"/>
      <c r="G165" s="59"/>
      <c r="H165" s="61"/>
      <c r="I165" s="61"/>
      <c r="J165" s="61"/>
      <c r="K165" s="62"/>
      <c r="L165" s="10" t="str">
        <f t="shared" si="94"/>
        <v/>
      </c>
      <c r="M165" s="10" t="str">
        <f t="shared" si="95"/>
        <v/>
      </c>
      <c r="N165" s="11" t="str">
        <f t="shared" si="96"/>
        <v/>
      </c>
      <c r="O165" s="10" t="str">
        <f t="shared" si="97"/>
        <v/>
      </c>
      <c r="P165" s="12" t="str">
        <f t="shared" si="98"/>
        <v/>
      </c>
      <c r="Q165" s="10" t="str">
        <f t="shared" si="99"/>
        <v/>
      </c>
      <c r="R165" s="13" t="str">
        <f t="shared" si="100"/>
        <v/>
      </c>
      <c r="S165" s="13" t="str">
        <f t="shared" si="101"/>
        <v/>
      </c>
      <c r="T165" s="22" t="str">
        <f>IF(R165&lt;&gt;"",VLOOKUP(P165,Constants!$D$3:$E$10,2),"")</f>
        <v/>
      </c>
    </row>
    <row r="166" spans="2:20" x14ac:dyDescent="0.25">
      <c r="B166" s="59"/>
      <c r="C166" s="59"/>
      <c r="D166" s="60"/>
      <c r="E166" s="59"/>
      <c r="F166" s="59"/>
      <c r="G166" s="59"/>
      <c r="H166" s="61"/>
      <c r="I166" s="61"/>
      <c r="J166" s="61"/>
      <c r="K166" s="62"/>
      <c r="L166" s="10" t="str">
        <f t="shared" si="94"/>
        <v/>
      </c>
      <c r="M166" s="10" t="str">
        <f t="shared" si="95"/>
        <v/>
      </c>
      <c r="N166" s="11" t="str">
        <f t="shared" si="96"/>
        <v/>
      </c>
      <c r="O166" s="10" t="str">
        <f t="shared" si="97"/>
        <v/>
      </c>
      <c r="P166" s="12" t="str">
        <f t="shared" si="98"/>
        <v/>
      </c>
      <c r="Q166" s="10" t="str">
        <f t="shared" si="99"/>
        <v/>
      </c>
      <c r="R166" s="13" t="str">
        <f t="shared" si="100"/>
        <v/>
      </c>
      <c r="S166" s="13" t="str">
        <f t="shared" si="101"/>
        <v/>
      </c>
      <c r="T166" s="22" t="str">
        <f>IF(R166&lt;&gt;"",VLOOKUP(P166,Constants!$D$3:$E$10,2),"")</f>
        <v/>
      </c>
    </row>
    <row r="167" spans="2:20" x14ac:dyDescent="0.25">
      <c r="B167" s="59"/>
      <c r="C167" s="59"/>
      <c r="D167" s="60"/>
      <c r="E167" s="59"/>
      <c r="F167" s="59"/>
      <c r="G167" s="59"/>
      <c r="H167" s="61"/>
      <c r="I167" s="61"/>
      <c r="J167" s="61"/>
      <c r="K167" s="62"/>
      <c r="L167" s="10" t="str">
        <f t="shared" si="94"/>
        <v/>
      </c>
      <c r="M167" s="10" t="str">
        <f t="shared" si="95"/>
        <v/>
      </c>
      <c r="N167" s="11" t="str">
        <f t="shared" si="96"/>
        <v/>
      </c>
      <c r="O167" s="10" t="str">
        <f t="shared" si="97"/>
        <v/>
      </c>
      <c r="P167" s="12" t="str">
        <f t="shared" si="98"/>
        <v/>
      </c>
      <c r="Q167" s="10" t="str">
        <f t="shared" si="99"/>
        <v/>
      </c>
      <c r="R167" s="13" t="str">
        <f t="shared" si="100"/>
        <v/>
      </c>
      <c r="S167" s="13" t="str">
        <f t="shared" si="101"/>
        <v/>
      </c>
      <c r="T167" s="22" t="str">
        <f>IF(R167&lt;&gt;"",VLOOKUP(P167,Constants!$D$3:$E$10,2),"")</f>
        <v/>
      </c>
    </row>
    <row r="168" spans="2:20" x14ac:dyDescent="0.25">
      <c r="B168" s="59"/>
      <c r="C168" s="59"/>
      <c r="D168" s="60"/>
      <c r="E168" s="59"/>
      <c r="F168" s="59"/>
      <c r="G168" s="59"/>
      <c r="H168" s="61"/>
      <c r="I168" s="61"/>
      <c r="J168" s="61"/>
      <c r="K168" s="62"/>
      <c r="L168" s="10" t="str">
        <f t="shared" si="94"/>
        <v/>
      </c>
      <c r="M168" s="10" t="str">
        <f t="shared" si="95"/>
        <v/>
      </c>
      <c r="N168" s="11" t="str">
        <f t="shared" si="96"/>
        <v/>
      </c>
      <c r="O168" s="10" t="str">
        <f t="shared" si="97"/>
        <v/>
      </c>
      <c r="P168" s="12" t="str">
        <f t="shared" si="98"/>
        <v/>
      </c>
      <c r="Q168" s="10" t="str">
        <f t="shared" si="99"/>
        <v/>
      </c>
      <c r="R168" s="13" t="str">
        <f t="shared" si="100"/>
        <v/>
      </c>
      <c r="S168" s="13" t="str">
        <f t="shared" si="101"/>
        <v/>
      </c>
      <c r="T168" s="22" t="str">
        <f>IF(R168&lt;&gt;"",VLOOKUP(P168,Constants!$D$3:$E$10,2),"")</f>
        <v/>
      </c>
    </row>
    <row r="169" spans="2:20" x14ac:dyDescent="0.25">
      <c r="B169" s="59"/>
      <c r="C169" s="59"/>
      <c r="D169" s="60"/>
      <c r="E169" s="59"/>
      <c r="F169" s="59"/>
      <c r="G169" s="59"/>
      <c r="H169" s="61"/>
      <c r="I169" s="61"/>
      <c r="J169" s="61"/>
      <c r="K169" s="62"/>
      <c r="L169" s="10" t="str">
        <f t="shared" si="94"/>
        <v/>
      </c>
      <c r="M169" s="10" t="str">
        <f t="shared" si="95"/>
        <v/>
      </c>
      <c r="N169" s="11" t="str">
        <f t="shared" si="96"/>
        <v/>
      </c>
      <c r="O169" s="10" t="str">
        <f t="shared" si="97"/>
        <v/>
      </c>
      <c r="P169" s="12" t="str">
        <f t="shared" si="98"/>
        <v/>
      </c>
      <c r="Q169" s="10" t="str">
        <f t="shared" si="99"/>
        <v/>
      </c>
      <c r="R169" s="13" t="str">
        <f t="shared" si="100"/>
        <v/>
      </c>
      <c r="S169" s="13" t="str">
        <f t="shared" si="101"/>
        <v/>
      </c>
      <c r="T169" s="22" t="str">
        <f>IF(R169&lt;&gt;"",VLOOKUP(P169,Constants!$D$3:$E$10,2),"")</f>
        <v/>
      </c>
    </row>
    <row r="170" spans="2:20" x14ac:dyDescent="0.25">
      <c r="B170" s="59"/>
      <c r="C170" s="59"/>
      <c r="D170" s="60"/>
      <c r="E170" s="59"/>
      <c r="F170" s="59"/>
      <c r="G170" s="59"/>
      <c r="H170" s="61"/>
      <c r="I170" s="61"/>
      <c r="J170" s="61"/>
      <c r="K170" s="62"/>
      <c r="L170" s="10" t="str">
        <f t="shared" si="94"/>
        <v/>
      </c>
      <c r="M170" s="10" t="str">
        <f t="shared" si="95"/>
        <v/>
      </c>
      <c r="N170" s="11" t="str">
        <f t="shared" si="96"/>
        <v/>
      </c>
      <c r="O170" s="10" t="str">
        <f t="shared" si="97"/>
        <v/>
      </c>
      <c r="P170" s="12" t="str">
        <f t="shared" si="98"/>
        <v/>
      </c>
      <c r="Q170" s="10" t="str">
        <f t="shared" si="99"/>
        <v/>
      </c>
      <c r="R170" s="13" t="str">
        <f t="shared" si="100"/>
        <v/>
      </c>
      <c r="S170" s="13" t="str">
        <f t="shared" si="101"/>
        <v/>
      </c>
      <c r="T170" s="22" t="str">
        <f>IF(R170&lt;&gt;"",VLOOKUP(P170,Constants!$D$3:$E$10,2),"")</f>
        <v/>
      </c>
    </row>
    <row r="171" spans="2:20" x14ac:dyDescent="0.25">
      <c r="B171" s="59"/>
      <c r="C171" s="59"/>
      <c r="D171" s="60"/>
      <c r="E171" s="59"/>
      <c r="F171" s="59"/>
      <c r="G171" s="59"/>
      <c r="H171" s="61"/>
      <c r="I171" s="61"/>
      <c r="J171" s="61"/>
      <c r="K171" s="62"/>
      <c r="L171" s="10" t="str">
        <f t="shared" si="94"/>
        <v/>
      </c>
      <c r="M171" s="10" t="str">
        <f t="shared" si="95"/>
        <v/>
      </c>
      <c r="N171" s="11" t="str">
        <f t="shared" si="96"/>
        <v/>
      </c>
      <c r="O171" s="10" t="str">
        <f t="shared" si="97"/>
        <v/>
      </c>
      <c r="P171" s="12" t="str">
        <f t="shared" si="98"/>
        <v/>
      </c>
      <c r="Q171" s="10" t="str">
        <f t="shared" si="99"/>
        <v/>
      </c>
      <c r="R171" s="13" t="str">
        <f t="shared" si="100"/>
        <v/>
      </c>
      <c r="S171" s="13" t="str">
        <f t="shared" si="101"/>
        <v/>
      </c>
      <c r="T171" s="22" t="str">
        <f>IF(R171&lt;&gt;"",VLOOKUP(P171,Constants!$D$3:$E$10,2),"")</f>
        <v/>
      </c>
    </row>
    <row r="172" spans="2:20" x14ac:dyDescent="0.25">
      <c r="B172" s="59"/>
      <c r="C172" s="59"/>
      <c r="D172" s="60"/>
      <c r="E172" s="59"/>
      <c r="F172" s="59"/>
      <c r="G172" s="59"/>
      <c r="H172" s="61"/>
      <c r="I172" s="61"/>
      <c r="J172" s="61"/>
      <c r="K172" s="62"/>
      <c r="L172" s="10" t="str">
        <f t="shared" si="94"/>
        <v/>
      </c>
      <c r="M172" s="10" t="str">
        <f t="shared" si="95"/>
        <v/>
      </c>
      <c r="N172" s="11" t="str">
        <f t="shared" si="96"/>
        <v/>
      </c>
      <c r="O172" s="10" t="str">
        <f t="shared" si="97"/>
        <v/>
      </c>
      <c r="P172" s="12" t="str">
        <f t="shared" si="98"/>
        <v/>
      </c>
      <c r="Q172" s="10" t="str">
        <f t="shared" si="99"/>
        <v/>
      </c>
      <c r="R172" s="13" t="str">
        <f t="shared" si="100"/>
        <v/>
      </c>
      <c r="S172" s="13" t="str">
        <f t="shared" si="101"/>
        <v/>
      </c>
      <c r="T172" s="22" t="str">
        <f>IF(R172&lt;&gt;"",VLOOKUP(P172,Constants!$D$3:$E$10,2),"")</f>
        <v/>
      </c>
    </row>
    <row r="173" spans="2:20" x14ac:dyDescent="0.25">
      <c r="B173" s="59"/>
      <c r="C173" s="59"/>
      <c r="D173" s="60"/>
      <c r="E173" s="59"/>
      <c r="F173" s="59"/>
      <c r="G173" s="59"/>
      <c r="H173" s="61"/>
      <c r="I173" s="61"/>
      <c r="J173" s="61"/>
      <c r="K173" s="62"/>
      <c r="L173" s="10" t="str">
        <f t="shared" si="94"/>
        <v/>
      </c>
      <c r="M173" s="10" t="str">
        <f t="shared" si="95"/>
        <v/>
      </c>
      <c r="N173" s="11" t="str">
        <f t="shared" si="96"/>
        <v/>
      </c>
      <c r="O173" s="10" t="str">
        <f t="shared" si="97"/>
        <v/>
      </c>
      <c r="P173" s="12" t="str">
        <f t="shared" si="98"/>
        <v/>
      </c>
      <c r="Q173" s="10" t="str">
        <f t="shared" si="99"/>
        <v/>
      </c>
      <c r="R173" s="13" t="str">
        <f t="shared" si="100"/>
        <v/>
      </c>
      <c r="S173" s="13" t="str">
        <f t="shared" si="101"/>
        <v/>
      </c>
      <c r="T173" s="22" t="str">
        <f>IF(R173&lt;&gt;"",VLOOKUP(P173,Constants!$D$3:$E$10,2),"")</f>
        <v/>
      </c>
    </row>
    <row r="174" spans="2:20" x14ac:dyDescent="0.25">
      <c r="B174" s="59"/>
      <c r="C174" s="59"/>
      <c r="D174" s="60"/>
      <c r="E174" s="59"/>
      <c r="F174" s="59"/>
      <c r="G174" s="59"/>
      <c r="H174" s="61"/>
      <c r="I174" s="61"/>
      <c r="J174" s="61"/>
      <c r="K174" s="62"/>
      <c r="L174" s="10" t="str">
        <f t="shared" si="94"/>
        <v/>
      </c>
      <c r="M174" s="10" t="str">
        <f t="shared" si="95"/>
        <v/>
      </c>
      <c r="N174" s="11" t="str">
        <f t="shared" si="96"/>
        <v/>
      </c>
      <c r="O174" s="10" t="str">
        <f t="shared" si="97"/>
        <v/>
      </c>
      <c r="P174" s="12" t="str">
        <f t="shared" si="98"/>
        <v/>
      </c>
      <c r="Q174" s="10" t="str">
        <f t="shared" si="99"/>
        <v/>
      </c>
      <c r="R174" s="13" t="str">
        <f t="shared" si="100"/>
        <v/>
      </c>
      <c r="S174" s="13" t="str">
        <f t="shared" si="101"/>
        <v/>
      </c>
      <c r="T174" s="22" t="str">
        <f>IF(R174&lt;&gt;"",VLOOKUP(P174,Constants!$D$3:$E$10,2),"")</f>
        <v/>
      </c>
    </row>
    <row r="175" spans="2:20" x14ac:dyDescent="0.25">
      <c r="B175" s="59"/>
      <c r="C175" s="59"/>
      <c r="D175" s="60"/>
      <c r="E175" s="59"/>
      <c r="F175" s="59"/>
      <c r="G175" s="59"/>
      <c r="H175" s="61"/>
      <c r="I175" s="61"/>
      <c r="J175" s="61"/>
      <c r="K175" s="62"/>
      <c r="L175" s="10" t="str">
        <f t="shared" si="94"/>
        <v/>
      </c>
      <c r="M175" s="10" t="str">
        <f t="shared" si="95"/>
        <v/>
      </c>
      <c r="N175" s="11" t="str">
        <f t="shared" si="96"/>
        <v/>
      </c>
      <c r="O175" s="10" t="str">
        <f t="shared" si="97"/>
        <v/>
      </c>
      <c r="P175" s="12" t="str">
        <f t="shared" si="98"/>
        <v/>
      </c>
      <c r="Q175" s="10" t="str">
        <f t="shared" si="99"/>
        <v/>
      </c>
      <c r="R175" s="13" t="str">
        <f t="shared" si="100"/>
        <v/>
      </c>
      <c r="S175" s="13" t="str">
        <f t="shared" si="101"/>
        <v/>
      </c>
      <c r="T175" s="22" t="str">
        <f>IF(R175&lt;&gt;"",VLOOKUP(P175,Constants!$D$3:$E$10,2),"")</f>
        <v/>
      </c>
    </row>
    <row r="176" spans="2:20" x14ac:dyDescent="0.25">
      <c r="B176" s="59"/>
      <c r="C176" s="59"/>
      <c r="D176" s="60"/>
      <c r="E176" s="59"/>
      <c r="F176" s="59"/>
      <c r="G176" s="59"/>
      <c r="H176" s="61"/>
      <c r="I176" s="61"/>
      <c r="J176" s="61"/>
      <c r="K176" s="62"/>
      <c r="L176" s="10" t="str">
        <f t="shared" si="94"/>
        <v/>
      </c>
      <c r="M176" s="10" t="str">
        <f t="shared" si="95"/>
        <v/>
      </c>
      <c r="N176" s="11" t="str">
        <f t="shared" si="96"/>
        <v/>
      </c>
      <c r="O176" s="10" t="str">
        <f t="shared" si="97"/>
        <v/>
      </c>
      <c r="P176" s="12" t="str">
        <f t="shared" si="98"/>
        <v/>
      </c>
      <c r="Q176" s="10" t="str">
        <f t="shared" si="99"/>
        <v/>
      </c>
      <c r="R176" s="13" t="str">
        <f t="shared" si="100"/>
        <v/>
      </c>
      <c r="S176" s="13" t="str">
        <f t="shared" si="101"/>
        <v/>
      </c>
      <c r="T176" s="22" t="str">
        <f>IF(R176&lt;&gt;"",VLOOKUP(P176,Constants!$D$3:$E$10,2),"")</f>
        <v/>
      </c>
    </row>
    <row r="177" spans="2:20" x14ac:dyDescent="0.25">
      <c r="B177" s="59"/>
      <c r="C177" s="59"/>
      <c r="D177" s="60"/>
      <c r="E177" s="59"/>
      <c r="F177" s="59"/>
      <c r="G177" s="59"/>
      <c r="H177" s="61"/>
      <c r="I177" s="61"/>
      <c r="J177" s="61"/>
      <c r="K177" s="62"/>
      <c r="L177" s="10" t="str">
        <f t="shared" si="94"/>
        <v/>
      </c>
      <c r="M177" s="10" t="str">
        <f t="shared" si="95"/>
        <v/>
      </c>
      <c r="N177" s="11" t="str">
        <f t="shared" si="96"/>
        <v/>
      </c>
      <c r="O177" s="10" t="str">
        <f t="shared" si="97"/>
        <v/>
      </c>
      <c r="P177" s="12" t="str">
        <f t="shared" si="98"/>
        <v/>
      </c>
      <c r="Q177" s="10" t="str">
        <f t="shared" si="99"/>
        <v/>
      </c>
      <c r="R177" s="13" t="str">
        <f t="shared" si="100"/>
        <v/>
      </c>
      <c r="S177" s="13" t="str">
        <f t="shared" si="101"/>
        <v/>
      </c>
      <c r="T177" s="22" t="str">
        <f>IF(R177&lt;&gt;"",VLOOKUP(P177,Constants!$D$3:$E$10,2),"")</f>
        <v/>
      </c>
    </row>
    <row r="178" spans="2:20" x14ac:dyDescent="0.25">
      <c r="B178" s="59"/>
      <c r="C178" s="59"/>
      <c r="D178" s="60"/>
      <c r="E178" s="59"/>
      <c r="F178" s="59"/>
      <c r="G178" s="59"/>
      <c r="H178" s="61"/>
      <c r="I178" s="61"/>
      <c r="J178" s="61"/>
      <c r="K178" s="62"/>
      <c r="L178" s="10" t="str">
        <f t="shared" si="94"/>
        <v/>
      </c>
      <c r="M178" s="10" t="str">
        <f t="shared" si="95"/>
        <v/>
      </c>
      <c r="N178" s="11" t="str">
        <f t="shared" si="96"/>
        <v/>
      </c>
      <c r="O178" s="10" t="str">
        <f t="shared" si="97"/>
        <v/>
      </c>
      <c r="P178" s="12" t="str">
        <f t="shared" si="98"/>
        <v/>
      </c>
      <c r="Q178" s="10" t="str">
        <f t="shared" si="99"/>
        <v/>
      </c>
      <c r="R178" s="13" t="str">
        <f t="shared" si="100"/>
        <v/>
      </c>
      <c r="S178" s="13" t="str">
        <f t="shared" si="101"/>
        <v/>
      </c>
      <c r="T178" s="22" t="str">
        <f>IF(R178&lt;&gt;"",VLOOKUP(P178,Constants!$D$3:$E$10,2),"")</f>
        <v/>
      </c>
    </row>
    <row r="179" spans="2:20" x14ac:dyDescent="0.25">
      <c r="B179" s="59"/>
      <c r="C179" s="59"/>
      <c r="D179" s="60"/>
      <c r="E179" s="59"/>
      <c r="F179" s="59"/>
      <c r="G179" s="59"/>
      <c r="H179" s="61"/>
      <c r="I179" s="61"/>
      <c r="J179" s="61"/>
      <c r="K179" s="62"/>
      <c r="L179" s="10" t="str">
        <f t="shared" si="94"/>
        <v/>
      </c>
      <c r="M179" s="10" t="str">
        <f t="shared" si="95"/>
        <v/>
      </c>
      <c r="N179" s="11" t="str">
        <f t="shared" si="96"/>
        <v/>
      </c>
      <c r="O179" s="10" t="str">
        <f t="shared" si="97"/>
        <v/>
      </c>
      <c r="P179" s="12" t="str">
        <f t="shared" si="98"/>
        <v/>
      </c>
      <c r="Q179" s="10" t="str">
        <f t="shared" si="99"/>
        <v/>
      </c>
      <c r="R179" s="13" t="str">
        <f t="shared" si="100"/>
        <v/>
      </c>
      <c r="S179" s="13" t="str">
        <f t="shared" si="101"/>
        <v/>
      </c>
      <c r="T179" s="22" t="str">
        <f>IF(R179&lt;&gt;"",VLOOKUP(P179,Constants!$D$3:$E$10,2),"")</f>
        <v/>
      </c>
    </row>
    <row r="180" spans="2:20" x14ac:dyDescent="0.25">
      <c r="B180" s="59"/>
      <c r="C180" s="59"/>
      <c r="D180" s="60"/>
      <c r="E180" s="59"/>
      <c r="F180" s="59"/>
      <c r="G180" s="59"/>
      <c r="H180" s="61"/>
      <c r="I180" s="61"/>
      <c r="J180" s="61"/>
      <c r="K180" s="62"/>
      <c r="L180" s="10" t="str">
        <f t="shared" si="94"/>
        <v/>
      </c>
      <c r="M180" s="10" t="str">
        <f t="shared" si="95"/>
        <v/>
      </c>
      <c r="N180" s="11" t="str">
        <f t="shared" si="96"/>
        <v/>
      </c>
      <c r="O180" s="10" t="str">
        <f t="shared" si="97"/>
        <v/>
      </c>
      <c r="P180" s="12" t="str">
        <f t="shared" si="98"/>
        <v/>
      </c>
      <c r="Q180" s="10" t="str">
        <f t="shared" si="99"/>
        <v/>
      </c>
      <c r="R180" s="13" t="str">
        <f t="shared" si="100"/>
        <v/>
      </c>
      <c r="S180" s="13" t="str">
        <f t="shared" si="101"/>
        <v/>
      </c>
      <c r="T180" s="22" t="str">
        <f>IF(R180&lt;&gt;"",VLOOKUP(P180,Constants!$D$3:$E$10,2),"")</f>
        <v/>
      </c>
    </row>
    <row r="181" spans="2:20" x14ac:dyDescent="0.25">
      <c r="B181" s="59"/>
      <c r="C181" s="59"/>
      <c r="D181" s="60"/>
      <c r="E181" s="59"/>
      <c r="F181" s="59"/>
      <c r="G181" s="59"/>
      <c r="H181" s="61"/>
      <c r="I181" s="61"/>
      <c r="J181" s="61"/>
      <c r="K181" s="62"/>
      <c r="L181" s="10" t="str">
        <f t="shared" si="94"/>
        <v/>
      </c>
      <c r="M181" s="10" t="str">
        <f t="shared" si="95"/>
        <v/>
      </c>
      <c r="N181" s="11" t="str">
        <f t="shared" si="96"/>
        <v/>
      </c>
      <c r="O181" s="10" t="str">
        <f t="shared" si="97"/>
        <v/>
      </c>
      <c r="P181" s="12" t="str">
        <f t="shared" si="98"/>
        <v/>
      </c>
      <c r="Q181" s="10" t="str">
        <f t="shared" si="99"/>
        <v/>
      </c>
      <c r="R181" s="13" t="str">
        <f t="shared" si="100"/>
        <v/>
      </c>
      <c r="S181" s="13" t="str">
        <f t="shared" si="101"/>
        <v/>
      </c>
      <c r="T181" s="22" t="str">
        <f>IF(R181&lt;&gt;"",VLOOKUP(P181,Constants!$D$3:$E$10,2),"")</f>
        <v/>
      </c>
    </row>
    <row r="182" spans="2:20" x14ac:dyDescent="0.25">
      <c r="B182" s="59"/>
      <c r="C182" s="59"/>
      <c r="D182" s="60"/>
      <c r="E182" s="59"/>
      <c r="F182" s="59"/>
      <c r="G182" s="59"/>
      <c r="H182" s="61"/>
      <c r="I182" s="61"/>
      <c r="J182" s="61"/>
      <c r="K182" s="62"/>
      <c r="L182" s="10" t="str">
        <f t="shared" si="94"/>
        <v/>
      </c>
      <c r="M182" s="10" t="str">
        <f t="shared" si="95"/>
        <v/>
      </c>
      <c r="N182" s="11" t="str">
        <f t="shared" si="96"/>
        <v/>
      </c>
      <c r="O182" s="10" t="str">
        <f t="shared" si="97"/>
        <v/>
      </c>
      <c r="P182" s="12" t="str">
        <f t="shared" si="98"/>
        <v/>
      </c>
      <c r="Q182" s="10" t="str">
        <f t="shared" si="99"/>
        <v/>
      </c>
      <c r="R182" s="13" t="str">
        <f t="shared" si="100"/>
        <v/>
      </c>
      <c r="S182" s="13" t="str">
        <f t="shared" si="101"/>
        <v/>
      </c>
      <c r="T182" s="22" t="str">
        <f>IF(R182&lt;&gt;"",VLOOKUP(P182,Constants!$D$3:$E$10,2),"")</f>
        <v/>
      </c>
    </row>
    <row r="183" spans="2:20" x14ac:dyDescent="0.25">
      <c r="B183" s="59"/>
      <c r="C183" s="59"/>
      <c r="D183" s="60"/>
      <c r="E183" s="59"/>
      <c r="F183" s="59"/>
      <c r="G183" s="59"/>
      <c r="H183" s="61"/>
      <c r="I183" s="61"/>
      <c r="J183" s="61"/>
      <c r="K183" s="62"/>
      <c r="L183" s="10" t="str">
        <f t="shared" si="94"/>
        <v/>
      </c>
      <c r="M183" s="10" t="str">
        <f t="shared" si="95"/>
        <v/>
      </c>
      <c r="N183" s="11" t="str">
        <f t="shared" si="96"/>
        <v/>
      </c>
      <c r="O183" s="10" t="str">
        <f t="shared" si="97"/>
        <v/>
      </c>
      <c r="P183" s="12" t="str">
        <f t="shared" si="98"/>
        <v/>
      </c>
      <c r="Q183" s="10" t="str">
        <f t="shared" si="99"/>
        <v/>
      </c>
      <c r="R183" s="13" t="str">
        <f t="shared" si="100"/>
        <v/>
      </c>
      <c r="S183" s="13" t="str">
        <f t="shared" si="101"/>
        <v/>
      </c>
      <c r="T183" s="22" t="str">
        <f>IF(R183&lt;&gt;"",VLOOKUP(P183,Constants!$D$3:$E$10,2),"")</f>
        <v/>
      </c>
    </row>
    <row r="184" spans="2:20" x14ac:dyDescent="0.25">
      <c r="B184" s="59"/>
      <c r="C184" s="59"/>
      <c r="D184" s="60"/>
      <c r="E184" s="59"/>
      <c r="F184" s="59"/>
      <c r="G184" s="59"/>
      <c r="H184" s="61"/>
      <c r="I184" s="61"/>
      <c r="J184" s="61"/>
      <c r="K184" s="62"/>
      <c r="L184" s="10" t="str">
        <f t="shared" si="94"/>
        <v/>
      </c>
      <c r="M184" s="10" t="str">
        <f t="shared" si="95"/>
        <v/>
      </c>
      <c r="N184" s="11" t="str">
        <f t="shared" si="96"/>
        <v/>
      </c>
      <c r="O184" s="10" t="str">
        <f t="shared" si="97"/>
        <v/>
      </c>
      <c r="P184" s="12" t="str">
        <f t="shared" si="98"/>
        <v/>
      </c>
      <c r="Q184" s="10" t="str">
        <f t="shared" si="99"/>
        <v/>
      </c>
      <c r="R184" s="13" t="str">
        <f t="shared" si="100"/>
        <v/>
      </c>
      <c r="S184" s="13" t="str">
        <f t="shared" si="101"/>
        <v/>
      </c>
      <c r="T184" s="22" t="str">
        <f>IF(R184&lt;&gt;"",VLOOKUP(P184,Constants!$D$3:$E$10,2),"")</f>
        <v/>
      </c>
    </row>
    <row r="185" spans="2:20" x14ac:dyDescent="0.25">
      <c r="B185" s="59"/>
      <c r="C185" s="59"/>
      <c r="D185" s="60"/>
      <c r="E185" s="59"/>
      <c r="F185" s="59"/>
      <c r="G185" s="59"/>
      <c r="H185" s="61"/>
      <c r="I185" s="61"/>
      <c r="J185" s="61"/>
      <c r="K185" s="62"/>
      <c r="L185" s="10" t="str">
        <f t="shared" si="94"/>
        <v/>
      </c>
      <c r="M185" s="10" t="str">
        <f t="shared" si="95"/>
        <v/>
      </c>
      <c r="N185" s="11" t="str">
        <f t="shared" si="96"/>
        <v/>
      </c>
      <c r="O185" s="10" t="str">
        <f t="shared" si="97"/>
        <v/>
      </c>
      <c r="P185" s="12" t="str">
        <f t="shared" si="98"/>
        <v/>
      </c>
      <c r="Q185" s="10" t="str">
        <f t="shared" si="99"/>
        <v/>
      </c>
      <c r="R185" s="13" t="str">
        <f t="shared" si="100"/>
        <v/>
      </c>
      <c r="S185" s="13" t="str">
        <f t="shared" si="101"/>
        <v/>
      </c>
      <c r="T185" s="22" t="str">
        <f>IF(R185&lt;&gt;"",VLOOKUP(P185,Constants!$D$3:$E$10,2),"")</f>
        <v/>
      </c>
    </row>
    <row r="186" spans="2:20" x14ac:dyDescent="0.25">
      <c r="B186" s="59"/>
      <c r="C186" s="59"/>
      <c r="D186" s="60"/>
      <c r="E186" s="59"/>
      <c r="F186" s="59"/>
      <c r="G186" s="59"/>
      <c r="H186" s="61"/>
      <c r="I186" s="61"/>
      <c r="J186" s="61"/>
      <c r="K186" s="62"/>
      <c r="L186" s="10" t="str">
        <f t="shared" si="94"/>
        <v/>
      </c>
      <c r="M186" s="10" t="str">
        <f t="shared" si="95"/>
        <v/>
      </c>
      <c r="N186" s="11" t="str">
        <f t="shared" si="96"/>
        <v/>
      </c>
      <c r="O186" s="10" t="str">
        <f t="shared" si="97"/>
        <v/>
      </c>
      <c r="P186" s="12" t="str">
        <f t="shared" si="98"/>
        <v/>
      </c>
      <c r="Q186" s="10" t="str">
        <f t="shared" si="99"/>
        <v/>
      </c>
      <c r="R186" s="13" t="str">
        <f t="shared" si="100"/>
        <v/>
      </c>
      <c r="S186" s="13" t="str">
        <f t="shared" si="101"/>
        <v/>
      </c>
      <c r="T186" s="22" t="str">
        <f>IF(R186&lt;&gt;"",VLOOKUP(P186,Constants!$D$3:$E$10,2),"")</f>
        <v/>
      </c>
    </row>
    <row r="187" spans="2:20" x14ac:dyDescent="0.25">
      <c r="B187" s="59"/>
      <c r="C187" s="59"/>
      <c r="D187" s="60"/>
      <c r="E187" s="59"/>
      <c r="F187" s="59"/>
      <c r="G187" s="59"/>
      <c r="H187" s="61"/>
      <c r="I187" s="61"/>
      <c r="J187" s="61"/>
      <c r="K187" s="62"/>
      <c r="L187" s="10" t="str">
        <f t="shared" si="94"/>
        <v/>
      </c>
      <c r="M187" s="10" t="str">
        <f t="shared" si="95"/>
        <v/>
      </c>
      <c r="N187" s="11" t="str">
        <f t="shared" si="96"/>
        <v/>
      </c>
      <c r="O187" s="10" t="str">
        <f t="shared" si="97"/>
        <v/>
      </c>
      <c r="P187" s="12" t="str">
        <f t="shared" si="98"/>
        <v/>
      </c>
      <c r="Q187" s="10" t="str">
        <f t="shared" si="99"/>
        <v/>
      </c>
      <c r="R187" s="13" t="str">
        <f t="shared" si="100"/>
        <v/>
      </c>
      <c r="S187" s="13" t="str">
        <f t="shared" si="101"/>
        <v/>
      </c>
      <c r="T187" s="22" t="str">
        <f>IF(R187&lt;&gt;"",VLOOKUP(P187,Constants!$D$3:$E$10,2),"")</f>
        <v/>
      </c>
    </row>
    <row r="188" spans="2:20" x14ac:dyDescent="0.25">
      <c r="B188" s="59"/>
      <c r="C188" s="59"/>
      <c r="D188" s="60"/>
      <c r="E188" s="59"/>
      <c r="F188" s="59"/>
      <c r="G188" s="59"/>
      <c r="H188" s="61"/>
      <c r="I188" s="61"/>
      <c r="J188" s="61"/>
      <c r="K188" s="62"/>
      <c r="L188" s="10" t="str">
        <f t="shared" si="94"/>
        <v/>
      </c>
      <c r="M188" s="10" t="str">
        <f t="shared" si="95"/>
        <v/>
      </c>
      <c r="N188" s="11" t="str">
        <f t="shared" si="96"/>
        <v/>
      </c>
      <c r="O188" s="10" t="str">
        <f t="shared" si="97"/>
        <v/>
      </c>
      <c r="P188" s="12" t="str">
        <f t="shared" si="98"/>
        <v/>
      </c>
      <c r="Q188" s="10" t="str">
        <f t="shared" si="99"/>
        <v/>
      </c>
      <c r="R188" s="13" t="str">
        <f t="shared" si="100"/>
        <v/>
      </c>
      <c r="S188" s="13" t="str">
        <f t="shared" si="101"/>
        <v/>
      </c>
      <c r="T188" s="22" t="str">
        <f>IF(R188&lt;&gt;"",VLOOKUP(P188,Constants!$D$3:$E$10,2),"")</f>
        <v/>
      </c>
    </row>
    <row r="189" spans="2:20" x14ac:dyDescent="0.25">
      <c r="B189" s="59"/>
      <c r="C189" s="59"/>
      <c r="D189" s="60"/>
      <c r="E189" s="59"/>
      <c r="F189" s="59"/>
      <c r="G189" s="59"/>
      <c r="H189" s="61"/>
      <c r="I189" s="61"/>
      <c r="J189" s="61"/>
      <c r="K189" s="62"/>
      <c r="L189" s="10" t="str">
        <f t="shared" si="94"/>
        <v/>
      </c>
      <c r="M189" s="10" t="str">
        <f t="shared" si="95"/>
        <v/>
      </c>
      <c r="N189" s="11" t="str">
        <f t="shared" si="96"/>
        <v/>
      </c>
      <c r="O189" s="10" t="str">
        <f t="shared" si="97"/>
        <v/>
      </c>
      <c r="P189" s="12" t="str">
        <f t="shared" si="98"/>
        <v/>
      </c>
      <c r="Q189" s="10" t="str">
        <f t="shared" si="99"/>
        <v/>
      </c>
      <c r="R189" s="13" t="str">
        <f t="shared" si="100"/>
        <v/>
      </c>
      <c r="S189" s="13" t="str">
        <f t="shared" si="101"/>
        <v/>
      </c>
      <c r="T189" s="22" t="str">
        <f>IF(R189&lt;&gt;"",VLOOKUP(P189,Constants!$D$3:$E$10,2),"")</f>
        <v/>
      </c>
    </row>
    <row r="190" spans="2:20" x14ac:dyDescent="0.25">
      <c r="B190" s="59"/>
      <c r="C190" s="59"/>
      <c r="D190" s="60"/>
      <c r="E190" s="59"/>
      <c r="F190" s="59"/>
      <c r="G190" s="59"/>
      <c r="H190" s="61"/>
      <c r="I190" s="61"/>
      <c r="J190" s="61"/>
      <c r="K190" s="62"/>
      <c r="L190" s="10" t="str">
        <f t="shared" si="94"/>
        <v/>
      </c>
      <c r="M190" s="10" t="str">
        <f t="shared" si="95"/>
        <v/>
      </c>
      <c r="N190" s="11" t="str">
        <f t="shared" si="96"/>
        <v/>
      </c>
      <c r="O190" s="10" t="str">
        <f t="shared" si="97"/>
        <v/>
      </c>
      <c r="P190" s="12" t="str">
        <f t="shared" si="98"/>
        <v/>
      </c>
      <c r="Q190" s="10" t="str">
        <f t="shared" si="99"/>
        <v/>
      </c>
      <c r="R190" s="13" t="str">
        <f t="shared" si="100"/>
        <v/>
      </c>
      <c r="S190" s="13" t="str">
        <f t="shared" si="101"/>
        <v/>
      </c>
      <c r="T190" s="22" t="str">
        <f>IF(R190&lt;&gt;"",VLOOKUP(P190,Constants!$D$3:$E$10,2),"")</f>
        <v/>
      </c>
    </row>
    <row r="191" spans="2:20" x14ac:dyDescent="0.25">
      <c r="B191" s="59"/>
      <c r="C191" s="59"/>
      <c r="D191" s="60"/>
      <c r="E191" s="59"/>
      <c r="F191" s="59"/>
      <c r="G191" s="59"/>
      <c r="H191" s="61"/>
      <c r="I191" s="61"/>
      <c r="J191" s="61"/>
      <c r="K191" s="62"/>
      <c r="L191" s="10" t="str">
        <f t="shared" si="94"/>
        <v/>
      </c>
      <c r="M191" s="10" t="str">
        <f t="shared" si="95"/>
        <v/>
      </c>
      <c r="N191" s="11" t="str">
        <f t="shared" si="96"/>
        <v/>
      </c>
      <c r="O191" s="10" t="str">
        <f t="shared" si="97"/>
        <v/>
      </c>
      <c r="P191" s="12" t="str">
        <f t="shared" si="98"/>
        <v/>
      </c>
      <c r="Q191" s="10" t="str">
        <f t="shared" si="99"/>
        <v/>
      </c>
      <c r="R191" s="13" t="str">
        <f t="shared" si="100"/>
        <v/>
      </c>
      <c r="S191" s="13" t="str">
        <f t="shared" si="101"/>
        <v/>
      </c>
      <c r="T191" s="22" t="str">
        <f>IF(R191&lt;&gt;"",VLOOKUP(P191,Constants!$D$3:$E$10,2),"")</f>
        <v/>
      </c>
    </row>
    <row r="192" spans="2:20" x14ac:dyDescent="0.25">
      <c r="B192" s="59"/>
      <c r="C192" s="59"/>
      <c r="D192" s="60"/>
      <c r="E192" s="59"/>
      <c r="F192" s="59"/>
      <c r="G192" s="59"/>
      <c r="H192" s="61"/>
      <c r="I192" s="61"/>
      <c r="J192" s="61"/>
      <c r="K192" s="62"/>
      <c r="L192" s="10" t="str">
        <f t="shared" si="94"/>
        <v/>
      </c>
      <c r="M192" s="10" t="str">
        <f t="shared" si="95"/>
        <v/>
      </c>
      <c r="N192" s="11" t="str">
        <f t="shared" si="96"/>
        <v/>
      </c>
      <c r="O192" s="10" t="str">
        <f t="shared" si="97"/>
        <v/>
      </c>
      <c r="P192" s="12" t="str">
        <f t="shared" si="98"/>
        <v/>
      </c>
      <c r="Q192" s="10" t="str">
        <f t="shared" si="99"/>
        <v/>
      </c>
      <c r="R192" s="13" t="str">
        <f t="shared" si="100"/>
        <v/>
      </c>
      <c r="S192" s="13" t="str">
        <f t="shared" si="101"/>
        <v/>
      </c>
      <c r="T192" s="22" t="str">
        <f>IF(R192&lt;&gt;"",VLOOKUP(P192,Constants!$D$3:$E$10,2),"")</f>
        <v/>
      </c>
    </row>
    <row r="193" spans="2:20" x14ac:dyDescent="0.25">
      <c r="B193" s="59"/>
      <c r="C193" s="59"/>
      <c r="D193" s="60"/>
      <c r="E193" s="59"/>
      <c r="F193" s="59"/>
      <c r="G193" s="59"/>
      <c r="H193" s="61"/>
      <c r="I193" s="61"/>
      <c r="J193" s="61"/>
      <c r="K193" s="62"/>
      <c r="L193" s="10" t="str">
        <f t="shared" si="94"/>
        <v/>
      </c>
      <c r="M193" s="10" t="str">
        <f t="shared" si="95"/>
        <v/>
      </c>
      <c r="N193" s="11" t="str">
        <f t="shared" si="96"/>
        <v/>
      </c>
      <c r="O193" s="10" t="str">
        <f t="shared" si="97"/>
        <v/>
      </c>
      <c r="P193" s="12" t="str">
        <f t="shared" si="98"/>
        <v/>
      </c>
      <c r="Q193" s="10" t="str">
        <f t="shared" si="99"/>
        <v/>
      </c>
      <c r="R193" s="13" t="str">
        <f t="shared" si="100"/>
        <v/>
      </c>
      <c r="S193" s="13" t="str">
        <f t="shared" si="101"/>
        <v/>
      </c>
      <c r="T193" s="22" t="str">
        <f>IF(R193&lt;&gt;"",VLOOKUP(P193,Constants!$D$3:$E$10,2),"")</f>
        <v/>
      </c>
    </row>
    <row r="194" spans="2:20" x14ac:dyDescent="0.25">
      <c r="B194" s="59"/>
      <c r="C194" s="59"/>
      <c r="D194" s="60"/>
      <c r="E194" s="59"/>
      <c r="F194" s="59"/>
      <c r="G194" s="59"/>
      <c r="H194" s="61"/>
      <c r="I194" s="61"/>
      <c r="J194" s="61"/>
      <c r="K194" s="62"/>
      <c r="L194" s="10" t="str">
        <f t="shared" si="94"/>
        <v/>
      </c>
      <c r="M194" s="10" t="str">
        <f t="shared" si="95"/>
        <v/>
      </c>
      <c r="N194" s="11" t="str">
        <f t="shared" si="96"/>
        <v/>
      </c>
      <c r="O194" s="10" t="str">
        <f t="shared" si="97"/>
        <v/>
      </c>
      <c r="P194" s="12" t="str">
        <f t="shared" si="98"/>
        <v/>
      </c>
      <c r="Q194" s="10" t="str">
        <f t="shared" si="99"/>
        <v/>
      </c>
      <c r="R194" s="13" t="str">
        <f t="shared" si="100"/>
        <v/>
      </c>
      <c r="S194" s="13" t="str">
        <f t="shared" si="101"/>
        <v/>
      </c>
      <c r="T194" s="22" t="str">
        <f>IF(R194&lt;&gt;"",VLOOKUP(P194,Constants!$D$3:$E$10,2),"")</f>
        <v/>
      </c>
    </row>
    <row r="195" spans="2:20" x14ac:dyDescent="0.25">
      <c r="B195" s="59"/>
      <c r="C195" s="59"/>
      <c r="D195" s="60"/>
      <c r="E195" s="59"/>
      <c r="F195" s="59"/>
      <c r="G195" s="59"/>
      <c r="H195" s="61"/>
      <c r="I195" s="61"/>
      <c r="J195" s="61"/>
      <c r="K195" s="62"/>
      <c r="L195" s="10" t="str">
        <f t="shared" si="94"/>
        <v/>
      </c>
      <c r="M195" s="10" t="str">
        <f t="shared" si="95"/>
        <v/>
      </c>
      <c r="N195" s="11" t="str">
        <f t="shared" si="96"/>
        <v/>
      </c>
      <c r="O195" s="10" t="str">
        <f t="shared" si="97"/>
        <v/>
      </c>
      <c r="P195" s="12" t="str">
        <f t="shared" si="98"/>
        <v/>
      </c>
      <c r="Q195" s="10" t="str">
        <f t="shared" si="99"/>
        <v/>
      </c>
      <c r="R195" s="13" t="str">
        <f t="shared" si="100"/>
        <v/>
      </c>
      <c r="S195" s="13" t="str">
        <f t="shared" si="101"/>
        <v/>
      </c>
      <c r="T195" s="22" t="str">
        <f>IF(R195&lt;&gt;"",VLOOKUP(P195,Constants!$D$3:$E$10,2),"")</f>
        <v/>
      </c>
    </row>
    <row r="196" spans="2:20" x14ac:dyDescent="0.25">
      <c r="B196" s="59"/>
      <c r="C196" s="59"/>
      <c r="D196" s="60"/>
      <c r="E196" s="59"/>
      <c r="F196" s="59"/>
      <c r="G196" s="59"/>
      <c r="H196" s="61"/>
      <c r="I196" s="61"/>
      <c r="J196" s="61"/>
      <c r="K196" s="62"/>
      <c r="L196" s="10" t="str">
        <f t="shared" si="94"/>
        <v/>
      </c>
      <c r="M196" s="10" t="str">
        <f t="shared" si="95"/>
        <v/>
      </c>
      <c r="N196" s="11" t="str">
        <f t="shared" si="96"/>
        <v/>
      </c>
      <c r="O196" s="10" t="str">
        <f t="shared" si="97"/>
        <v/>
      </c>
      <c r="P196" s="12" t="str">
        <f t="shared" si="98"/>
        <v/>
      </c>
      <c r="Q196" s="10" t="str">
        <f t="shared" si="99"/>
        <v/>
      </c>
      <c r="R196" s="13" t="str">
        <f t="shared" si="100"/>
        <v/>
      </c>
      <c r="S196" s="13" t="str">
        <f t="shared" si="101"/>
        <v/>
      </c>
      <c r="T196" s="22" t="str">
        <f>IF(R196&lt;&gt;"",VLOOKUP(P196,Constants!$D$3:$E$10,2),"")</f>
        <v/>
      </c>
    </row>
    <row r="197" spans="2:20" x14ac:dyDescent="0.25">
      <c r="B197" s="59"/>
      <c r="C197" s="59"/>
      <c r="D197" s="60"/>
      <c r="E197" s="59"/>
      <c r="F197" s="59"/>
      <c r="G197" s="59"/>
      <c r="H197" s="61"/>
      <c r="I197" s="61"/>
      <c r="J197" s="61"/>
      <c r="K197" s="62"/>
      <c r="L197" s="10" t="str">
        <f t="shared" si="94"/>
        <v/>
      </c>
      <c r="M197" s="10" t="str">
        <f t="shared" si="95"/>
        <v/>
      </c>
      <c r="N197" s="11" t="str">
        <f t="shared" si="96"/>
        <v/>
      </c>
      <c r="O197" s="10" t="str">
        <f t="shared" si="97"/>
        <v/>
      </c>
      <c r="P197" s="12" t="str">
        <f t="shared" si="98"/>
        <v/>
      </c>
      <c r="Q197" s="10" t="str">
        <f t="shared" si="99"/>
        <v/>
      </c>
      <c r="R197" s="13" t="str">
        <f t="shared" si="100"/>
        <v/>
      </c>
      <c r="S197" s="13" t="str">
        <f t="shared" si="101"/>
        <v/>
      </c>
      <c r="T197" s="22" t="str">
        <f>IF(R197&lt;&gt;"",VLOOKUP(P197,Constants!$D$3:$E$10,2),"")</f>
        <v/>
      </c>
    </row>
    <row r="198" spans="2:20" x14ac:dyDescent="0.25">
      <c r="B198" s="59"/>
      <c r="C198" s="59"/>
      <c r="D198" s="60"/>
      <c r="E198" s="59"/>
      <c r="F198" s="59"/>
      <c r="G198" s="59"/>
      <c r="H198" s="61"/>
      <c r="I198" s="61"/>
      <c r="J198" s="61"/>
      <c r="K198" s="62"/>
      <c r="L198" s="10" t="str">
        <f t="shared" si="94"/>
        <v/>
      </c>
      <c r="M198" s="10" t="str">
        <f t="shared" si="95"/>
        <v/>
      </c>
      <c r="N198" s="11" t="str">
        <f t="shared" si="96"/>
        <v/>
      </c>
      <c r="O198" s="10" t="str">
        <f t="shared" si="97"/>
        <v/>
      </c>
      <c r="P198" s="12" t="str">
        <f t="shared" si="98"/>
        <v/>
      </c>
      <c r="Q198" s="10" t="str">
        <f t="shared" si="99"/>
        <v/>
      </c>
      <c r="R198" s="13" t="str">
        <f t="shared" si="100"/>
        <v/>
      </c>
      <c r="S198" s="13" t="str">
        <f t="shared" si="101"/>
        <v/>
      </c>
      <c r="T198" s="22" t="str">
        <f>IF(R198&lt;&gt;"",VLOOKUP(P198,Constants!$D$3:$E$10,2),"")</f>
        <v/>
      </c>
    </row>
    <row r="199" spans="2:20" x14ac:dyDescent="0.25">
      <c r="B199" s="59"/>
      <c r="C199" s="59"/>
      <c r="D199" s="60"/>
      <c r="E199" s="59"/>
      <c r="F199" s="59"/>
      <c r="G199" s="59"/>
      <c r="H199" s="61"/>
      <c r="I199" s="61"/>
      <c r="J199" s="61"/>
      <c r="K199" s="62"/>
      <c r="L199" s="10" t="str">
        <f t="shared" si="94"/>
        <v/>
      </c>
      <c r="M199" s="10" t="str">
        <f t="shared" si="95"/>
        <v/>
      </c>
      <c r="N199" s="11" t="str">
        <f t="shared" si="96"/>
        <v/>
      </c>
      <c r="O199" s="10" t="str">
        <f t="shared" si="97"/>
        <v/>
      </c>
      <c r="P199" s="12" t="str">
        <f t="shared" si="98"/>
        <v/>
      </c>
      <c r="Q199" s="10" t="str">
        <f t="shared" si="99"/>
        <v/>
      </c>
      <c r="R199" s="13" t="str">
        <f t="shared" si="100"/>
        <v/>
      </c>
      <c r="S199" s="13" t="str">
        <f t="shared" si="101"/>
        <v/>
      </c>
      <c r="T199" s="22" t="str">
        <f>IF(R199&lt;&gt;"",VLOOKUP(P199,Constants!$D$3:$E$10,2),"")</f>
        <v/>
      </c>
    </row>
    <row r="200" spans="2:20" x14ac:dyDescent="0.25">
      <c r="B200" s="59"/>
      <c r="C200" s="59"/>
      <c r="D200" s="60"/>
      <c r="E200" s="59"/>
      <c r="F200" s="59"/>
      <c r="G200" s="59"/>
      <c r="H200" s="61"/>
      <c r="I200" s="61"/>
      <c r="J200" s="61"/>
      <c r="K200" s="62"/>
      <c r="L200" s="10" t="str">
        <f t="shared" si="94"/>
        <v/>
      </c>
      <c r="M200" s="10" t="str">
        <f t="shared" si="95"/>
        <v/>
      </c>
      <c r="N200" s="11" t="str">
        <f t="shared" si="96"/>
        <v/>
      </c>
      <c r="O200" s="10" t="str">
        <f t="shared" si="97"/>
        <v/>
      </c>
      <c r="P200" s="12" t="str">
        <f t="shared" si="98"/>
        <v/>
      </c>
      <c r="Q200" s="10" t="str">
        <f t="shared" si="99"/>
        <v/>
      </c>
      <c r="R200" s="13" t="str">
        <f t="shared" si="100"/>
        <v/>
      </c>
      <c r="S200" s="13" t="str">
        <f t="shared" si="101"/>
        <v/>
      </c>
      <c r="T200" s="22" t="str">
        <f>IF(R200&lt;&gt;"",VLOOKUP(P200,Constants!$D$3:$E$10,2),"")</f>
        <v/>
      </c>
    </row>
    <row r="201" spans="2:20" x14ac:dyDescent="0.25">
      <c r="B201" s="59"/>
      <c r="C201" s="59"/>
      <c r="D201" s="60"/>
      <c r="E201" s="59"/>
      <c r="F201" s="59"/>
      <c r="G201" s="59"/>
      <c r="H201" s="61"/>
      <c r="I201" s="61"/>
      <c r="J201" s="61"/>
      <c r="K201" s="62"/>
      <c r="L201" s="10" t="str">
        <f t="shared" si="94"/>
        <v/>
      </c>
      <c r="M201" s="10" t="str">
        <f t="shared" si="95"/>
        <v/>
      </c>
      <c r="N201" s="11" t="str">
        <f t="shared" si="96"/>
        <v/>
      </c>
      <c r="O201" s="10" t="str">
        <f t="shared" si="97"/>
        <v/>
      </c>
      <c r="P201" s="12" t="str">
        <f t="shared" si="98"/>
        <v/>
      </c>
      <c r="Q201" s="10" t="str">
        <f t="shared" si="99"/>
        <v/>
      </c>
      <c r="R201" s="13" t="str">
        <f t="shared" si="100"/>
        <v/>
      </c>
      <c r="S201" s="13" t="str">
        <f t="shared" si="101"/>
        <v/>
      </c>
      <c r="T201" s="22" t="str">
        <f>IF(R201&lt;&gt;"",VLOOKUP(P201,Constants!$D$3:$E$10,2),"")</f>
        <v/>
      </c>
    </row>
    <row r="202" spans="2:20" x14ac:dyDescent="0.25">
      <c r="B202" s="59"/>
      <c r="C202" s="59"/>
      <c r="D202" s="60"/>
      <c r="E202" s="59"/>
      <c r="F202" s="59"/>
      <c r="G202" s="59"/>
      <c r="H202" s="61"/>
      <c r="I202" s="61"/>
      <c r="J202" s="61"/>
      <c r="K202" s="62"/>
      <c r="L202" s="10" t="str">
        <f t="shared" si="94"/>
        <v/>
      </c>
      <c r="M202" s="10" t="str">
        <f t="shared" si="95"/>
        <v/>
      </c>
      <c r="N202" s="11" t="str">
        <f t="shared" si="96"/>
        <v/>
      </c>
      <c r="O202" s="10" t="str">
        <f t="shared" si="97"/>
        <v/>
      </c>
      <c r="P202" s="12" t="str">
        <f t="shared" si="98"/>
        <v/>
      </c>
      <c r="Q202" s="10" t="str">
        <f t="shared" si="99"/>
        <v/>
      </c>
      <c r="R202" s="13" t="str">
        <f t="shared" si="100"/>
        <v/>
      </c>
      <c r="S202" s="13" t="str">
        <f t="shared" si="101"/>
        <v/>
      </c>
      <c r="T202" s="22" t="str">
        <f>IF(R202&lt;&gt;"",VLOOKUP(P202,Constants!$D$3:$E$10,2),"")</f>
        <v/>
      </c>
    </row>
    <row r="203" spans="2:20" x14ac:dyDescent="0.25">
      <c r="B203" s="59"/>
      <c r="C203" s="59"/>
      <c r="D203" s="60"/>
      <c r="E203" s="59"/>
      <c r="F203" s="59"/>
      <c r="G203" s="59"/>
      <c r="H203" s="61"/>
      <c r="I203" s="61"/>
      <c r="J203" s="61"/>
      <c r="K203" s="62"/>
      <c r="L203" s="10" t="str">
        <f t="shared" si="94"/>
        <v/>
      </c>
      <c r="M203" s="10" t="str">
        <f t="shared" si="95"/>
        <v/>
      </c>
      <c r="N203" s="11" t="str">
        <f t="shared" si="96"/>
        <v/>
      </c>
      <c r="O203" s="10" t="str">
        <f t="shared" si="97"/>
        <v/>
      </c>
      <c r="P203" s="12" t="str">
        <f t="shared" si="98"/>
        <v/>
      </c>
      <c r="Q203" s="10" t="str">
        <f t="shared" si="99"/>
        <v/>
      </c>
      <c r="R203" s="13" t="str">
        <f t="shared" si="100"/>
        <v/>
      </c>
      <c r="S203" s="13" t="str">
        <f t="shared" si="101"/>
        <v/>
      </c>
      <c r="T203" s="22" t="str">
        <f>IF(R203&lt;&gt;"",VLOOKUP(P203,Constants!$D$3:$E$10,2),"")</f>
        <v/>
      </c>
    </row>
    <row r="204" spans="2:20" x14ac:dyDescent="0.25">
      <c r="B204" s="59"/>
      <c r="C204" s="59"/>
      <c r="D204" s="60"/>
      <c r="E204" s="59"/>
      <c r="F204" s="59"/>
      <c r="G204" s="59"/>
      <c r="H204" s="61"/>
      <c r="I204" s="61"/>
      <c r="J204" s="61"/>
      <c r="K204" s="62"/>
      <c r="L204" s="10" t="str">
        <f t="shared" si="94"/>
        <v/>
      </c>
      <c r="M204" s="10" t="str">
        <f t="shared" si="95"/>
        <v/>
      </c>
      <c r="N204" s="11" t="str">
        <f t="shared" si="96"/>
        <v/>
      </c>
      <c r="O204" s="10" t="str">
        <f t="shared" si="97"/>
        <v/>
      </c>
      <c r="P204" s="12" t="str">
        <f t="shared" si="98"/>
        <v/>
      </c>
      <c r="Q204" s="10" t="str">
        <f t="shared" si="99"/>
        <v/>
      </c>
      <c r="R204" s="13" t="str">
        <f t="shared" si="100"/>
        <v/>
      </c>
      <c r="S204" s="13" t="str">
        <f t="shared" si="101"/>
        <v/>
      </c>
      <c r="T204" s="22" t="str">
        <f>IF(R204&lt;&gt;"",VLOOKUP(P204,Constants!$D$3:$E$10,2),"")</f>
        <v/>
      </c>
    </row>
    <row r="205" spans="2:20" x14ac:dyDescent="0.25">
      <c r="B205" s="59"/>
      <c r="C205" s="59"/>
      <c r="D205" s="60"/>
      <c r="E205" s="59"/>
      <c r="F205" s="59"/>
      <c r="G205" s="59"/>
      <c r="H205" s="61"/>
      <c r="I205" s="61"/>
      <c r="J205" s="61"/>
      <c r="K205" s="62"/>
      <c r="L205" s="10" t="str">
        <f t="shared" si="94"/>
        <v/>
      </c>
      <c r="M205" s="10" t="str">
        <f t="shared" si="95"/>
        <v/>
      </c>
      <c r="N205" s="11" t="str">
        <f t="shared" si="96"/>
        <v/>
      </c>
      <c r="O205" s="10" t="str">
        <f t="shared" si="97"/>
        <v/>
      </c>
      <c r="P205" s="12" t="str">
        <f t="shared" si="98"/>
        <v/>
      </c>
      <c r="Q205" s="10" t="str">
        <f t="shared" si="99"/>
        <v/>
      </c>
      <c r="R205" s="13" t="str">
        <f t="shared" si="100"/>
        <v/>
      </c>
      <c r="S205" s="13" t="str">
        <f t="shared" si="101"/>
        <v/>
      </c>
      <c r="T205" s="22" t="str">
        <f>IF(R205&lt;&gt;"",VLOOKUP(P205,Constants!$D$3:$E$10,2),"")</f>
        <v/>
      </c>
    </row>
    <row r="206" spans="2:20" x14ac:dyDescent="0.25">
      <c r="B206" s="59"/>
      <c r="C206" s="59"/>
      <c r="D206" s="60"/>
      <c r="E206" s="59"/>
      <c r="F206" s="59"/>
      <c r="G206" s="59"/>
      <c r="H206" s="61"/>
      <c r="I206" s="61"/>
      <c r="J206" s="61"/>
      <c r="K206" s="62"/>
      <c r="L206" s="10" t="str">
        <f t="shared" si="94"/>
        <v/>
      </c>
      <c r="M206" s="10" t="str">
        <f t="shared" si="95"/>
        <v/>
      </c>
      <c r="N206" s="11" t="str">
        <f t="shared" si="96"/>
        <v/>
      </c>
      <c r="O206" s="10" t="str">
        <f t="shared" si="97"/>
        <v/>
      </c>
      <c r="P206" s="12" t="str">
        <f t="shared" si="98"/>
        <v/>
      </c>
      <c r="Q206" s="10" t="str">
        <f t="shared" si="99"/>
        <v/>
      </c>
      <c r="R206" s="13" t="str">
        <f t="shared" si="100"/>
        <v/>
      </c>
      <c r="S206" s="13" t="str">
        <f t="shared" si="101"/>
        <v/>
      </c>
      <c r="T206" s="22" t="str">
        <f>IF(R206&lt;&gt;"",VLOOKUP(P206,Constants!$D$3:$E$10,2),"")</f>
        <v/>
      </c>
    </row>
    <row r="207" spans="2:20" x14ac:dyDescent="0.25">
      <c r="B207" s="59"/>
      <c r="C207" s="59"/>
      <c r="D207" s="60"/>
      <c r="E207" s="59"/>
      <c r="F207" s="59"/>
      <c r="G207" s="59"/>
      <c r="H207" s="61"/>
      <c r="I207" s="61"/>
      <c r="J207" s="61"/>
      <c r="K207" s="62"/>
      <c r="L207" s="10" t="str">
        <f t="shared" si="94"/>
        <v/>
      </c>
      <c r="M207" s="10" t="str">
        <f t="shared" si="95"/>
        <v/>
      </c>
      <c r="N207" s="11" t="str">
        <f t="shared" si="96"/>
        <v/>
      </c>
      <c r="O207" s="10" t="str">
        <f t="shared" si="97"/>
        <v/>
      </c>
      <c r="P207" s="12" t="str">
        <f t="shared" si="98"/>
        <v/>
      </c>
      <c r="Q207" s="10" t="str">
        <f t="shared" si="99"/>
        <v/>
      </c>
      <c r="R207" s="13" t="str">
        <f t="shared" si="100"/>
        <v/>
      </c>
      <c r="S207" s="13" t="str">
        <f t="shared" si="101"/>
        <v/>
      </c>
      <c r="T207" s="22" t="str">
        <f>IF(R207&lt;&gt;"",VLOOKUP(P207,Constants!$D$3:$E$10,2),"")</f>
        <v/>
      </c>
    </row>
    <row r="208" spans="2:20" x14ac:dyDescent="0.25">
      <c r="B208" s="59"/>
      <c r="C208" s="59"/>
      <c r="D208" s="60"/>
      <c r="E208" s="59"/>
      <c r="F208" s="59"/>
      <c r="G208" s="59"/>
      <c r="H208" s="61"/>
      <c r="I208" s="61"/>
      <c r="J208" s="61"/>
      <c r="K208" s="62"/>
      <c r="L208" s="10" t="str">
        <f t="shared" si="94"/>
        <v/>
      </c>
      <c r="M208" s="10" t="str">
        <f t="shared" si="95"/>
        <v/>
      </c>
      <c r="N208" s="11" t="str">
        <f t="shared" si="96"/>
        <v/>
      </c>
      <c r="O208" s="10" t="str">
        <f t="shared" si="97"/>
        <v/>
      </c>
      <c r="P208" s="12" t="str">
        <f t="shared" si="98"/>
        <v/>
      </c>
      <c r="Q208" s="10" t="str">
        <f t="shared" si="99"/>
        <v/>
      </c>
      <c r="R208" s="13" t="str">
        <f t="shared" si="100"/>
        <v/>
      </c>
      <c r="S208" s="13" t="str">
        <f t="shared" si="101"/>
        <v/>
      </c>
      <c r="T208" s="22" t="str">
        <f>IF(R208&lt;&gt;"",VLOOKUP(P208,Constants!$D$3:$E$10,2),"")</f>
        <v/>
      </c>
    </row>
    <row r="209" spans="2:20" x14ac:dyDescent="0.25">
      <c r="B209" s="59"/>
      <c r="C209" s="59"/>
      <c r="D209" s="60"/>
      <c r="E209" s="59"/>
      <c r="F209" s="59"/>
      <c r="G209" s="59"/>
      <c r="H209" s="61"/>
      <c r="I209" s="61"/>
      <c r="J209" s="61"/>
      <c r="K209" s="62"/>
      <c r="L209" s="10" t="str">
        <f t="shared" si="94"/>
        <v/>
      </c>
      <c r="M209" s="10" t="str">
        <f t="shared" si="95"/>
        <v/>
      </c>
      <c r="N209" s="11" t="str">
        <f t="shared" si="96"/>
        <v/>
      </c>
      <c r="O209" s="10" t="str">
        <f t="shared" si="97"/>
        <v/>
      </c>
      <c r="P209" s="12" t="str">
        <f t="shared" si="98"/>
        <v/>
      </c>
      <c r="Q209" s="10" t="str">
        <f t="shared" si="99"/>
        <v/>
      </c>
      <c r="R209" s="13" t="str">
        <f t="shared" si="100"/>
        <v/>
      </c>
      <c r="S209" s="13" t="str">
        <f t="shared" si="101"/>
        <v/>
      </c>
      <c r="T209" s="22" t="str">
        <f>IF(R209&lt;&gt;"",VLOOKUP(P209,Constants!$D$3:$E$10,2),"")</f>
        <v/>
      </c>
    </row>
    <row r="210" spans="2:20" x14ac:dyDescent="0.25">
      <c r="B210" s="59"/>
      <c r="C210" s="59"/>
      <c r="D210" s="60"/>
      <c r="E210" s="59"/>
      <c r="F210" s="59"/>
      <c r="G210" s="59"/>
      <c r="H210" s="61"/>
      <c r="I210" s="61"/>
      <c r="J210" s="61"/>
      <c r="K210" s="62"/>
      <c r="L210" s="10" t="str">
        <f t="shared" ref="L210:L273" si="102">IF($D210&lt;&gt;"",$D210*$E210/1000,"")</f>
        <v/>
      </c>
      <c r="M210" s="10" t="str">
        <f t="shared" ref="M210:M273" si="103">IF($D210&lt;&gt;"",$D210*$F210/1000,"")</f>
        <v/>
      </c>
      <c r="N210" s="11" t="str">
        <f t="shared" ref="N210:N273" si="104">IF($L210&lt;&gt;"",SQRT($L210*$L210+$M210*$M210),"")</f>
        <v/>
      </c>
      <c r="O210" s="10" t="str">
        <f t="shared" si="97"/>
        <v/>
      </c>
      <c r="P210" s="12" t="str">
        <f t="shared" si="98"/>
        <v/>
      </c>
      <c r="Q210" s="10" t="str">
        <f t="shared" si="99"/>
        <v/>
      </c>
      <c r="R210" s="13" t="str">
        <f t="shared" si="100"/>
        <v/>
      </c>
      <c r="S210" s="13" t="str">
        <f t="shared" si="101"/>
        <v/>
      </c>
      <c r="T210" s="22" t="str">
        <f>IF(R210&lt;&gt;"",VLOOKUP(P210,Constants!$D$3:$E$10,2),"")</f>
        <v/>
      </c>
    </row>
    <row r="211" spans="2:20" x14ac:dyDescent="0.25">
      <c r="B211" s="59"/>
      <c r="C211" s="59"/>
      <c r="D211" s="60"/>
      <c r="E211" s="59"/>
      <c r="F211" s="59"/>
      <c r="G211" s="59"/>
      <c r="H211" s="61"/>
      <c r="I211" s="61"/>
      <c r="J211" s="61"/>
      <c r="K211" s="62"/>
      <c r="L211" s="10" t="str">
        <f t="shared" si="102"/>
        <v/>
      </c>
      <c r="M211" s="10" t="str">
        <f t="shared" si="103"/>
        <v/>
      </c>
      <c r="N211" s="11" t="str">
        <f t="shared" si="104"/>
        <v/>
      </c>
      <c r="O211" s="10" t="str">
        <f t="shared" si="97"/>
        <v/>
      </c>
      <c r="P211" s="12" t="str">
        <f t="shared" si="98"/>
        <v/>
      </c>
      <c r="Q211" s="10" t="str">
        <f t="shared" si="99"/>
        <v/>
      </c>
      <c r="R211" s="13" t="str">
        <f t="shared" si="100"/>
        <v/>
      </c>
      <c r="S211" s="13" t="str">
        <f t="shared" si="101"/>
        <v/>
      </c>
      <c r="T211" s="22" t="str">
        <f>IF(R211&lt;&gt;"",VLOOKUP(P211,Constants!$D$3:$E$10,2),"")</f>
        <v/>
      </c>
    </row>
    <row r="212" spans="2:20" x14ac:dyDescent="0.25">
      <c r="B212" s="59"/>
      <c r="C212" s="59"/>
      <c r="D212" s="60"/>
      <c r="E212" s="59"/>
      <c r="F212" s="59"/>
      <c r="G212" s="59"/>
      <c r="H212" s="61"/>
      <c r="I212" s="61"/>
      <c r="J212" s="61"/>
      <c r="K212" s="62"/>
      <c r="L212" s="10" t="str">
        <f t="shared" si="102"/>
        <v/>
      </c>
      <c r="M212" s="10" t="str">
        <f t="shared" si="103"/>
        <v/>
      </c>
      <c r="N212" s="11" t="str">
        <f t="shared" si="104"/>
        <v/>
      </c>
      <c r="O212" s="10" t="str">
        <f t="shared" ref="O212:O275" si="105">IF(D212&lt;&gt;"",1000/(2*D212),"")</f>
        <v/>
      </c>
      <c r="P212" s="12" t="str">
        <f t="shared" ref="P212:P275" si="106">IF($N212&lt;&gt;"",D212*SQRT(E212*E212+F212*F212)/16000,"")</f>
        <v/>
      </c>
      <c r="Q212" s="10" t="str">
        <f t="shared" ref="Q212:Q275" si="107">IF(F212&lt;&gt;"",F212*E212/1000000,"")</f>
        <v/>
      </c>
      <c r="R212" s="13" t="str">
        <f t="shared" ref="R212:R275" si="108">IF(G212&lt;&gt;"",1000/G212,"")</f>
        <v/>
      </c>
      <c r="S212" s="13" t="str">
        <f t="shared" ref="S212:S275" si="109">IF(R212&lt;&gt;"",Q212/R212*1000,"")</f>
        <v/>
      </c>
      <c r="T212" s="22" t="str">
        <f>IF(R212&lt;&gt;"",VLOOKUP(P212,Constants!$D$3:$E$10,2),"")</f>
        <v/>
      </c>
    </row>
    <row r="213" spans="2:20" x14ac:dyDescent="0.25">
      <c r="B213" s="59"/>
      <c r="C213" s="59"/>
      <c r="D213" s="60"/>
      <c r="E213" s="59"/>
      <c r="F213" s="59"/>
      <c r="G213" s="59"/>
      <c r="H213" s="61"/>
      <c r="I213" s="61"/>
      <c r="J213" s="61"/>
      <c r="K213" s="62"/>
      <c r="L213" s="10" t="str">
        <f t="shared" si="102"/>
        <v/>
      </c>
      <c r="M213" s="10" t="str">
        <f t="shared" si="103"/>
        <v/>
      </c>
      <c r="N213" s="11" t="str">
        <f t="shared" si="104"/>
        <v/>
      </c>
      <c r="O213" s="10" t="str">
        <f t="shared" si="105"/>
        <v/>
      </c>
      <c r="P213" s="12" t="str">
        <f t="shared" si="106"/>
        <v/>
      </c>
      <c r="Q213" s="10" t="str">
        <f t="shared" si="107"/>
        <v/>
      </c>
      <c r="R213" s="13" t="str">
        <f t="shared" si="108"/>
        <v/>
      </c>
      <c r="S213" s="13" t="str">
        <f t="shared" si="109"/>
        <v/>
      </c>
      <c r="T213" s="22" t="str">
        <f>IF(R213&lt;&gt;"",VLOOKUP(P213,Constants!$D$3:$E$10,2),"")</f>
        <v/>
      </c>
    </row>
    <row r="214" spans="2:20" x14ac:dyDescent="0.25">
      <c r="B214" s="59"/>
      <c r="C214" s="59"/>
      <c r="D214" s="60"/>
      <c r="E214" s="59"/>
      <c r="F214" s="59"/>
      <c r="G214" s="59"/>
      <c r="H214" s="61"/>
      <c r="I214" s="61"/>
      <c r="J214" s="61"/>
      <c r="K214" s="62"/>
      <c r="L214" s="10" t="str">
        <f t="shared" si="102"/>
        <v/>
      </c>
      <c r="M214" s="10" t="str">
        <f t="shared" si="103"/>
        <v/>
      </c>
      <c r="N214" s="11" t="str">
        <f t="shared" si="104"/>
        <v/>
      </c>
      <c r="O214" s="10" t="str">
        <f t="shared" si="105"/>
        <v/>
      </c>
      <c r="P214" s="12" t="str">
        <f t="shared" si="106"/>
        <v/>
      </c>
      <c r="Q214" s="10" t="str">
        <f t="shared" si="107"/>
        <v/>
      </c>
      <c r="R214" s="13" t="str">
        <f t="shared" si="108"/>
        <v/>
      </c>
      <c r="S214" s="13" t="str">
        <f t="shared" si="109"/>
        <v/>
      </c>
      <c r="T214" s="22" t="str">
        <f>IF(R214&lt;&gt;"",VLOOKUP(P214,Constants!$D$3:$E$10,2),"")</f>
        <v/>
      </c>
    </row>
    <row r="215" spans="2:20" x14ac:dyDescent="0.25">
      <c r="B215" s="59"/>
      <c r="C215" s="59"/>
      <c r="D215" s="60"/>
      <c r="E215" s="59"/>
      <c r="F215" s="59"/>
      <c r="G215" s="59"/>
      <c r="H215" s="61"/>
      <c r="I215" s="61"/>
      <c r="J215" s="61"/>
      <c r="K215" s="62"/>
      <c r="L215" s="10" t="str">
        <f t="shared" si="102"/>
        <v/>
      </c>
      <c r="M215" s="10" t="str">
        <f t="shared" si="103"/>
        <v/>
      </c>
      <c r="N215" s="11" t="str">
        <f t="shared" si="104"/>
        <v/>
      </c>
      <c r="O215" s="10" t="str">
        <f t="shared" si="105"/>
        <v/>
      </c>
      <c r="P215" s="12" t="str">
        <f t="shared" si="106"/>
        <v/>
      </c>
      <c r="Q215" s="10" t="str">
        <f t="shared" si="107"/>
        <v/>
      </c>
      <c r="R215" s="13" t="str">
        <f t="shared" si="108"/>
        <v/>
      </c>
      <c r="S215" s="13" t="str">
        <f t="shared" si="109"/>
        <v/>
      </c>
      <c r="T215" s="22" t="str">
        <f>IF(R215&lt;&gt;"",VLOOKUP(P215,Constants!$D$3:$E$10,2),"")</f>
        <v/>
      </c>
    </row>
    <row r="216" spans="2:20" x14ac:dyDescent="0.25">
      <c r="B216" s="59"/>
      <c r="C216" s="59"/>
      <c r="D216" s="60"/>
      <c r="E216" s="59"/>
      <c r="F216" s="59"/>
      <c r="G216" s="59"/>
      <c r="H216" s="61"/>
      <c r="I216" s="61"/>
      <c r="J216" s="61"/>
      <c r="K216" s="62"/>
      <c r="L216" s="10" t="str">
        <f t="shared" si="102"/>
        <v/>
      </c>
      <c r="M216" s="10" t="str">
        <f t="shared" si="103"/>
        <v/>
      </c>
      <c r="N216" s="11" t="str">
        <f t="shared" si="104"/>
        <v/>
      </c>
      <c r="O216" s="10" t="str">
        <f t="shared" si="105"/>
        <v/>
      </c>
      <c r="P216" s="12" t="str">
        <f t="shared" si="106"/>
        <v/>
      </c>
      <c r="Q216" s="10" t="str">
        <f t="shared" si="107"/>
        <v/>
      </c>
      <c r="R216" s="13" t="str">
        <f t="shared" si="108"/>
        <v/>
      </c>
      <c r="S216" s="13" t="str">
        <f t="shared" si="109"/>
        <v/>
      </c>
      <c r="T216" s="22" t="str">
        <f>IF(R216&lt;&gt;"",VLOOKUP(P216,Constants!$D$3:$E$10,2),"")</f>
        <v/>
      </c>
    </row>
    <row r="217" spans="2:20" x14ac:dyDescent="0.25">
      <c r="B217" s="59"/>
      <c r="C217" s="59"/>
      <c r="D217" s="60"/>
      <c r="E217" s="59"/>
      <c r="F217" s="59"/>
      <c r="G217" s="59"/>
      <c r="H217" s="61"/>
      <c r="I217" s="61"/>
      <c r="J217" s="61"/>
      <c r="K217" s="62"/>
      <c r="L217" s="10" t="str">
        <f t="shared" si="102"/>
        <v/>
      </c>
      <c r="M217" s="10" t="str">
        <f t="shared" si="103"/>
        <v/>
      </c>
      <c r="N217" s="11" t="str">
        <f t="shared" si="104"/>
        <v/>
      </c>
      <c r="O217" s="10" t="str">
        <f t="shared" si="105"/>
        <v/>
      </c>
      <c r="P217" s="12" t="str">
        <f t="shared" si="106"/>
        <v/>
      </c>
      <c r="Q217" s="10" t="str">
        <f t="shared" si="107"/>
        <v/>
      </c>
      <c r="R217" s="13" t="str">
        <f t="shared" si="108"/>
        <v/>
      </c>
      <c r="S217" s="13" t="str">
        <f t="shared" si="109"/>
        <v/>
      </c>
      <c r="T217" s="22" t="str">
        <f>IF(R217&lt;&gt;"",VLOOKUP(P217,Constants!$D$3:$E$10,2),"")</f>
        <v/>
      </c>
    </row>
    <row r="218" spans="2:20" x14ac:dyDescent="0.25">
      <c r="B218" s="59"/>
      <c r="C218" s="59"/>
      <c r="D218" s="60"/>
      <c r="E218" s="59"/>
      <c r="F218" s="59"/>
      <c r="G218" s="59"/>
      <c r="H218" s="61"/>
      <c r="I218" s="61"/>
      <c r="J218" s="61"/>
      <c r="K218" s="62"/>
      <c r="L218" s="10" t="str">
        <f t="shared" si="102"/>
        <v/>
      </c>
      <c r="M218" s="10" t="str">
        <f t="shared" si="103"/>
        <v/>
      </c>
      <c r="N218" s="11" t="str">
        <f t="shared" si="104"/>
        <v/>
      </c>
      <c r="O218" s="10" t="str">
        <f t="shared" si="105"/>
        <v/>
      </c>
      <c r="P218" s="12" t="str">
        <f t="shared" si="106"/>
        <v/>
      </c>
      <c r="Q218" s="10" t="str">
        <f t="shared" si="107"/>
        <v/>
      </c>
      <c r="R218" s="13" t="str">
        <f t="shared" si="108"/>
        <v/>
      </c>
      <c r="S218" s="13" t="str">
        <f t="shared" si="109"/>
        <v/>
      </c>
      <c r="T218" s="22" t="str">
        <f>IF(R218&lt;&gt;"",VLOOKUP(P218,Constants!$D$3:$E$10,2),"")</f>
        <v/>
      </c>
    </row>
    <row r="219" spans="2:20" x14ac:dyDescent="0.25">
      <c r="B219" s="59"/>
      <c r="C219" s="59"/>
      <c r="D219" s="60"/>
      <c r="E219" s="59"/>
      <c r="F219" s="59"/>
      <c r="G219" s="59"/>
      <c r="H219" s="61"/>
      <c r="I219" s="61"/>
      <c r="J219" s="61"/>
      <c r="K219" s="62"/>
      <c r="L219" s="10" t="str">
        <f t="shared" si="102"/>
        <v/>
      </c>
      <c r="M219" s="10" t="str">
        <f t="shared" si="103"/>
        <v/>
      </c>
      <c r="N219" s="11" t="str">
        <f t="shared" si="104"/>
        <v/>
      </c>
      <c r="O219" s="10" t="str">
        <f t="shared" si="105"/>
        <v/>
      </c>
      <c r="P219" s="12" t="str">
        <f t="shared" si="106"/>
        <v/>
      </c>
      <c r="Q219" s="10" t="str">
        <f t="shared" si="107"/>
        <v/>
      </c>
      <c r="R219" s="13" t="str">
        <f t="shared" si="108"/>
        <v/>
      </c>
      <c r="S219" s="13" t="str">
        <f t="shared" si="109"/>
        <v/>
      </c>
      <c r="T219" s="22" t="str">
        <f>IF(R219&lt;&gt;"",VLOOKUP(P219,Constants!$D$3:$E$10,2),"")</f>
        <v/>
      </c>
    </row>
    <row r="220" spans="2:20" x14ac:dyDescent="0.25">
      <c r="B220" s="59"/>
      <c r="C220" s="59"/>
      <c r="D220" s="60"/>
      <c r="E220" s="59"/>
      <c r="F220" s="59"/>
      <c r="G220" s="59"/>
      <c r="H220" s="61"/>
      <c r="I220" s="61"/>
      <c r="J220" s="61"/>
      <c r="K220" s="62"/>
      <c r="L220" s="10" t="str">
        <f t="shared" si="102"/>
        <v/>
      </c>
      <c r="M220" s="10" t="str">
        <f t="shared" si="103"/>
        <v/>
      </c>
      <c r="N220" s="11" t="str">
        <f t="shared" si="104"/>
        <v/>
      </c>
      <c r="O220" s="10" t="str">
        <f t="shared" si="105"/>
        <v/>
      </c>
      <c r="P220" s="12" t="str">
        <f t="shared" si="106"/>
        <v/>
      </c>
      <c r="Q220" s="10" t="str">
        <f t="shared" si="107"/>
        <v/>
      </c>
      <c r="R220" s="13" t="str">
        <f t="shared" si="108"/>
        <v/>
      </c>
      <c r="S220" s="13" t="str">
        <f t="shared" si="109"/>
        <v/>
      </c>
      <c r="T220" s="22" t="str">
        <f>IF(R220&lt;&gt;"",VLOOKUP(P220,Constants!$D$3:$E$10,2),"")</f>
        <v/>
      </c>
    </row>
    <row r="221" spans="2:20" x14ac:dyDescent="0.25">
      <c r="B221" s="59"/>
      <c r="C221" s="59"/>
      <c r="D221" s="60"/>
      <c r="E221" s="59"/>
      <c r="F221" s="59"/>
      <c r="G221" s="59"/>
      <c r="H221" s="61"/>
      <c r="I221" s="61"/>
      <c r="J221" s="61"/>
      <c r="K221" s="62"/>
      <c r="L221" s="10" t="str">
        <f t="shared" si="102"/>
        <v/>
      </c>
      <c r="M221" s="10" t="str">
        <f t="shared" si="103"/>
        <v/>
      </c>
      <c r="N221" s="11" t="str">
        <f t="shared" si="104"/>
        <v/>
      </c>
      <c r="O221" s="10" t="str">
        <f t="shared" si="105"/>
        <v/>
      </c>
      <c r="P221" s="12" t="str">
        <f t="shared" si="106"/>
        <v/>
      </c>
      <c r="Q221" s="10" t="str">
        <f t="shared" si="107"/>
        <v/>
      </c>
      <c r="R221" s="13" t="str">
        <f t="shared" si="108"/>
        <v/>
      </c>
      <c r="S221" s="13" t="str">
        <f t="shared" si="109"/>
        <v/>
      </c>
      <c r="T221" s="22" t="str">
        <f>IF(R221&lt;&gt;"",VLOOKUP(P221,Constants!$D$3:$E$10,2),"")</f>
        <v/>
      </c>
    </row>
    <row r="222" spans="2:20" x14ac:dyDescent="0.25">
      <c r="B222" s="59"/>
      <c r="C222" s="59"/>
      <c r="D222" s="60"/>
      <c r="E222" s="59"/>
      <c r="F222" s="59"/>
      <c r="G222" s="59"/>
      <c r="H222" s="61"/>
      <c r="I222" s="61"/>
      <c r="J222" s="61"/>
      <c r="K222" s="62"/>
      <c r="L222" s="10" t="str">
        <f t="shared" si="102"/>
        <v/>
      </c>
      <c r="M222" s="10" t="str">
        <f t="shared" si="103"/>
        <v/>
      </c>
      <c r="N222" s="11" t="str">
        <f t="shared" si="104"/>
        <v/>
      </c>
      <c r="O222" s="10" t="str">
        <f t="shared" si="105"/>
        <v/>
      </c>
      <c r="P222" s="12" t="str">
        <f t="shared" si="106"/>
        <v/>
      </c>
      <c r="Q222" s="10" t="str">
        <f t="shared" si="107"/>
        <v/>
      </c>
      <c r="R222" s="13" t="str">
        <f t="shared" si="108"/>
        <v/>
      </c>
      <c r="S222" s="13" t="str">
        <f t="shared" si="109"/>
        <v/>
      </c>
      <c r="T222" s="22" t="str">
        <f>IF(R222&lt;&gt;"",VLOOKUP(P222,Constants!$D$3:$E$10,2),"")</f>
        <v/>
      </c>
    </row>
    <row r="223" spans="2:20" x14ac:dyDescent="0.25">
      <c r="B223" s="59"/>
      <c r="C223" s="59"/>
      <c r="D223" s="60"/>
      <c r="E223" s="59"/>
      <c r="F223" s="59"/>
      <c r="G223" s="59"/>
      <c r="H223" s="61"/>
      <c r="I223" s="61"/>
      <c r="J223" s="61"/>
      <c r="K223" s="62"/>
      <c r="L223" s="10" t="str">
        <f t="shared" si="102"/>
        <v/>
      </c>
      <c r="M223" s="10" t="str">
        <f t="shared" si="103"/>
        <v/>
      </c>
      <c r="N223" s="11" t="str">
        <f t="shared" si="104"/>
        <v/>
      </c>
      <c r="O223" s="10" t="str">
        <f t="shared" si="105"/>
        <v/>
      </c>
      <c r="P223" s="12" t="str">
        <f t="shared" si="106"/>
        <v/>
      </c>
      <c r="Q223" s="10" t="str">
        <f t="shared" si="107"/>
        <v/>
      </c>
      <c r="R223" s="13" t="str">
        <f t="shared" si="108"/>
        <v/>
      </c>
      <c r="S223" s="13" t="str">
        <f t="shared" si="109"/>
        <v/>
      </c>
      <c r="T223" s="22" t="str">
        <f>IF(R223&lt;&gt;"",VLOOKUP(P223,Constants!$D$3:$E$10,2),"")</f>
        <v/>
      </c>
    </row>
    <row r="224" spans="2:20" x14ac:dyDescent="0.25">
      <c r="B224" s="59"/>
      <c r="C224" s="59"/>
      <c r="D224" s="60"/>
      <c r="E224" s="59"/>
      <c r="F224" s="59"/>
      <c r="G224" s="59"/>
      <c r="H224" s="61"/>
      <c r="I224" s="61"/>
      <c r="J224" s="61"/>
      <c r="K224" s="62"/>
      <c r="L224" s="10" t="str">
        <f t="shared" si="102"/>
        <v/>
      </c>
      <c r="M224" s="10" t="str">
        <f t="shared" si="103"/>
        <v/>
      </c>
      <c r="N224" s="11" t="str">
        <f t="shared" si="104"/>
        <v/>
      </c>
      <c r="O224" s="10" t="str">
        <f t="shared" si="105"/>
        <v/>
      </c>
      <c r="P224" s="12" t="str">
        <f t="shared" si="106"/>
        <v/>
      </c>
      <c r="Q224" s="10" t="str">
        <f t="shared" si="107"/>
        <v/>
      </c>
      <c r="R224" s="13" t="str">
        <f t="shared" si="108"/>
        <v/>
      </c>
      <c r="S224" s="13" t="str">
        <f t="shared" si="109"/>
        <v/>
      </c>
      <c r="T224" s="22" t="str">
        <f>IF(R224&lt;&gt;"",VLOOKUP(P224,Constants!$D$3:$E$10,2),"")</f>
        <v/>
      </c>
    </row>
    <row r="225" spans="2:20" x14ac:dyDescent="0.25">
      <c r="B225" s="59"/>
      <c r="C225" s="59"/>
      <c r="D225" s="60"/>
      <c r="E225" s="59"/>
      <c r="F225" s="59"/>
      <c r="G225" s="59"/>
      <c r="H225" s="61"/>
      <c r="I225" s="61"/>
      <c r="J225" s="61"/>
      <c r="K225" s="62"/>
      <c r="L225" s="10" t="str">
        <f t="shared" si="102"/>
        <v/>
      </c>
      <c r="M225" s="10" t="str">
        <f t="shared" si="103"/>
        <v/>
      </c>
      <c r="N225" s="11" t="str">
        <f t="shared" si="104"/>
        <v/>
      </c>
      <c r="O225" s="10" t="str">
        <f t="shared" si="105"/>
        <v/>
      </c>
      <c r="P225" s="12" t="str">
        <f t="shared" si="106"/>
        <v/>
      </c>
      <c r="Q225" s="10" t="str">
        <f t="shared" si="107"/>
        <v/>
      </c>
      <c r="R225" s="13" t="str">
        <f t="shared" si="108"/>
        <v/>
      </c>
      <c r="S225" s="13" t="str">
        <f t="shared" si="109"/>
        <v/>
      </c>
      <c r="T225" s="22" t="str">
        <f>IF(R225&lt;&gt;"",VLOOKUP(P225,Constants!$D$3:$E$10,2),"")</f>
        <v/>
      </c>
    </row>
    <row r="226" spans="2:20" x14ac:dyDescent="0.25">
      <c r="B226" s="59"/>
      <c r="C226" s="59"/>
      <c r="D226" s="60"/>
      <c r="E226" s="59"/>
      <c r="F226" s="59"/>
      <c r="G226" s="59"/>
      <c r="H226" s="61"/>
      <c r="I226" s="61"/>
      <c r="J226" s="61"/>
      <c r="K226" s="62"/>
      <c r="L226" s="10" t="str">
        <f t="shared" si="102"/>
        <v/>
      </c>
      <c r="M226" s="10" t="str">
        <f t="shared" si="103"/>
        <v/>
      </c>
      <c r="N226" s="11" t="str">
        <f t="shared" si="104"/>
        <v/>
      </c>
      <c r="O226" s="10" t="str">
        <f t="shared" si="105"/>
        <v/>
      </c>
      <c r="P226" s="12" t="str">
        <f t="shared" si="106"/>
        <v/>
      </c>
      <c r="Q226" s="10" t="str">
        <f t="shared" si="107"/>
        <v/>
      </c>
      <c r="R226" s="13" t="str">
        <f t="shared" si="108"/>
        <v/>
      </c>
      <c r="S226" s="13" t="str">
        <f t="shared" si="109"/>
        <v/>
      </c>
      <c r="T226" s="22" t="str">
        <f>IF(R226&lt;&gt;"",VLOOKUP(P226,Constants!$D$3:$E$10,2),"")</f>
        <v/>
      </c>
    </row>
    <row r="227" spans="2:20" x14ac:dyDescent="0.25">
      <c r="B227" s="59"/>
      <c r="C227" s="59"/>
      <c r="D227" s="60"/>
      <c r="E227" s="59"/>
      <c r="F227" s="59"/>
      <c r="G227" s="59"/>
      <c r="H227" s="61"/>
      <c r="I227" s="61"/>
      <c r="J227" s="61"/>
      <c r="K227" s="62"/>
      <c r="L227" s="10" t="str">
        <f t="shared" si="102"/>
        <v/>
      </c>
      <c r="M227" s="10" t="str">
        <f t="shared" si="103"/>
        <v/>
      </c>
      <c r="N227" s="11" t="str">
        <f t="shared" si="104"/>
        <v/>
      </c>
      <c r="O227" s="10" t="str">
        <f t="shared" si="105"/>
        <v/>
      </c>
      <c r="P227" s="12" t="str">
        <f t="shared" si="106"/>
        <v/>
      </c>
      <c r="Q227" s="10" t="str">
        <f t="shared" si="107"/>
        <v/>
      </c>
      <c r="R227" s="13" t="str">
        <f t="shared" si="108"/>
        <v/>
      </c>
      <c r="S227" s="13" t="str">
        <f t="shared" si="109"/>
        <v/>
      </c>
      <c r="T227" s="22" t="str">
        <f>IF(R227&lt;&gt;"",VLOOKUP(P227,Constants!$D$3:$E$10,2),"")</f>
        <v/>
      </c>
    </row>
    <row r="228" spans="2:20" x14ac:dyDescent="0.25">
      <c r="B228" s="59"/>
      <c r="C228" s="59"/>
      <c r="D228" s="60"/>
      <c r="E228" s="59"/>
      <c r="F228" s="59"/>
      <c r="G228" s="59"/>
      <c r="H228" s="61"/>
      <c r="I228" s="61"/>
      <c r="J228" s="61"/>
      <c r="K228" s="62"/>
      <c r="L228" s="10" t="str">
        <f t="shared" si="102"/>
        <v/>
      </c>
      <c r="M228" s="10" t="str">
        <f t="shared" si="103"/>
        <v/>
      </c>
      <c r="N228" s="11" t="str">
        <f t="shared" si="104"/>
        <v/>
      </c>
      <c r="O228" s="10" t="str">
        <f t="shared" si="105"/>
        <v/>
      </c>
      <c r="P228" s="12" t="str">
        <f t="shared" si="106"/>
        <v/>
      </c>
      <c r="Q228" s="10" t="str">
        <f t="shared" si="107"/>
        <v/>
      </c>
      <c r="R228" s="13" t="str">
        <f t="shared" si="108"/>
        <v/>
      </c>
      <c r="S228" s="13" t="str">
        <f t="shared" si="109"/>
        <v/>
      </c>
      <c r="T228" s="22" t="str">
        <f>IF(R228&lt;&gt;"",VLOOKUP(P228,Constants!$D$3:$E$10,2),"")</f>
        <v/>
      </c>
    </row>
    <row r="229" spans="2:20" x14ac:dyDescent="0.25">
      <c r="B229" s="59"/>
      <c r="C229" s="59"/>
      <c r="D229" s="60"/>
      <c r="E229" s="59"/>
      <c r="F229" s="59"/>
      <c r="G229" s="59"/>
      <c r="H229" s="61"/>
      <c r="I229" s="61"/>
      <c r="J229" s="61"/>
      <c r="K229" s="62"/>
      <c r="L229" s="10" t="str">
        <f t="shared" si="102"/>
        <v/>
      </c>
      <c r="M229" s="10" t="str">
        <f t="shared" si="103"/>
        <v/>
      </c>
      <c r="N229" s="11" t="str">
        <f t="shared" si="104"/>
        <v/>
      </c>
      <c r="O229" s="10" t="str">
        <f t="shared" si="105"/>
        <v/>
      </c>
      <c r="P229" s="12" t="str">
        <f t="shared" si="106"/>
        <v/>
      </c>
      <c r="Q229" s="10" t="str">
        <f t="shared" si="107"/>
        <v/>
      </c>
      <c r="R229" s="13" t="str">
        <f t="shared" si="108"/>
        <v/>
      </c>
      <c r="S229" s="13" t="str">
        <f t="shared" si="109"/>
        <v/>
      </c>
      <c r="T229" s="22" t="str">
        <f>IF(R229&lt;&gt;"",VLOOKUP(P229,Constants!$D$3:$E$10,2),"")</f>
        <v/>
      </c>
    </row>
    <row r="230" spans="2:20" x14ac:dyDescent="0.25">
      <c r="B230" s="59"/>
      <c r="C230" s="59"/>
      <c r="D230" s="60"/>
      <c r="E230" s="59"/>
      <c r="F230" s="59"/>
      <c r="G230" s="59"/>
      <c r="H230" s="61"/>
      <c r="I230" s="61"/>
      <c r="J230" s="61"/>
      <c r="K230" s="62"/>
      <c r="L230" s="10" t="str">
        <f t="shared" si="102"/>
        <v/>
      </c>
      <c r="M230" s="10" t="str">
        <f t="shared" si="103"/>
        <v/>
      </c>
      <c r="N230" s="11" t="str">
        <f t="shared" si="104"/>
        <v/>
      </c>
      <c r="O230" s="10" t="str">
        <f t="shared" si="105"/>
        <v/>
      </c>
      <c r="P230" s="12" t="str">
        <f t="shared" si="106"/>
        <v/>
      </c>
      <c r="Q230" s="10" t="str">
        <f t="shared" si="107"/>
        <v/>
      </c>
      <c r="R230" s="13" t="str">
        <f t="shared" si="108"/>
        <v/>
      </c>
      <c r="S230" s="13" t="str">
        <f t="shared" si="109"/>
        <v/>
      </c>
      <c r="T230" s="22" t="str">
        <f>IF(R230&lt;&gt;"",VLOOKUP(P230,Constants!$D$3:$E$10,2),"")</f>
        <v/>
      </c>
    </row>
    <row r="231" spans="2:20" x14ac:dyDescent="0.25">
      <c r="B231" s="59"/>
      <c r="C231" s="59"/>
      <c r="D231" s="60"/>
      <c r="E231" s="59"/>
      <c r="F231" s="59"/>
      <c r="G231" s="59"/>
      <c r="H231" s="61"/>
      <c r="I231" s="61"/>
      <c r="J231" s="61"/>
      <c r="K231" s="62"/>
      <c r="L231" s="10" t="str">
        <f t="shared" si="102"/>
        <v/>
      </c>
      <c r="M231" s="10" t="str">
        <f t="shared" si="103"/>
        <v/>
      </c>
      <c r="N231" s="11" t="str">
        <f t="shared" si="104"/>
        <v/>
      </c>
      <c r="O231" s="10" t="str">
        <f t="shared" si="105"/>
        <v/>
      </c>
      <c r="P231" s="12" t="str">
        <f t="shared" si="106"/>
        <v/>
      </c>
      <c r="Q231" s="10" t="str">
        <f t="shared" si="107"/>
        <v/>
      </c>
      <c r="R231" s="13" t="str">
        <f t="shared" si="108"/>
        <v/>
      </c>
      <c r="S231" s="13" t="str">
        <f t="shared" si="109"/>
        <v/>
      </c>
      <c r="T231" s="22" t="str">
        <f>IF(R231&lt;&gt;"",VLOOKUP(P231,Constants!$D$3:$E$10,2),"")</f>
        <v/>
      </c>
    </row>
    <row r="232" spans="2:20" x14ac:dyDescent="0.25">
      <c r="B232" s="59"/>
      <c r="C232" s="59"/>
      <c r="D232" s="60"/>
      <c r="E232" s="59"/>
      <c r="F232" s="59"/>
      <c r="G232" s="59"/>
      <c r="H232" s="61"/>
      <c r="I232" s="61"/>
      <c r="J232" s="61"/>
      <c r="K232" s="62"/>
      <c r="L232" s="10" t="str">
        <f t="shared" si="102"/>
        <v/>
      </c>
      <c r="M232" s="10" t="str">
        <f t="shared" si="103"/>
        <v/>
      </c>
      <c r="N232" s="11" t="str">
        <f t="shared" si="104"/>
        <v/>
      </c>
      <c r="O232" s="10" t="str">
        <f t="shared" si="105"/>
        <v/>
      </c>
      <c r="P232" s="12" t="str">
        <f t="shared" si="106"/>
        <v/>
      </c>
      <c r="Q232" s="10" t="str">
        <f t="shared" si="107"/>
        <v/>
      </c>
      <c r="R232" s="13" t="str">
        <f t="shared" si="108"/>
        <v/>
      </c>
      <c r="S232" s="13" t="str">
        <f t="shared" si="109"/>
        <v/>
      </c>
      <c r="T232" s="22" t="str">
        <f>IF(R232&lt;&gt;"",VLOOKUP(P232,Constants!$D$3:$E$10,2),"")</f>
        <v/>
      </c>
    </row>
    <row r="233" spans="2:20" x14ac:dyDescent="0.25">
      <c r="B233" s="59"/>
      <c r="C233" s="59"/>
      <c r="D233" s="60"/>
      <c r="E233" s="59"/>
      <c r="F233" s="59"/>
      <c r="G233" s="59"/>
      <c r="H233" s="61"/>
      <c r="I233" s="61"/>
      <c r="J233" s="61"/>
      <c r="K233" s="62"/>
      <c r="L233" s="10" t="str">
        <f t="shared" si="102"/>
        <v/>
      </c>
      <c r="M233" s="10" t="str">
        <f t="shared" si="103"/>
        <v/>
      </c>
      <c r="N233" s="11" t="str">
        <f t="shared" si="104"/>
        <v/>
      </c>
      <c r="O233" s="10" t="str">
        <f t="shared" si="105"/>
        <v/>
      </c>
      <c r="P233" s="12" t="str">
        <f t="shared" si="106"/>
        <v/>
      </c>
      <c r="Q233" s="10" t="str">
        <f t="shared" si="107"/>
        <v/>
      </c>
      <c r="R233" s="13" t="str">
        <f t="shared" si="108"/>
        <v/>
      </c>
      <c r="S233" s="13" t="str">
        <f t="shared" si="109"/>
        <v/>
      </c>
      <c r="T233" s="22" t="str">
        <f>IF(R233&lt;&gt;"",VLOOKUP(P233,Constants!$D$3:$E$10,2),"")</f>
        <v/>
      </c>
    </row>
    <row r="234" spans="2:20" x14ac:dyDescent="0.25">
      <c r="B234" s="59"/>
      <c r="C234" s="59"/>
      <c r="D234" s="60"/>
      <c r="E234" s="59"/>
      <c r="F234" s="59"/>
      <c r="G234" s="59"/>
      <c r="H234" s="61"/>
      <c r="I234" s="61"/>
      <c r="J234" s="61"/>
      <c r="K234" s="62"/>
      <c r="L234" s="10" t="str">
        <f t="shared" si="102"/>
        <v/>
      </c>
      <c r="M234" s="10" t="str">
        <f t="shared" si="103"/>
        <v/>
      </c>
      <c r="N234" s="11" t="str">
        <f t="shared" si="104"/>
        <v/>
      </c>
      <c r="O234" s="10" t="str">
        <f t="shared" si="105"/>
        <v/>
      </c>
      <c r="P234" s="12" t="str">
        <f t="shared" si="106"/>
        <v/>
      </c>
      <c r="Q234" s="10" t="str">
        <f t="shared" si="107"/>
        <v/>
      </c>
      <c r="R234" s="13" t="str">
        <f t="shared" si="108"/>
        <v/>
      </c>
      <c r="S234" s="13" t="str">
        <f t="shared" si="109"/>
        <v/>
      </c>
      <c r="T234" s="22" t="str">
        <f>IF(R234&lt;&gt;"",VLOOKUP(P234,Constants!$D$3:$E$10,2),"")</f>
        <v/>
      </c>
    </row>
    <row r="235" spans="2:20" x14ac:dyDescent="0.25">
      <c r="B235" s="59"/>
      <c r="C235" s="59"/>
      <c r="D235" s="60"/>
      <c r="E235" s="59"/>
      <c r="F235" s="59"/>
      <c r="G235" s="59"/>
      <c r="H235" s="61"/>
      <c r="I235" s="61"/>
      <c r="J235" s="61"/>
      <c r="K235" s="62"/>
      <c r="L235" s="10" t="str">
        <f t="shared" si="102"/>
        <v/>
      </c>
      <c r="M235" s="10" t="str">
        <f t="shared" si="103"/>
        <v/>
      </c>
      <c r="N235" s="11" t="str">
        <f t="shared" si="104"/>
        <v/>
      </c>
      <c r="O235" s="10" t="str">
        <f t="shared" si="105"/>
        <v/>
      </c>
      <c r="P235" s="12" t="str">
        <f t="shared" si="106"/>
        <v/>
      </c>
      <c r="Q235" s="10" t="str">
        <f t="shared" si="107"/>
        <v/>
      </c>
      <c r="R235" s="13" t="str">
        <f t="shared" si="108"/>
        <v/>
      </c>
      <c r="S235" s="13" t="str">
        <f t="shared" si="109"/>
        <v/>
      </c>
      <c r="T235" s="22" t="str">
        <f>IF(R235&lt;&gt;"",VLOOKUP(P235,Constants!$D$3:$E$10,2),"")</f>
        <v/>
      </c>
    </row>
    <row r="236" spans="2:20" x14ac:dyDescent="0.25">
      <c r="B236" s="59"/>
      <c r="C236" s="59"/>
      <c r="D236" s="60"/>
      <c r="E236" s="59"/>
      <c r="F236" s="59"/>
      <c r="G236" s="59"/>
      <c r="H236" s="61"/>
      <c r="I236" s="61"/>
      <c r="J236" s="61"/>
      <c r="K236" s="62"/>
      <c r="L236" s="10" t="str">
        <f t="shared" si="102"/>
        <v/>
      </c>
      <c r="M236" s="10" t="str">
        <f t="shared" si="103"/>
        <v/>
      </c>
      <c r="N236" s="11" t="str">
        <f t="shared" si="104"/>
        <v/>
      </c>
      <c r="O236" s="10" t="str">
        <f t="shared" si="105"/>
        <v/>
      </c>
      <c r="P236" s="12" t="str">
        <f t="shared" si="106"/>
        <v/>
      </c>
      <c r="Q236" s="10" t="str">
        <f t="shared" si="107"/>
        <v/>
      </c>
      <c r="R236" s="13" t="str">
        <f t="shared" si="108"/>
        <v/>
      </c>
      <c r="S236" s="13" t="str">
        <f t="shared" si="109"/>
        <v/>
      </c>
      <c r="T236" s="22" t="str">
        <f>IF(R236&lt;&gt;"",VLOOKUP(P236,Constants!$D$3:$E$10,2),"")</f>
        <v/>
      </c>
    </row>
    <row r="237" spans="2:20" x14ac:dyDescent="0.25">
      <c r="B237" s="59"/>
      <c r="C237" s="59"/>
      <c r="D237" s="60"/>
      <c r="E237" s="59"/>
      <c r="F237" s="59"/>
      <c r="G237" s="59"/>
      <c r="H237" s="61"/>
      <c r="I237" s="61"/>
      <c r="J237" s="61"/>
      <c r="K237" s="62"/>
      <c r="L237" s="10" t="str">
        <f t="shared" si="102"/>
        <v/>
      </c>
      <c r="M237" s="10" t="str">
        <f t="shared" si="103"/>
        <v/>
      </c>
      <c r="N237" s="11" t="str">
        <f t="shared" si="104"/>
        <v/>
      </c>
      <c r="O237" s="10" t="str">
        <f t="shared" si="105"/>
        <v/>
      </c>
      <c r="P237" s="12" t="str">
        <f t="shared" si="106"/>
        <v/>
      </c>
      <c r="Q237" s="10" t="str">
        <f t="shared" si="107"/>
        <v/>
      </c>
      <c r="R237" s="13" t="str">
        <f t="shared" si="108"/>
        <v/>
      </c>
      <c r="S237" s="13" t="str">
        <f t="shared" si="109"/>
        <v/>
      </c>
      <c r="T237" s="22" t="str">
        <f>IF(R237&lt;&gt;"",VLOOKUP(P237,Constants!$D$3:$E$10,2),"")</f>
        <v/>
      </c>
    </row>
    <row r="238" spans="2:20" x14ac:dyDescent="0.25">
      <c r="B238" s="59"/>
      <c r="C238" s="59"/>
      <c r="D238" s="60"/>
      <c r="E238" s="59"/>
      <c r="F238" s="59"/>
      <c r="G238" s="59"/>
      <c r="H238" s="61"/>
      <c r="I238" s="61"/>
      <c r="J238" s="61"/>
      <c r="K238" s="62"/>
      <c r="L238" s="10" t="str">
        <f t="shared" si="102"/>
        <v/>
      </c>
      <c r="M238" s="10" t="str">
        <f t="shared" si="103"/>
        <v/>
      </c>
      <c r="N238" s="11" t="str">
        <f t="shared" si="104"/>
        <v/>
      </c>
      <c r="O238" s="10" t="str">
        <f t="shared" si="105"/>
        <v/>
      </c>
      <c r="P238" s="12" t="str">
        <f t="shared" si="106"/>
        <v/>
      </c>
      <c r="Q238" s="10" t="str">
        <f t="shared" si="107"/>
        <v/>
      </c>
      <c r="R238" s="13" t="str">
        <f t="shared" si="108"/>
        <v/>
      </c>
      <c r="S238" s="13" t="str">
        <f t="shared" si="109"/>
        <v/>
      </c>
      <c r="T238" s="22" t="str">
        <f>IF(R238&lt;&gt;"",VLOOKUP(P238,Constants!$D$3:$E$10,2),"")</f>
        <v/>
      </c>
    </row>
    <row r="239" spans="2:20" x14ac:dyDescent="0.25">
      <c r="B239" s="59"/>
      <c r="C239" s="59"/>
      <c r="D239" s="60"/>
      <c r="E239" s="59"/>
      <c r="F239" s="59"/>
      <c r="G239" s="59"/>
      <c r="H239" s="61"/>
      <c r="I239" s="61"/>
      <c r="J239" s="61"/>
      <c r="K239" s="62"/>
      <c r="L239" s="10" t="str">
        <f t="shared" si="102"/>
        <v/>
      </c>
      <c r="M239" s="10" t="str">
        <f t="shared" si="103"/>
        <v/>
      </c>
      <c r="N239" s="11" t="str">
        <f t="shared" si="104"/>
        <v/>
      </c>
      <c r="O239" s="10" t="str">
        <f t="shared" si="105"/>
        <v/>
      </c>
      <c r="P239" s="12" t="str">
        <f t="shared" si="106"/>
        <v/>
      </c>
      <c r="Q239" s="10" t="str">
        <f t="shared" si="107"/>
        <v/>
      </c>
      <c r="R239" s="13" t="str">
        <f t="shared" si="108"/>
        <v/>
      </c>
      <c r="S239" s="13" t="str">
        <f t="shared" si="109"/>
        <v/>
      </c>
      <c r="T239" s="22" t="str">
        <f>IF(R239&lt;&gt;"",VLOOKUP(P239,Constants!$D$3:$E$10,2),"")</f>
        <v/>
      </c>
    </row>
    <row r="240" spans="2:20" x14ac:dyDescent="0.25">
      <c r="B240" s="59"/>
      <c r="C240" s="59"/>
      <c r="D240" s="60"/>
      <c r="E240" s="59"/>
      <c r="F240" s="59"/>
      <c r="G240" s="59"/>
      <c r="H240" s="61"/>
      <c r="I240" s="61"/>
      <c r="J240" s="61"/>
      <c r="K240" s="62"/>
      <c r="L240" s="10" t="str">
        <f t="shared" si="102"/>
        <v/>
      </c>
      <c r="M240" s="10" t="str">
        <f t="shared" si="103"/>
        <v/>
      </c>
      <c r="N240" s="11" t="str">
        <f t="shared" si="104"/>
        <v/>
      </c>
      <c r="O240" s="10" t="str">
        <f t="shared" si="105"/>
        <v/>
      </c>
      <c r="P240" s="12" t="str">
        <f t="shared" si="106"/>
        <v/>
      </c>
      <c r="Q240" s="10" t="str">
        <f t="shared" si="107"/>
        <v/>
      </c>
      <c r="R240" s="13" t="str">
        <f t="shared" si="108"/>
        <v/>
      </c>
      <c r="S240" s="13" t="str">
        <f t="shared" si="109"/>
        <v/>
      </c>
      <c r="T240" s="22" t="str">
        <f>IF(R240&lt;&gt;"",VLOOKUP(P240,Constants!$D$3:$E$10,2),"")</f>
        <v/>
      </c>
    </row>
    <row r="241" spans="2:20" x14ac:dyDescent="0.25">
      <c r="B241" s="59"/>
      <c r="C241" s="59"/>
      <c r="D241" s="60"/>
      <c r="E241" s="59"/>
      <c r="F241" s="59"/>
      <c r="G241" s="59"/>
      <c r="H241" s="61"/>
      <c r="I241" s="61"/>
      <c r="J241" s="61"/>
      <c r="K241" s="62"/>
      <c r="L241" s="10" t="str">
        <f t="shared" si="102"/>
        <v/>
      </c>
      <c r="M241" s="10" t="str">
        <f t="shared" si="103"/>
        <v/>
      </c>
      <c r="N241" s="11" t="str">
        <f t="shared" si="104"/>
        <v/>
      </c>
      <c r="O241" s="10" t="str">
        <f t="shared" si="105"/>
        <v/>
      </c>
      <c r="P241" s="12" t="str">
        <f t="shared" si="106"/>
        <v/>
      </c>
      <c r="Q241" s="10" t="str">
        <f t="shared" si="107"/>
        <v/>
      </c>
      <c r="R241" s="13" t="str">
        <f t="shared" si="108"/>
        <v/>
      </c>
      <c r="S241" s="13" t="str">
        <f t="shared" si="109"/>
        <v/>
      </c>
      <c r="T241" s="22" t="str">
        <f>IF(R241&lt;&gt;"",VLOOKUP(P241,Constants!$D$3:$E$10,2),"")</f>
        <v/>
      </c>
    </row>
    <row r="242" spans="2:20" x14ac:dyDescent="0.25">
      <c r="B242" s="59"/>
      <c r="C242" s="59"/>
      <c r="D242" s="60"/>
      <c r="E242" s="59"/>
      <c r="F242" s="59"/>
      <c r="G242" s="59"/>
      <c r="H242" s="61"/>
      <c r="I242" s="61"/>
      <c r="J242" s="61"/>
      <c r="K242" s="62"/>
      <c r="L242" s="10" t="str">
        <f t="shared" si="102"/>
        <v/>
      </c>
      <c r="M242" s="10" t="str">
        <f t="shared" si="103"/>
        <v/>
      </c>
      <c r="N242" s="11" t="str">
        <f t="shared" si="104"/>
        <v/>
      </c>
      <c r="O242" s="10" t="str">
        <f t="shared" si="105"/>
        <v/>
      </c>
      <c r="P242" s="12" t="str">
        <f t="shared" si="106"/>
        <v/>
      </c>
      <c r="Q242" s="10" t="str">
        <f t="shared" si="107"/>
        <v/>
      </c>
      <c r="R242" s="13" t="str">
        <f t="shared" si="108"/>
        <v/>
      </c>
      <c r="S242" s="13" t="str">
        <f t="shared" si="109"/>
        <v/>
      </c>
      <c r="T242" s="22" t="str">
        <f>IF(R242&lt;&gt;"",VLOOKUP(P242,Constants!$D$3:$E$10,2),"")</f>
        <v/>
      </c>
    </row>
    <row r="243" spans="2:20" x14ac:dyDescent="0.25">
      <c r="B243" s="59"/>
      <c r="C243" s="59"/>
      <c r="D243" s="60"/>
      <c r="E243" s="59"/>
      <c r="F243" s="59"/>
      <c r="G243" s="59"/>
      <c r="H243" s="61"/>
      <c r="I243" s="61"/>
      <c r="J243" s="61"/>
      <c r="K243" s="62"/>
      <c r="L243" s="10" t="str">
        <f t="shared" si="102"/>
        <v/>
      </c>
      <c r="M243" s="10" t="str">
        <f t="shared" si="103"/>
        <v/>
      </c>
      <c r="N243" s="11" t="str">
        <f t="shared" si="104"/>
        <v/>
      </c>
      <c r="O243" s="10" t="str">
        <f t="shared" si="105"/>
        <v/>
      </c>
      <c r="P243" s="12" t="str">
        <f t="shared" si="106"/>
        <v/>
      </c>
      <c r="Q243" s="10" t="str">
        <f t="shared" si="107"/>
        <v/>
      </c>
      <c r="R243" s="13" t="str">
        <f t="shared" si="108"/>
        <v/>
      </c>
      <c r="S243" s="13" t="str">
        <f t="shared" si="109"/>
        <v/>
      </c>
      <c r="T243" s="22" t="str">
        <f>IF(R243&lt;&gt;"",VLOOKUP(P243,Constants!$D$3:$E$10,2),"")</f>
        <v/>
      </c>
    </row>
    <row r="244" spans="2:20" x14ac:dyDescent="0.25">
      <c r="B244" s="59"/>
      <c r="C244" s="59"/>
      <c r="D244" s="60"/>
      <c r="E244" s="59"/>
      <c r="F244" s="59"/>
      <c r="G244" s="59"/>
      <c r="H244" s="61"/>
      <c r="I244" s="61"/>
      <c r="J244" s="61"/>
      <c r="K244" s="62"/>
      <c r="L244" s="10" t="str">
        <f t="shared" si="102"/>
        <v/>
      </c>
      <c r="M244" s="10" t="str">
        <f t="shared" si="103"/>
        <v/>
      </c>
      <c r="N244" s="11" t="str">
        <f t="shared" si="104"/>
        <v/>
      </c>
      <c r="O244" s="10" t="str">
        <f t="shared" si="105"/>
        <v/>
      </c>
      <c r="P244" s="12" t="str">
        <f t="shared" si="106"/>
        <v/>
      </c>
      <c r="Q244" s="10" t="str">
        <f t="shared" si="107"/>
        <v/>
      </c>
      <c r="R244" s="13" t="str">
        <f t="shared" si="108"/>
        <v/>
      </c>
      <c r="S244" s="13" t="str">
        <f t="shared" si="109"/>
        <v/>
      </c>
      <c r="T244" s="22" t="str">
        <f>IF(R244&lt;&gt;"",VLOOKUP(P244,Constants!$D$3:$E$10,2),"")</f>
        <v/>
      </c>
    </row>
    <row r="245" spans="2:20" x14ac:dyDescent="0.25">
      <c r="B245" s="59"/>
      <c r="C245" s="59"/>
      <c r="D245" s="60"/>
      <c r="E245" s="59"/>
      <c r="F245" s="59"/>
      <c r="G245" s="59"/>
      <c r="H245" s="61"/>
      <c r="I245" s="61"/>
      <c r="J245" s="61"/>
      <c r="K245" s="62"/>
      <c r="L245" s="10" t="str">
        <f t="shared" si="102"/>
        <v/>
      </c>
      <c r="M245" s="10" t="str">
        <f t="shared" si="103"/>
        <v/>
      </c>
      <c r="N245" s="11" t="str">
        <f t="shared" si="104"/>
        <v/>
      </c>
      <c r="O245" s="10" t="str">
        <f t="shared" si="105"/>
        <v/>
      </c>
      <c r="P245" s="12" t="str">
        <f t="shared" si="106"/>
        <v/>
      </c>
      <c r="Q245" s="10" t="str">
        <f t="shared" si="107"/>
        <v/>
      </c>
      <c r="R245" s="13" t="str">
        <f t="shared" si="108"/>
        <v/>
      </c>
      <c r="S245" s="13" t="str">
        <f t="shared" si="109"/>
        <v/>
      </c>
      <c r="T245" s="22" t="str">
        <f>IF(R245&lt;&gt;"",VLOOKUP(P245,Constants!$D$3:$E$10,2),"")</f>
        <v/>
      </c>
    </row>
    <row r="246" spans="2:20" x14ac:dyDescent="0.25">
      <c r="B246" s="59"/>
      <c r="C246" s="59"/>
      <c r="D246" s="60"/>
      <c r="E246" s="59"/>
      <c r="F246" s="59"/>
      <c r="G246" s="59"/>
      <c r="H246" s="61"/>
      <c r="I246" s="61"/>
      <c r="J246" s="61"/>
      <c r="K246" s="62"/>
      <c r="L246" s="10" t="str">
        <f t="shared" si="102"/>
        <v/>
      </c>
      <c r="M246" s="10" t="str">
        <f t="shared" si="103"/>
        <v/>
      </c>
      <c r="N246" s="11" t="str">
        <f t="shared" si="104"/>
        <v/>
      </c>
      <c r="O246" s="10" t="str">
        <f t="shared" si="105"/>
        <v/>
      </c>
      <c r="P246" s="12" t="str">
        <f t="shared" si="106"/>
        <v/>
      </c>
      <c r="Q246" s="10" t="str">
        <f t="shared" si="107"/>
        <v/>
      </c>
      <c r="R246" s="13" t="str">
        <f t="shared" si="108"/>
        <v/>
      </c>
      <c r="S246" s="13" t="str">
        <f t="shared" si="109"/>
        <v/>
      </c>
      <c r="T246" s="22" t="str">
        <f>IF(R246&lt;&gt;"",VLOOKUP(P246,Constants!$D$3:$E$10,2),"")</f>
        <v/>
      </c>
    </row>
    <row r="247" spans="2:20" x14ac:dyDescent="0.25">
      <c r="B247" s="59"/>
      <c r="C247" s="59"/>
      <c r="D247" s="60"/>
      <c r="E247" s="59"/>
      <c r="F247" s="59"/>
      <c r="G247" s="59"/>
      <c r="H247" s="61"/>
      <c r="I247" s="61"/>
      <c r="J247" s="61"/>
      <c r="K247" s="62"/>
      <c r="L247" s="10" t="str">
        <f t="shared" si="102"/>
        <v/>
      </c>
      <c r="M247" s="10" t="str">
        <f t="shared" si="103"/>
        <v/>
      </c>
      <c r="N247" s="11" t="str">
        <f t="shared" si="104"/>
        <v/>
      </c>
      <c r="O247" s="10" t="str">
        <f t="shared" si="105"/>
        <v/>
      </c>
      <c r="P247" s="12" t="str">
        <f t="shared" si="106"/>
        <v/>
      </c>
      <c r="Q247" s="10" t="str">
        <f t="shared" si="107"/>
        <v/>
      </c>
      <c r="R247" s="13" t="str">
        <f t="shared" si="108"/>
        <v/>
      </c>
      <c r="S247" s="13" t="str">
        <f t="shared" si="109"/>
        <v/>
      </c>
      <c r="T247" s="22" t="str">
        <f>IF(R247&lt;&gt;"",VLOOKUP(P247,Constants!$D$3:$E$10,2),"")</f>
        <v/>
      </c>
    </row>
    <row r="248" spans="2:20" x14ac:dyDescent="0.25">
      <c r="B248" s="59"/>
      <c r="C248" s="59"/>
      <c r="D248" s="60"/>
      <c r="E248" s="59"/>
      <c r="F248" s="59"/>
      <c r="G248" s="59"/>
      <c r="H248" s="61"/>
      <c r="I248" s="61"/>
      <c r="J248" s="61"/>
      <c r="K248" s="62"/>
      <c r="L248" s="10" t="str">
        <f t="shared" si="102"/>
        <v/>
      </c>
      <c r="M248" s="10" t="str">
        <f t="shared" si="103"/>
        <v/>
      </c>
      <c r="N248" s="11" t="str">
        <f t="shared" si="104"/>
        <v/>
      </c>
      <c r="O248" s="10" t="str">
        <f t="shared" si="105"/>
        <v/>
      </c>
      <c r="P248" s="12" t="str">
        <f t="shared" si="106"/>
        <v/>
      </c>
      <c r="Q248" s="10" t="str">
        <f t="shared" si="107"/>
        <v/>
      </c>
      <c r="R248" s="13" t="str">
        <f t="shared" si="108"/>
        <v/>
      </c>
      <c r="S248" s="13" t="str">
        <f t="shared" si="109"/>
        <v/>
      </c>
      <c r="T248" s="22" t="str">
        <f>IF(R248&lt;&gt;"",VLOOKUP(P248,Constants!$D$3:$E$10,2),"")</f>
        <v/>
      </c>
    </row>
    <row r="249" spans="2:20" x14ac:dyDescent="0.25">
      <c r="B249" s="59"/>
      <c r="C249" s="59"/>
      <c r="D249" s="60"/>
      <c r="E249" s="59"/>
      <c r="F249" s="59"/>
      <c r="G249" s="59"/>
      <c r="H249" s="61"/>
      <c r="I249" s="61"/>
      <c r="J249" s="61"/>
      <c r="K249" s="62"/>
      <c r="L249" s="10" t="str">
        <f t="shared" si="102"/>
        <v/>
      </c>
      <c r="M249" s="10" t="str">
        <f t="shared" si="103"/>
        <v/>
      </c>
      <c r="N249" s="11" t="str">
        <f t="shared" si="104"/>
        <v/>
      </c>
      <c r="O249" s="10" t="str">
        <f t="shared" si="105"/>
        <v/>
      </c>
      <c r="P249" s="12" t="str">
        <f t="shared" si="106"/>
        <v/>
      </c>
      <c r="Q249" s="10" t="str">
        <f t="shared" si="107"/>
        <v/>
      </c>
      <c r="R249" s="13" t="str">
        <f t="shared" si="108"/>
        <v/>
      </c>
      <c r="S249" s="13" t="str">
        <f t="shared" si="109"/>
        <v/>
      </c>
      <c r="T249" s="22" t="str">
        <f>IF(R249&lt;&gt;"",VLOOKUP(P249,Constants!$D$3:$E$10,2),"")</f>
        <v/>
      </c>
    </row>
    <row r="250" spans="2:20" x14ac:dyDescent="0.25">
      <c r="B250" s="59"/>
      <c r="C250" s="59"/>
      <c r="D250" s="60"/>
      <c r="E250" s="59"/>
      <c r="F250" s="59"/>
      <c r="G250" s="59"/>
      <c r="H250" s="61"/>
      <c r="I250" s="61"/>
      <c r="J250" s="61"/>
      <c r="K250" s="62"/>
      <c r="L250" s="10" t="str">
        <f t="shared" si="102"/>
        <v/>
      </c>
      <c r="M250" s="10" t="str">
        <f t="shared" si="103"/>
        <v/>
      </c>
      <c r="N250" s="11" t="str">
        <f t="shared" si="104"/>
        <v/>
      </c>
      <c r="O250" s="10" t="str">
        <f t="shared" si="105"/>
        <v/>
      </c>
      <c r="P250" s="12" t="str">
        <f t="shared" si="106"/>
        <v/>
      </c>
      <c r="Q250" s="10" t="str">
        <f t="shared" si="107"/>
        <v/>
      </c>
      <c r="R250" s="13" t="str">
        <f t="shared" si="108"/>
        <v/>
      </c>
      <c r="S250" s="13" t="str">
        <f t="shared" si="109"/>
        <v/>
      </c>
      <c r="T250" s="22" t="str">
        <f>IF(R250&lt;&gt;"",VLOOKUP(P250,Constants!$D$3:$E$10,2),"")</f>
        <v/>
      </c>
    </row>
    <row r="251" spans="2:20" x14ac:dyDescent="0.25">
      <c r="B251" s="59"/>
      <c r="C251" s="59"/>
      <c r="D251" s="60"/>
      <c r="E251" s="59"/>
      <c r="F251" s="59"/>
      <c r="G251" s="59"/>
      <c r="H251" s="61"/>
      <c r="I251" s="61"/>
      <c r="J251" s="61"/>
      <c r="K251" s="62"/>
      <c r="L251" s="10" t="str">
        <f t="shared" si="102"/>
        <v/>
      </c>
      <c r="M251" s="10" t="str">
        <f t="shared" si="103"/>
        <v/>
      </c>
      <c r="N251" s="11" t="str">
        <f t="shared" si="104"/>
        <v/>
      </c>
      <c r="O251" s="10" t="str">
        <f t="shared" si="105"/>
        <v/>
      </c>
      <c r="P251" s="12" t="str">
        <f t="shared" si="106"/>
        <v/>
      </c>
      <c r="Q251" s="10" t="str">
        <f t="shared" si="107"/>
        <v/>
      </c>
      <c r="R251" s="13" t="str">
        <f t="shared" si="108"/>
        <v/>
      </c>
      <c r="S251" s="13" t="str">
        <f t="shared" si="109"/>
        <v/>
      </c>
      <c r="T251" s="22" t="str">
        <f>IF(R251&lt;&gt;"",VLOOKUP(P251,Constants!$D$3:$E$10,2),"")</f>
        <v/>
      </c>
    </row>
    <row r="252" spans="2:20" x14ac:dyDescent="0.25">
      <c r="B252" s="59"/>
      <c r="C252" s="59"/>
      <c r="D252" s="60"/>
      <c r="E252" s="59"/>
      <c r="F252" s="59"/>
      <c r="G252" s="59"/>
      <c r="H252" s="61"/>
      <c r="I252" s="61"/>
      <c r="J252" s="61"/>
      <c r="K252" s="62"/>
      <c r="L252" s="10" t="str">
        <f t="shared" si="102"/>
        <v/>
      </c>
      <c r="M252" s="10" t="str">
        <f t="shared" si="103"/>
        <v/>
      </c>
      <c r="N252" s="11" t="str">
        <f t="shared" si="104"/>
        <v/>
      </c>
      <c r="O252" s="10" t="str">
        <f t="shared" si="105"/>
        <v/>
      </c>
      <c r="P252" s="12" t="str">
        <f t="shared" si="106"/>
        <v/>
      </c>
      <c r="Q252" s="10" t="str">
        <f t="shared" si="107"/>
        <v/>
      </c>
      <c r="R252" s="13" t="str">
        <f t="shared" si="108"/>
        <v/>
      </c>
      <c r="S252" s="13" t="str">
        <f t="shared" si="109"/>
        <v/>
      </c>
      <c r="T252" s="22" t="str">
        <f>IF(R252&lt;&gt;"",VLOOKUP(P252,Constants!$D$3:$E$10,2),"")</f>
        <v/>
      </c>
    </row>
    <row r="253" spans="2:20" x14ac:dyDescent="0.25">
      <c r="B253" s="59"/>
      <c r="C253" s="59"/>
      <c r="D253" s="60"/>
      <c r="E253" s="59"/>
      <c r="F253" s="59"/>
      <c r="G253" s="59"/>
      <c r="H253" s="61"/>
      <c r="I253" s="61"/>
      <c r="J253" s="61"/>
      <c r="K253" s="62"/>
      <c r="L253" s="10" t="str">
        <f t="shared" si="102"/>
        <v/>
      </c>
      <c r="M253" s="10" t="str">
        <f t="shared" si="103"/>
        <v/>
      </c>
      <c r="N253" s="11" t="str">
        <f t="shared" si="104"/>
        <v/>
      </c>
      <c r="O253" s="10" t="str">
        <f t="shared" si="105"/>
        <v/>
      </c>
      <c r="P253" s="12" t="str">
        <f t="shared" si="106"/>
        <v/>
      </c>
      <c r="Q253" s="10" t="str">
        <f t="shared" si="107"/>
        <v/>
      </c>
      <c r="R253" s="13" t="str">
        <f t="shared" si="108"/>
        <v/>
      </c>
      <c r="S253" s="13" t="str">
        <f t="shared" si="109"/>
        <v/>
      </c>
      <c r="T253" s="22" t="str">
        <f>IF(R253&lt;&gt;"",VLOOKUP(P253,Constants!$D$3:$E$10,2),"")</f>
        <v/>
      </c>
    </row>
    <row r="254" spans="2:20" x14ac:dyDescent="0.25">
      <c r="B254" s="59"/>
      <c r="C254" s="59"/>
      <c r="D254" s="60"/>
      <c r="E254" s="59"/>
      <c r="F254" s="59"/>
      <c r="G254" s="59"/>
      <c r="H254" s="61"/>
      <c r="I254" s="61"/>
      <c r="J254" s="61"/>
      <c r="K254" s="62"/>
      <c r="L254" s="10" t="str">
        <f t="shared" si="102"/>
        <v/>
      </c>
      <c r="M254" s="10" t="str">
        <f t="shared" si="103"/>
        <v/>
      </c>
      <c r="N254" s="11" t="str">
        <f t="shared" si="104"/>
        <v/>
      </c>
      <c r="O254" s="10" t="str">
        <f t="shared" si="105"/>
        <v/>
      </c>
      <c r="P254" s="12" t="str">
        <f t="shared" si="106"/>
        <v/>
      </c>
      <c r="Q254" s="10" t="str">
        <f t="shared" si="107"/>
        <v/>
      </c>
      <c r="R254" s="13" t="str">
        <f t="shared" si="108"/>
        <v/>
      </c>
      <c r="S254" s="13" t="str">
        <f t="shared" si="109"/>
        <v/>
      </c>
      <c r="T254" s="22" t="str">
        <f>IF(R254&lt;&gt;"",VLOOKUP(P254,Constants!$D$3:$E$10,2),"")</f>
        <v/>
      </c>
    </row>
    <row r="255" spans="2:20" x14ac:dyDescent="0.25">
      <c r="B255" s="59"/>
      <c r="C255" s="59"/>
      <c r="D255" s="60"/>
      <c r="E255" s="59"/>
      <c r="F255" s="59"/>
      <c r="G255" s="59"/>
      <c r="H255" s="61"/>
      <c r="I255" s="61"/>
      <c r="J255" s="61"/>
      <c r="K255" s="62"/>
      <c r="L255" s="10" t="str">
        <f t="shared" si="102"/>
        <v/>
      </c>
      <c r="M255" s="10" t="str">
        <f t="shared" si="103"/>
        <v/>
      </c>
      <c r="N255" s="11" t="str">
        <f t="shared" si="104"/>
        <v/>
      </c>
      <c r="O255" s="10" t="str">
        <f t="shared" si="105"/>
        <v/>
      </c>
      <c r="P255" s="12" t="str">
        <f t="shared" si="106"/>
        <v/>
      </c>
      <c r="Q255" s="10" t="str">
        <f t="shared" si="107"/>
        <v/>
      </c>
      <c r="R255" s="13" t="str">
        <f t="shared" si="108"/>
        <v/>
      </c>
      <c r="S255" s="13" t="str">
        <f t="shared" si="109"/>
        <v/>
      </c>
      <c r="T255" s="22" t="str">
        <f>IF(R255&lt;&gt;"",VLOOKUP(P255,Constants!$D$3:$E$10,2),"")</f>
        <v/>
      </c>
    </row>
    <row r="256" spans="2:20" x14ac:dyDescent="0.25">
      <c r="B256" s="59"/>
      <c r="C256" s="59"/>
      <c r="D256" s="60"/>
      <c r="E256" s="59"/>
      <c r="F256" s="59"/>
      <c r="G256" s="59"/>
      <c r="H256" s="61"/>
      <c r="I256" s="61"/>
      <c r="J256" s="61"/>
      <c r="K256" s="62"/>
      <c r="L256" s="10" t="str">
        <f t="shared" si="102"/>
        <v/>
      </c>
      <c r="M256" s="10" t="str">
        <f t="shared" si="103"/>
        <v/>
      </c>
      <c r="N256" s="11" t="str">
        <f t="shared" si="104"/>
        <v/>
      </c>
      <c r="O256" s="10" t="str">
        <f t="shared" si="105"/>
        <v/>
      </c>
      <c r="P256" s="12" t="str">
        <f t="shared" si="106"/>
        <v/>
      </c>
      <c r="Q256" s="10" t="str">
        <f t="shared" si="107"/>
        <v/>
      </c>
      <c r="R256" s="13" t="str">
        <f t="shared" si="108"/>
        <v/>
      </c>
      <c r="S256" s="13" t="str">
        <f t="shared" si="109"/>
        <v/>
      </c>
      <c r="T256" s="22" t="str">
        <f>IF(R256&lt;&gt;"",VLOOKUP(P256,Constants!$D$3:$E$10,2),"")</f>
        <v/>
      </c>
    </row>
    <row r="257" spans="2:20" x14ac:dyDescent="0.25">
      <c r="B257" s="59"/>
      <c r="C257" s="59"/>
      <c r="D257" s="60"/>
      <c r="E257" s="59"/>
      <c r="F257" s="59"/>
      <c r="G257" s="59"/>
      <c r="H257" s="61"/>
      <c r="I257" s="61"/>
      <c r="J257" s="61"/>
      <c r="K257" s="62"/>
      <c r="L257" s="10" t="str">
        <f t="shared" si="102"/>
        <v/>
      </c>
      <c r="M257" s="10" t="str">
        <f t="shared" si="103"/>
        <v/>
      </c>
      <c r="N257" s="11" t="str">
        <f t="shared" si="104"/>
        <v/>
      </c>
      <c r="O257" s="10" t="str">
        <f t="shared" si="105"/>
        <v/>
      </c>
      <c r="P257" s="12" t="str">
        <f t="shared" si="106"/>
        <v/>
      </c>
      <c r="Q257" s="10" t="str">
        <f t="shared" si="107"/>
        <v/>
      </c>
      <c r="R257" s="13" t="str">
        <f t="shared" si="108"/>
        <v/>
      </c>
      <c r="S257" s="13" t="str">
        <f t="shared" si="109"/>
        <v/>
      </c>
      <c r="T257" s="22" t="str">
        <f>IF(R257&lt;&gt;"",VLOOKUP(P257,Constants!$D$3:$E$10,2),"")</f>
        <v/>
      </c>
    </row>
    <row r="258" spans="2:20" x14ac:dyDescent="0.25">
      <c r="B258" s="59"/>
      <c r="C258" s="59"/>
      <c r="D258" s="60"/>
      <c r="E258" s="59"/>
      <c r="F258" s="59"/>
      <c r="G258" s="59"/>
      <c r="H258" s="61"/>
      <c r="I258" s="61"/>
      <c r="J258" s="61"/>
      <c r="K258" s="62"/>
      <c r="L258" s="10" t="str">
        <f t="shared" si="102"/>
        <v/>
      </c>
      <c r="M258" s="10" t="str">
        <f t="shared" si="103"/>
        <v/>
      </c>
      <c r="N258" s="11" t="str">
        <f t="shared" si="104"/>
        <v/>
      </c>
      <c r="O258" s="10" t="str">
        <f t="shared" si="105"/>
        <v/>
      </c>
      <c r="P258" s="12" t="str">
        <f t="shared" si="106"/>
        <v/>
      </c>
      <c r="Q258" s="10" t="str">
        <f t="shared" si="107"/>
        <v/>
      </c>
      <c r="R258" s="13" t="str">
        <f t="shared" si="108"/>
        <v/>
      </c>
      <c r="S258" s="13" t="str">
        <f t="shared" si="109"/>
        <v/>
      </c>
      <c r="T258" s="22" t="str">
        <f>IF(R258&lt;&gt;"",VLOOKUP(P258,Constants!$D$3:$E$10,2),"")</f>
        <v/>
      </c>
    </row>
    <row r="259" spans="2:20" x14ac:dyDescent="0.25">
      <c r="B259" s="59"/>
      <c r="C259" s="59"/>
      <c r="D259" s="60"/>
      <c r="E259" s="59"/>
      <c r="F259" s="59"/>
      <c r="G259" s="59"/>
      <c r="H259" s="61"/>
      <c r="I259" s="61"/>
      <c r="J259" s="61"/>
      <c r="K259" s="62"/>
      <c r="L259" s="10" t="str">
        <f t="shared" si="102"/>
        <v/>
      </c>
      <c r="M259" s="10" t="str">
        <f t="shared" si="103"/>
        <v/>
      </c>
      <c r="N259" s="11" t="str">
        <f t="shared" si="104"/>
        <v/>
      </c>
      <c r="O259" s="10" t="str">
        <f t="shared" si="105"/>
        <v/>
      </c>
      <c r="P259" s="12" t="str">
        <f t="shared" si="106"/>
        <v/>
      </c>
      <c r="Q259" s="10" t="str">
        <f t="shared" si="107"/>
        <v/>
      </c>
      <c r="R259" s="13" t="str">
        <f t="shared" si="108"/>
        <v/>
      </c>
      <c r="S259" s="13" t="str">
        <f t="shared" si="109"/>
        <v/>
      </c>
      <c r="T259" s="22" t="str">
        <f>IF(R259&lt;&gt;"",VLOOKUP(P259,Constants!$D$3:$E$10,2),"")</f>
        <v/>
      </c>
    </row>
    <row r="260" spans="2:20" x14ac:dyDescent="0.25">
      <c r="B260" s="59"/>
      <c r="C260" s="59"/>
      <c r="D260" s="60"/>
      <c r="E260" s="59"/>
      <c r="F260" s="59"/>
      <c r="G260" s="59"/>
      <c r="H260" s="61"/>
      <c r="I260" s="61"/>
      <c r="J260" s="61"/>
      <c r="K260" s="62"/>
      <c r="L260" s="10" t="str">
        <f t="shared" si="102"/>
        <v/>
      </c>
      <c r="M260" s="10" t="str">
        <f t="shared" si="103"/>
        <v/>
      </c>
      <c r="N260" s="11" t="str">
        <f t="shared" si="104"/>
        <v/>
      </c>
      <c r="O260" s="10" t="str">
        <f t="shared" si="105"/>
        <v/>
      </c>
      <c r="P260" s="12" t="str">
        <f t="shared" si="106"/>
        <v/>
      </c>
      <c r="Q260" s="10" t="str">
        <f t="shared" si="107"/>
        <v/>
      </c>
      <c r="R260" s="13" t="str">
        <f t="shared" si="108"/>
        <v/>
      </c>
      <c r="S260" s="13" t="str">
        <f t="shared" si="109"/>
        <v/>
      </c>
      <c r="T260" s="22" t="str">
        <f>IF(R260&lt;&gt;"",VLOOKUP(P260,Constants!$D$3:$E$10,2),"")</f>
        <v/>
      </c>
    </row>
    <row r="261" spans="2:20" x14ac:dyDescent="0.25">
      <c r="B261" s="59"/>
      <c r="C261" s="59"/>
      <c r="D261" s="60"/>
      <c r="E261" s="59"/>
      <c r="F261" s="59"/>
      <c r="G261" s="59"/>
      <c r="H261" s="61"/>
      <c r="I261" s="61"/>
      <c r="J261" s="61"/>
      <c r="K261" s="62"/>
      <c r="L261" s="10" t="str">
        <f t="shared" si="102"/>
        <v/>
      </c>
      <c r="M261" s="10" t="str">
        <f t="shared" si="103"/>
        <v/>
      </c>
      <c r="N261" s="11" t="str">
        <f t="shared" si="104"/>
        <v/>
      </c>
      <c r="O261" s="10" t="str">
        <f t="shared" si="105"/>
        <v/>
      </c>
      <c r="P261" s="12" t="str">
        <f t="shared" si="106"/>
        <v/>
      </c>
      <c r="Q261" s="10" t="str">
        <f t="shared" si="107"/>
        <v/>
      </c>
      <c r="R261" s="13" t="str">
        <f t="shared" si="108"/>
        <v/>
      </c>
      <c r="S261" s="13" t="str">
        <f t="shared" si="109"/>
        <v/>
      </c>
      <c r="T261" s="22" t="str">
        <f>IF(R261&lt;&gt;"",VLOOKUP(P261,Constants!$D$3:$E$10,2),"")</f>
        <v/>
      </c>
    </row>
    <row r="262" spans="2:20" x14ac:dyDescent="0.25">
      <c r="B262" s="59"/>
      <c r="C262" s="59"/>
      <c r="D262" s="60"/>
      <c r="E262" s="59"/>
      <c r="F262" s="59"/>
      <c r="G262" s="59"/>
      <c r="H262" s="61"/>
      <c r="I262" s="61"/>
      <c r="J262" s="61"/>
      <c r="K262" s="62"/>
      <c r="L262" s="10" t="str">
        <f t="shared" si="102"/>
        <v/>
      </c>
      <c r="M262" s="10" t="str">
        <f t="shared" si="103"/>
        <v/>
      </c>
      <c r="N262" s="11" t="str">
        <f t="shared" si="104"/>
        <v/>
      </c>
      <c r="O262" s="10" t="str">
        <f t="shared" si="105"/>
        <v/>
      </c>
      <c r="P262" s="12" t="str">
        <f t="shared" si="106"/>
        <v/>
      </c>
      <c r="Q262" s="10" t="str">
        <f t="shared" si="107"/>
        <v/>
      </c>
      <c r="R262" s="13" t="str">
        <f t="shared" si="108"/>
        <v/>
      </c>
      <c r="S262" s="13" t="str">
        <f t="shared" si="109"/>
        <v/>
      </c>
      <c r="T262" s="22" t="str">
        <f>IF(R262&lt;&gt;"",VLOOKUP(P262,Constants!$D$3:$E$10,2),"")</f>
        <v/>
      </c>
    </row>
    <row r="263" spans="2:20" x14ac:dyDescent="0.25">
      <c r="B263" s="59"/>
      <c r="C263" s="59"/>
      <c r="D263" s="60"/>
      <c r="E263" s="59"/>
      <c r="F263" s="59"/>
      <c r="G263" s="59"/>
      <c r="H263" s="61"/>
      <c r="I263" s="61"/>
      <c r="J263" s="61"/>
      <c r="K263" s="62"/>
      <c r="L263" s="10" t="str">
        <f t="shared" si="102"/>
        <v/>
      </c>
      <c r="M263" s="10" t="str">
        <f t="shared" si="103"/>
        <v/>
      </c>
      <c r="N263" s="11" t="str">
        <f t="shared" si="104"/>
        <v/>
      </c>
      <c r="O263" s="10" t="str">
        <f t="shared" si="105"/>
        <v/>
      </c>
      <c r="P263" s="12" t="str">
        <f t="shared" si="106"/>
        <v/>
      </c>
      <c r="Q263" s="10" t="str">
        <f t="shared" si="107"/>
        <v/>
      </c>
      <c r="R263" s="13" t="str">
        <f t="shared" si="108"/>
        <v/>
      </c>
      <c r="S263" s="13" t="str">
        <f t="shared" si="109"/>
        <v/>
      </c>
      <c r="T263" s="22" t="str">
        <f>IF(R263&lt;&gt;"",VLOOKUP(P263,Constants!$D$3:$E$10,2),"")</f>
        <v/>
      </c>
    </row>
    <row r="264" spans="2:20" x14ac:dyDescent="0.25">
      <c r="B264" s="59"/>
      <c r="C264" s="59"/>
      <c r="D264" s="60"/>
      <c r="E264" s="59"/>
      <c r="F264" s="59"/>
      <c r="G264" s="59"/>
      <c r="H264" s="61"/>
      <c r="I264" s="61"/>
      <c r="J264" s="61"/>
      <c r="K264" s="62"/>
      <c r="L264" s="10" t="str">
        <f t="shared" si="102"/>
        <v/>
      </c>
      <c r="M264" s="10" t="str">
        <f t="shared" si="103"/>
        <v/>
      </c>
      <c r="N264" s="11" t="str">
        <f t="shared" si="104"/>
        <v/>
      </c>
      <c r="O264" s="10" t="str">
        <f t="shared" si="105"/>
        <v/>
      </c>
      <c r="P264" s="12" t="str">
        <f t="shared" si="106"/>
        <v/>
      </c>
      <c r="Q264" s="10" t="str">
        <f t="shared" si="107"/>
        <v/>
      </c>
      <c r="R264" s="13" t="str">
        <f t="shared" si="108"/>
        <v/>
      </c>
      <c r="S264" s="13" t="str">
        <f t="shared" si="109"/>
        <v/>
      </c>
      <c r="T264" s="22" t="str">
        <f>IF(R264&lt;&gt;"",VLOOKUP(P264,Constants!$D$3:$E$10,2),"")</f>
        <v/>
      </c>
    </row>
    <row r="265" spans="2:20" x14ac:dyDescent="0.25">
      <c r="B265" s="59"/>
      <c r="C265" s="59"/>
      <c r="D265" s="60"/>
      <c r="E265" s="59"/>
      <c r="F265" s="59"/>
      <c r="G265" s="59"/>
      <c r="H265" s="61"/>
      <c r="I265" s="61"/>
      <c r="J265" s="61"/>
      <c r="K265" s="62"/>
      <c r="L265" s="10" t="str">
        <f t="shared" si="102"/>
        <v/>
      </c>
      <c r="M265" s="10" t="str">
        <f t="shared" si="103"/>
        <v/>
      </c>
      <c r="N265" s="11" t="str">
        <f t="shared" si="104"/>
        <v/>
      </c>
      <c r="O265" s="10" t="str">
        <f t="shared" si="105"/>
        <v/>
      </c>
      <c r="P265" s="12" t="str">
        <f t="shared" si="106"/>
        <v/>
      </c>
      <c r="Q265" s="10" t="str">
        <f t="shared" si="107"/>
        <v/>
      </c>
      <c r="R265" s="13" t="str">
        <f t="shared" si="108"/>
        <v/>
      </c>
      <c r="S265" s="13" t="str">
        <f t="shared" si="109"/>
        <v/>
      </c>
      <c r="T265" s="22" t="str">
        <f>IF(R265&lt;&gt;"",VLOOKUP(P265,Constants!$D$3:$E$10,2),"")</f>
        <v/>
      </c>
    </row>
    <row r="266" spans="2:20" x14ac:dyDescent="0.25">
      <c r="B266" s="59"/>
      <c r="C266" s="59"/>
      <c r="D266" s="60"/>
      <c r="E266" s="59"/>
      <c r="F266" s="59"/>
      <c r="G266" s="59"/>
      <c r="H266" s="61"/>
      <c r="I266" s="61"/>
      <c r="J266" s="61"/>
      <c r="K266" s="62"/>
      <c r="L266" s="10" t="str">
        <f t="shared" si="102"/>
        <v/>
      </c>
      <c r="M266" s="10" t="str">
        <f t="shared" si="103"/>
        <v/>
      </c>
      <c r="N266" s="11" t="str">
        <f t="shared" si="104"/>
        <v/>
      </c>
      <c r="O266" s="10" t="str">
        <f t="shared" si="105"/>
        <v/>
      </c>
      <c r="P266" s="12" t="str">
        <f t="shared" si="106"/>
        <v/>
      </c>
      <c r="Q266" s="10" t="str">
        <f t="shared" si="107"/>
        <v/>
      </c>
      <c r="R266" s="13" t="str">
        <f t="shared" si="108"/>
        <v/>
      </c>
      <c r="S266" s="13" t="str">
        <f t="shared" si="109"/>
        <v/>
      </c>
      <c r="T266" s="22" t="str">
        <f>IF(R266&lt;&gt;"",VLOOKUP(P266,Constants!$D$3:$E$10,2),"")</f>
        <v/>
      </c>
    </row>
    <row r="267" spans="2:20" x14ac:dyDescent="0.25">
      <c r="B267" s="59"/>
      <c r="C267" s="59"/>
      <c r="D267" s="60"/>
      <c r="E267" s="59"/>
      <c r="F267" s="59"/>
      <c r="G267" s="59"/>
      <c r="H267" s="61"/>
      <c r="I267" s="61"/>
      <c r="J267" s="61"/>
      <c r="K267" s="62"/>
      <c r="L267" s="10" t="str">
        <f t="shared" si="102"/>
        <v/>
      </c>
      <c r="M267" s="10" t="str">
        <f t="shared" si="103"/>
        <v/>
      </c>
      <c r="N267" s="11" t="str">
        <f t="shared" si="104"/>
        <v/>
      </c>
      <c r="O267" s="10" t="str">
        <f t="shared" si="105"/>
        <v/>
      </c>
      <c r="P267" s="12" t="str">
        <f t="shared" si="106"/>
        <v/>
      </c>
      <c r="Q267" s="10" t="str">
        <f t="shared" si="107"/>
        <v/>
      </c>
      <c r="R267" s="13" t="str">
        <f t="shared" si="108"/>
        <v/>
      </c>
      <c r="S267" s="13" t="str">
        <f t="shared" si="109"/>
        <v/>
      </c>
      <c r="T267" s="22" t="str">
        <f>IF(R267&lt;&gt;"",VLOOKUP(P267,Constants!$D$3:$E$10,2),"")</f>
        <v/>
      </c>
    </row>
    <row r="268" spans="2:20" x14ac:dyDescent="0.25">
      <c r="B268" s="59"/>
      <c r="C268" s="59"/>
      <c r="D268" s="60"/>
      <c r="E268" s="59"/>
      <c r="F268" s="59"/>
      <c r="G268" s="59"/>
      <c r="H268" s="61"/>
      <c r="I268" s="61"/>
      <c r="J268" s="61"/>
      <c r="K268" s="62"/>
      <c r="L268" s="10" t="str">
        <f t="shared" si="102"/>
        <v/>
      </c>
      <c r="M268" s="10" t="str">
        <f t="shared" si="103"/>
        <v/>
      </c>
      <c r="N268" s="11" t="str">
        <f t="shared" si="104"/>
        <v/>
      </c>
      <c r="O268" s="10" t="str">
        <f t="shared" si="105"/>
        <v/>
      </c>
      <c r="P268" s="12" t="str">
        <f t="shared" si="106"/>
        <v/>
      </c>
      <c r="Q268" s="10" t="str">
        <f t="shared" si="107"/>
        <v/>
      </c>
      <c r="R268" s="13" t="str">
        <f t="shared" si="108"/>
        <v/>
      </c>
      <c r="S268" s="13" t="str">
        <f t="shared" si="109"/>
        <v/>
      </c>
      <c r="T268" s="22" t="str">
        <f>IF(R268&lt;&gt;"",VLOOKUP(P268,Constants!$D$3:$E$10,2),"")</f>
        <v/>
      </c>
    </row>
    <row r="269" spans="2:20" x14ac:dyDescent="0.25">
      <c r="B269" s="59"/>
      <c r="C269" s="59"/>
      <c r="D269" s="60"/>
      <c r="E269" s="59"/>
      <c r="F269" s="59"/>
      <c r="G269" s="59"/>
      <c r="H269" s="61"/>
      <c r="I269" s="61"/>
      <c r="J269" s="61"/>
      <c r="K269" s="62"/>
      <c r="L269" s="10" t="str">
        <f t="shared" si="102"/>
        <v/>
      </c>
      <c r="M269" s="10" t="str">
        <f t="shared" si="103"/>
        <v/>
      </c>
      <c r="N269" s="11" t="str">
        <f t="shared" si="104"/>
        <v/>
      </c>
      <c r="O269" s="10" t="str">
        <f t="shared" si="105"/>
        <v/>
      </c>
      <c r="P269" s="12" t="str">
        <f t="shared" si="106"/>
        <v/>
      </c>
      <c r="Q269" s="10" t="str">
        <f t="shared" si="107"/>
        <v/>
      </c>
      <c r="R269" s="13" t="str">
        <f t="shared" si="108"/>
        <v/>
      </c>
      <c r="S269" s="13" t="str">
        <f t="shared" si="109"/>
        <v/>
      </c>
      <c r="T269" s="22" t="str">
        <f>IF(R269&lt;&gt;"",VLOOKUP(P269,Constants!$D$3:$E$10,2),"")</f>
        <v/>
      </c>
    </row>
    <row r="270" spans="2:20" x14ac:dyDescent="0.25">
      <c r="B270" s="59"/>
      <c r="C270" s="59"/>
      <c r="D270" s="60"/>
      <c r="E270" s="59"/>
      <c r="F270" s="59"/>
      <c r="G270" s="59"/>
      <c r="H270" s="61"/>
      <c r="I270" s="61"/>
      <c r="J270" s="61"/>
      <c r="K270" s="62"/>
      <c r="L270" s="10" t="str">
        <f t="shared" si="102"/>
        <v/>
      </c>
      <c r="M270" s="10" t="str">
        <f t="shared" si="103"/>
        <v/>
      </c>
      <c r="N270" s="11" t="str">
        <f t="shared" si="104"/>
        <v/>
      </c>
      <c r="O270" s="10" t="str">
        <f t="shared" si="105"/>
        <v/>
      </c>
      <c r="P270" s="12" t="str">
        <f t="shared" si="106"/>
        <v/>
      </c>
      <c r="Q270" s="10" t="str">
        <f t="shared" si="107"/>
        <v/>
      </c>
      <c r="R270" s="13" t="str">
        <f t="shared" si="108"/>
        <v/>
      </c>
      <c r="S270" s="13" t="str">
        <f t="shared" si="109"/>
        <v/>
      </c>
      <c r="T270" s="22" t="str">
        <f>IF(R270&lt;&gt;"",VLOOKUP(P270,Constants!$D$3:$E$10,2),"")</f>
        <v/>
      </c>
    </row>
    <row r="271" spans="2:20" x14ac:dyDescent="0.25">
      <c r="B271" s="59"/>
      <c r="C271" s="59"/>
      <c r="D271" s="60"/>
      <c r="E271" s="59"/>
      <c r="F271" s="59"/>
      <c r="G271" s="59"/>
      <c r="H271" s="61"/>
      <c r="I271" s="61"/>
      <c r="J271" s="61"/>
      <c r="K271" s="62"/>
      <c r="L271" s="10" t="str">
        <f t="shared" si="102"/>
        <v/>
      </c>
      <c r="M271" s="10" t="str">
        <f t="shared" si="103"/>
        <v/>
      </c>
      <c r="N271" s="11" t="str">
        <f t="shared" si="104"/>
        <v/>
      </c>
      <c r="O271" s="10" t="str">
        <f t="shared" si="105"/>
        <v/>
      </c>
      <c r="P271" s="12" t="str">
        <f t="shared" si="106"/>
        <v/>
      </c>
      <c r="Q271" s="10" t="str">
        <f t="shared" si="107"/>
        <v/>
      </c>
      <c r="R271" s="13" t="str">
        <f t="shared" si="108"/>
        <v/>
      </c>
      <c r="S271" s="13" t="str">
        <f t="shared" si="109"/>
        <v/>
      </c>
      <c r="T271" s="22" t="str">
        <f>IF(R271&lt;&gt;"",VLOOKUP(P271,Constants!$D$3:$E$10,2),"")</f>
        <v/>
      </c>
    </row>
    <row r="272" spans="2:20" x14ac:dyDescent="0.25">
      <c r="B272" s="59"/>
      <c r="C272" s="59"/>
      <c r="D272" s="60"/>
      <c r="E272" s="59"/>
      <c r="F272" s="59"/>
      <c r="G272" s="59"/>
      <c r="H272" s="61"/>
      <c r="I272" s="61"/>
      <c r="J272" s="61"/>
      <c r="K272" s="62"/>
      <c r="L272" s="10" t="str">
        <f t="shared" si="102"/>
        <v/>
      </c>
      <c r="M272" s="10" t="str">
        <f t="shared" si="103"/>
        <v/>
      </c>
      <c r="N272" s="11" t="str">
        <f t="shared" si="104"/>
        <v/>
      </c>
      <c r="O272" s="10" t="str">
        <f t="shared" si="105"/>
        <v/>
      </c>
      <c r="P272" s="12" t="str">
        <f t="shared" si="106"/>
        <v/>
      </c>
      <c r="Q272" s="10" t="str">
        <f t="shared" si="107"/>
        <v/>
      </c>
      <c r="R272" s="13" t="str">
        <f t="shared" si="108"/>
        <v/>
      </c>
      <c r="S272" s="13" t="str">
        <f t="shared" si="109"/>
        <v/>
      </c>
      <c r="T272" s="22" t="str">
        <f>IF(R272&lt;&gt;"",VLOOKUP(P272,Constants!$D$3:$E$10,2),"")</f>
        <v/>
      </c>
    </row>
    <row r="273" spans="2:20" x14ac:dyDescent="0.25">
      <c r="B273" s="59"/>
      <c r="C273" s="59"/>
      <c r="D273" s="60"/>
      <c r="E273" s="59"/>
      <c r="F273" s="59"/>
      <c r="G273" s="59"/>
      <c r="H273" s="61"/>
      <c r="I273" s="61"/>
      <c r="J273" s="61"/>
      <c r="K273" s="62"/>
      <c r="L273" s="10" t="str">
        <f t="shared" si="102"/>
        <v/>
      </c>
      <c r="M273" s="10" t="str">
        <f t="shared" si="103"/>
        <v/>
      </c>
      <c r="N273" s="11" t="str">
        <f t="shared" si="104"/>
        <v/>
      </c>
      <c r="O273" s="10" t="str">
        <f t="shared" si="105"/>
        <v/>
      </c>
      <c r="P273" s="12" t="str">
        <f t="shared" si="106"/>
        <v/>
      </c>
      <c r="Q273" s="10" t="str">
        <f t="shared" si="107"/>
        <v/>
      </c>
      <c r="R273" s="13" t="str">
        <f t="shared" si="108"/>
        <v/>
      </c>
      <c r="S273" s="13" t="str">
        <f t="shared" si="109"/>
        <v/>
      </c>
      <c r="T273" s="22" t="str">
        <f>IF(R273&lt;&gt;"",VLOOKUP(P273,Constants!$D$3:$E$10,2),"")</f>
        <v/>
      </c>
    </row>
    <row r="274" spans="2:20" x14ac:dyDescent="0.25">
      <c r="B274" s="59"/>
      <c r="C274" s="59"/>
      <c r="D274" s="60"/>
      <c r="E274" s="59"/>
      <c r="F274" s="59"/>
      <c r="G274" s="59"/>
      <c r="H274" s="61"/>
      <c r="I274" s="61"/>
      <c r="J274" s="61"/>
      <c r="K274" s="62"/>
      <c r="L274" s="10" t="str">
        <f t="shared" ref="L274:L337" si="110">IF($D274&lt;&gt;"",$D274*$E274/1000,"")</f>
        <v/>
      </c>
      <c r="M274" s="10" t="str">
        <f t="shared" ref="M274:M337" si="111">IF($D274&lt;&gt;"",$D274*$F274/1000,"")</f>
        <v/>
      </c>
      <c r="N274" s="11" t="str">
        <f t="shared" ref="N274:N337" si="112">IF($L274&lt;&gt;"",SQRT($L274*$L274+$M274*$M274),"")</f>
        <v/>
      </c>
      <c r="O274" s="10" t="str">
        <f t="shared" si="105"/>
        <v/>
      </c>
      <c r="P274" s="12" t="str">
        <f t="shared" si="106"/>
        <v/>
      </c>
      <c r="Q274" s="10" t="str">
        <f t="shared" si="107"/>
        <v/>
      </c>
      <c r="R274" s="13" t="str">
        <f t="shared" si="108"/>
        <v/>
      </c>
      <c r="S274" s="13" t="str">
        <f t="shared" si="109"/>
        <v/>
      </c>
      <c r="T274" s="22" t="str">
        <f>IF(R274&lt;&gt;"",VLOOKUP(P274,Constants!$D$3:$E$10,2),"")</f>
        <v/>
      </c>
    </row>
    <row r="275" spans="2:20" x14ac:dyDescent="0.25">
      <c r="B275" s="59"/>
      <c r="C275" s="59"/>
      <c r="D275" s="60"/>
      <c r="E275" s="59"/>
      <c r="F275" s="59"/>
      <c r="G275" s="59"/>
      <c r="H275" s="61"/>
      <c r="I275" s="61"/>
      <c r="J275" s="61"/>
      <c r="K275" s="62"/>
      <c r="L275" s="10" t="str">
        <f t="shared" si="110"/>
        <v/>
      </c>
      <c r="M275" s="10" t="str">
        <f t="shared" si="111"/>
        <v/>
      </c>
      <c r="N275" s="11" t="str">
        <f t="shared" si="112"/>
        <v/>
      </c>
      <c r="O275" s="10" t="str">
        <f t="shared" si="105"/>
        <v/>
      </c>
      <c r="P275" s="12" t="str">
        <f t="shared" si="106"/>
        <v/>
      </c>
      <c r="Q275" s="10" t="str">
        <f t="shared" si="107"/>
        <v/>
      </c>
      <c r="R275" s="13" t="str">
        <f t="shared" si="108"/>
        <v/>
      </c>
      <c r="S275" s="13" t="str">
        <f t="shared" si="109"/>
        <v/>
      </c>
      <c r="T275" s="22" t="str">
        <f>IF(R275&lt;&gt;"",VLOOKUP(P275,Constants!$D$3:$E$10,2),"")</f>
        <v/>
      </c>
    </row>
    <row r="276" spans="2:20" x14ac:dyDescent="0.25">
      <c r="B276" s="59"/>
      <c r="C276" s="59"/>
      <c r="D276" s="60"/>
      <c r="E276" s="59"/>
      <c r="F276" s="59"/>
      <c r="G276" s="59"/>
      <c r="H276" s="61"/>
      <c r="I276" s="61"/>
      <c r="J276" s="61"/>
      <c r="K276" s="62"/>
      <c r="L276" s="10" t="str">
        <f t="shared" si="110"/>
        <v/>
      </c>
      <c r="M276" s="10" t="str">
        <f t="shared" si="111"/>
        <v/>
      </c>
      <c r="N276" s="11" t="str">
        <f t="shared" si="112"/>
        <v/>
      </c>
      <c r="O276" s="10" t="str">
        <f t="shared" ref="O276:O339" si="113">IF(D276&lt;&gt;"",1000/(2*D276),"")</f>
        <v/>
      </c>
      <c r="P276" s="12" t="str">
        <f t="shared" ref="P276:P339" si="114">IF($N276&lt;&gt;"",D276*SQRT(E276*E276+F276*F276)/16000,"")</f>
        <v/>
      </c>
      <c r="Q276" s="10" t="str">
        <f t="shared" ref="Q276:Q339" si="115">IF(F276&lt;&gt;"",F276*E276/1000000,"")</f>
        <v/>
      </c>
      <c r="R276" s="13" t="str">
        <f t="shared" ref="R276:R339" si="116">IF(G276&lt;&gt;"",1000/G276,"")</f>
        <v/>
      </c>
      <c r="S276" s="13" t="str">
        <f t="shared" ref="S276:S339" si="117">IF(R276&lt;&gt;"",Q276/R276*1000,"")</f>
        <v/>
      </c>
      <c r="T276" s="22" t="str">
        <f>IF(R276&lt;&gt;"",VLOOKUP(P276,Constants!$D$3:$E$10,2),"")</f>
        <v/>
      </c>
    </row>
    <row r="277" spans="2:20" x14ac:dyDescent="0.25">
      <c r="B277" s="59"/>
      <c r="C277" s="59"/>
      <c r="D277" s="60"/>
      <c r="E277" s="59"/>
      <c r="F277" s="59"/>
      <c r="G277" s="59"/>
      <c r="H277" s="61"/>
      <c r="I277" s="61"/>
      <c r="J277" s="61"/>
      <c r="K277" s="62"/>
      <c r="L277" s="10" t="str">
        <f t="shared" si="110"/>
        <v/>
      </c>
      <c r="M277" s="10" t="str">
        <f t="shared" si="111"/>
        <v/>
      </c>
      <c r="N277" s="11" t="str">
        <f t="shared" si="112"/>
        <v/>
      </c>
      <c r="O277" s="10" t="str">
        <f t="shared" si="113"/>
        <v/>
      </c>
      <c r="P277" s="12" t="str">
        <f t="shared" si="114"/>
        <v/>
      </c>
      <c r="Q277" s="10" t="str">
        <f t="shared" si="115"/>
        <v/>
      </c>
      <c r="R277" s="13" t="str">
        <f t="shared" si="116"/>
        <v/>
      </c>
      <c r="S277" s="13" t="str">
        <f t="shared" si="117"/>
        <v/>
      </c>
      <c r="T277" s="22" t="str">
        <f>IF(R277&lt;&gt;"",VLOOKUP(P277,Constants!$D$3:$E$10,2),"")</f>
        <v/>
      </c>
    </row>
    <row r="278" spans="2:20" x14ac:dyDescent="0.25">
      <c r="B278" s="59"/>
      <c r="C278" s="59"/>
      <c r="D278" s="60"/>
      <c r="E278" s="59"/>
      <c r="F278" s="59"/>
      <c r="G278" s="59"/>
      <c r="H278" s="61"/>
      <c r="I278" s="61"/>
      <c r="J278" s="61"/>
      <c r="K278" s="62"/>
      <c r="L278" s="10" t="str">
        <f t="shared" si="110"/>
        <v/>
      </c>
      <c r="M278" s="10" t="str">
        <f t="shared" si="111"/>
        <v/>
      </c>
      <c r="N278" s="11" t="str">
        <f t="shared" si="112"/>
        <v/>
      </c>
      <c r="O278" s="10" t="str">
        <f t="shared" si="113"/>
        <v/>
      </c>
      <c r="P278" s="12" t="str">
        <f t="shared" si="114"/>
        <v/>
      </c>
      <c r="Q278" s="10" t="str">
        <f t="shared" si="115"/>
        <v/>
      </c>
      <c r="R278" s="13" t="str">
        <f t="shared" si="116"/>
        <v/>
      </c>
      <c r="S278" s="13" t="str">
        <f t="shared" si="117"/>
        <v/>
      </c>
      <c r="T278" s="22" t="str">
        <f>IF(R278&lt;&gt;"",VLOOKUP(P278,Constants!$D$3:$E$10,2),"")</f>
        <v/>
      </c>
    </row>
    <row r="279" spans="2:20" x14ac:dyDescent="0.25">
      <c r="B279" s="59"/>
      <c r="C279" s="59"/>
      <c r="D279" s="60"/>
      <c r="E279" s="59"/>
      <c r="F279" s="59"/>
      <c r="G279" s="59"/>
      <c r="H279" s="61"/>
      <c r="I279" s="61"/>
      <c r="J279" s="61"/>
      <c r="K279" s="62"/>
      <c r="L279" s="10" t="str">
        <f t="shared" si="110"/>
        <v/>
      </c>
      <c r="M279" s="10" t="str">
        <f t="shared" si="111"/>
        <v/>
      </c>
      <c r="N279" s="11" t="str">
        <f t="shared" si="112"/>
        <v/>
      </c>
      <c r="O279" s="10" t="str">
        <f t="shared" si="113"/>
        <v/>
      </c>
      <c r="P279" s="12" t="str">
        <f t="shared" si="114"/>
        <v/>
      </c>
      <c r="Q279" s="10" t="str">
        <f t="shared" si="115"/>
        <v/>
      </c>
      <c r="R279" s="13" t="str">
        <f t="shared" si="116"/>
        <v/>
      </c>
      <c r="S279" s="13" t="str">
        <f t="shared" si="117"/>
        <v/>
      </c>
      <c r="T279" s="22" t="str">
        <f>IF(R279&lt;&gt;"",VLOOKUP(P279,Constants!$D$3:$E$10,2),"")</f>
        <v/>
      </c>
    </row>
    <row r="280" spans="2:20" x14ac:dyDescent="0.25">
      <c r="B280" s="59"/>
      <c r="C280" s="59"/>
      <c r="D280" s="60"/>
      <c r="E280" s="59"/>
      <c r="F280" s="59"/>
      <c r="G280" s="59"/>
      <c r="H280" s="61"/>
      <c r="I280" s="61"/>
      <c r="J280" s="61"/>
      <c r="K280" s="62"/>
      <c r="L280" s="10" t="str">
        <f t="shared" si="110"/>
        <v/>
      </c>
      <c r="M280" s="10" t="str">
        <f t="shared" si="111"/>
        <v/>
      </c>
      <c r="N280" s="11" t="str">
        <f t="shared" si="112"/>
        <v/>
      </c>
      <c r="O280" s="10" t="str">
        <f t="shared" si="113"/>
        <v/>
      </c>
      <c r="P280" s="12" t="str">
        <f t="shared" si="114"/>
        <v/>
      </c>
      <c r="Q280" s="10" t="str">
        <f t="shared" si="115"/>
        <v/>
      </c>
      <c r="R280" s="13" t="str">
        <f t="shared" si="116"/>
        <v/>
      </c>
      <c r="S280" s="13" t="str">
        <f t="shared" si="117"/>
        <v/>
      </c>
      <c r="T280" s="22" t="str">
        <f>IF(R280&lt;&gt;"",VLOOKUP(P280,Constants!$D$3:$E$10,2),"")</f>
        <v/>
      </c>
    </row>
    <row r="281" spans="2:20" x14ac:dyDescent="0.25">
      <c r="B281" s="59"/>
      <c r="C281" s="59"/>
      <c r="D281" s="60"/>
      <c r="E281" s="59"/>
      <c r="F281" s="59"/>
      <c r="G281" s="59"/>
      <c r="H281" s="61"/>
      <c r="I281" s="61"/>
      <c r="J281" s="61"/>
      <c r="K281" s="62"/>
      <c r="L281" s="10" t="str">
        <f t="shared" si="110"/>
        <v/>
      </c>
      <c r="M281" s="10" t="str">
        <f t="shared" si="111"/>
        <v/>
      </c>
      <c r="N281" s="11" t="str">
        <f t="shared" si="112"/>
        <v/>
      </c>
      <c r="O281" s="10" t="str">
        <f t="shared" si="113"/>
        <v/>
      </c>
      <c r="P281" s="12" t="str">
        <f t="shared" si="114"/>
        <v/>
      </c>
      <c r="Q281" s="10" t="str">
        <f t="shared" si="115"/>
        <v/>
      </c>
      <c r="R281" s="13" t="str">
        <f t="shared" si="116"/>
        <v/>
      </c>
      <c r="S281" s="13" t="str">
        <f t="shared" si="117"/>
        <v/>
      </c>
      <c r="T281" s="22" t="str">
        <f>IF(R281&lt;&gt;"",VLOOKUP(P281,Constants!$D$3:$E$10,2),"")</f>
        <v/>
      </c>
    </row>
    <row r="282" spans="2:20" x14ac:dyDescent="0.25">
      <c r="B282" s="59"/>
      <c r="C282" s="59"/>
      <c r="D282" s="60"/>
      <c r="E282" s="59"/>
      <c r="F282" s="59"/>
      <c r="G282" s="59"/>
      <c r="H282" s="61"/>
      <c r="I282" s="61"/>
      <c r="J282" s="61"/>
      <c r="K282" s="62"/>
      <c r="L282" s="10" t="str">
        <f t="shared" si="110"/>
        <v/>
      </c>
      <c r="M282" s="10" t="str">
        <f t="shared" si="111"/>
        <v/>
      </c>
      <c r="N282" s="11" t="str">
        <f t="shared" si="112"/>
        <v/>
      </c>
      <c r="O282" s="10" t="str">
        <f t="shared" si="113"/>
        <v/>
      </c>
      <c r="P282" s="12" t="str">
        <f t="shared" si="114"/>
        <v/>
      </c>
      <c r="Q282" s="10" t="str">
        <f t="shared" si="115"/>
        <v/>
      </c>
      <c r="R282" s="13" t="str">
        <f t="shared" si="116"/>
        <v/>
      </c>
      <c r="S282" s="13" t="str">
        <f t="shared" si="117"/>
        <v/>
      </c>
      <c r="T282" s="22" t="str">
        <f>IF(R282&lt;&gt;"",VLOOKUP(P282,Constants!$D$3:$E$10,2),"")</f>
        <v/>
      </c>
    </row>
    <row r="283" spans="2:20" x14ac:dyDescent="0.25">
      <c r="B283" s="59"/>
      <c r="C283" s="59"/>
      <c r="D283" s="60"/>
      <c r="E283" s="59"/>
      <c r="F283" s="59"/>
      <c r="G283" s="59"/>
      <c r="H283" s="61"/>
      <c r="I283" s="61"/>
      <c r="J283" s="61"/>
      <c r="K283" s="62"/>
      <c r="L283" s="10" t="str">
        <f t="shared" si="110"/>
        <v/>
      </c>
      <c r="M283" s="10" t="str">
        <f t="shared" si="111"/>
        <v/>
      </c>
      <c r="N283" s="11" t="str">
        <f t="shared" si="112"/>
        <v/>
      </c>
      <c r="O283" s="10" t="str">
        <f t="shared" si="113"/>
        <v/>
      </c>
      <c r="P283" s="12" t="str">
        <f t="shared" si="114"/>
        <v/>
      </c>
      <c r="Q283" s="10" t="str">
        <f t="shared" si="115"/>
        <v/>
      </c>
      <c r="R283" s="13" t="str">
        <f t="shared" si="116"/>
        <v/>
      </c>
      <c r="S283" s="13" t="str">
        <f t="shared" si="117"/>
        <v/>
      </c>
      <c r="T283" s="22" t="str">
        <f>IF(R283&lt;&gt;"",VLOOKUP(P283,Constants!$D$3:$E$10,2),"")</f>
        <v/>
      </c>
    </row>
    <row r="284" spans="2:20" x14ac:dyDescent="0.25">
      <c r="B284" s="59"/>
      <c r="C284" s="59"/>
      <c r="D284" s="60"/>
      <c r="E284" s="59"/>
      <c r="F284" s="59"/>
      <c r="G284" s="59"/>
      <c r="H284" s="61"/>
      <c r="I284" s="61"/>
      <c r="J284" s="61"/>
      <c r="K284" s="62"/>
      <c r="L284" s="10" t="str">
        <f t="shared" si="110"/>
        <v/>
      </c>
      <c r="M284" s="10" t="str">
        <f t="shared" si="111"/>
        <v/>
      </c>
      <c r="N284" s="11" t="str">
        <f t="shared" si="112"/>
        <v/>
      </c>
      <c r="O284" s="10" t="str">
        <f t="shared" si="113"/>
        <v/>
      </c>
      <c r="P284" s="12" t="str">
        <f t="shared" si="114"/>
        <v/>
      </c>
      <c r="Q284" s="10" t="str">
        <f t="shared" si="115"/>
        <v/>
      </c>
      <c r="R284" s="13" t="str">
        <f t="shared" si="116"/>
        <v/>
      </c>
      <c r="S284" s="13" t="str">
        <f t="shared" si="117"/>
        <v/>
      </c>
      <c r="T284" s="22" t="str">
        <f>IF(R284&lt;&gt;"",VLOOKUP(P284,Constants!$D$3:$E$10,2),"")</f>
        <v/>
      </c>
    </row>
    <row r="285" spans="2:20" x14ac:dyDescent="0.25">
      <c r="B285" s="59"/>
      <c r="C285" s="59"/>
      <c r="D285" s="60"/>
      <c r="E285" s="59"/>
      <c r="F285" s="59"/>
      <c r="G285" s="59"/>
      <c r="H285" s="61"/>
      <c r="I285" s="61"/>
      <c r="J285" s="61"/>
      <c r="K285" s="62"/>
      <c r="L285" s="10" t="str">
        <f t="shared" si="110"/>
        <v/>
      </c>
      <c r="M285" s="10" t="str">
        <f t="shared" si="111"/>
        <v/>
      </c>
      <c r="N285" s="11" t="str">
        <f t="shared" si="112"/>
        <v/>
      </c>
      <c r="O285" s="10" t="str">
        <f t="shared" si="113"/>
        <v/>
      </c>
      <c r="P285" s="12" t="str">
        <f t="shared" si="114"/>
        <v/>
      </c>
      <c r="Q285" s="10" t="str">
        <f t="shared" si="115"/>
        <v/>
      </c>
      <c r="R285" s="13" t="str">
        <f t="shared" si="116"/>
        <v/>
      </c>
      <c r="S285" s="13" t="str">
        <f t="shared" si="117"/>
        <v/>
      </c>
      <c r="T285" s="22" t="str">
        <f>IF(R285&lt;&gt;"",VLOOKUP(P285,Constants!$D$3:$E$10,2),"")</f>
        <v/>
      </c>
    </row>
    <row r="286" spans="2:20" x14ac:dyDescent="0.25">
      <c r="B286" s="59"/>
      <c r="C286" s="59"/>
      <c r="D286" s="60"/>
      <c r="E286" s="59"/>
      <c r="F286" s="59"/>
      <c r="G286" s="59"/>
      <c r="H286" s="61"/>
      <c r="I286" s="61"/>
      <c r="J286" s="61"/>
      <c r="K286" s="62"/>
      <c r="L286" s="10" t="str">
        <f t="shared" si="110"/>
        <v/>
      </c>
      <c r="M286" s="10" t="str">
        <f t="shared" si="111"/>
        <v/>
      </c>
      <c r="N286" s="11" t="str">
        <f t="shared" si="112"/>
        <v/>
      </c>
      <c r="O286" s="10" t="str">
        <f t="shared" si="113"/>
        <v/>
      </c>
      <c r="P286" s="12" t="str">
        <f t="shared" si="114"/>
        <v/>
      </c>
      <c r="Q286" s="10" t="str">
        <f t="shared" si="115"/>
        <v/>
      </c>
      <c r="R286" s="13" t="str">
        <f t="shared" si="116"/>
        <v/>
      </c>
      <c r="S286" s="13" t="str">
        <f t="shared" si="117"/>
        <v/>
      </c>
      <c r="T286" s="22" t="str">
        <f>IF(R286&lt;&gt;"",VLOOKUP(P286,Constants!$D$3:$E$10,2),"")</f>
        <v/>
      </c>
    </row>
    <row r="287" spans="2:20" x14ac:dyDescent="0.25">
      <c r="B287" s="59"/>
      <c r="C287" s="59"/>
      <c r="D287" s="60"/>
      <c r="E287" s="59"/>
      <c r="F287" s="59"/>
      <c r="G287" s="59"/>
      <c r="H287" s="61"/>
      <c r="I287" s="61"/>
      <c r="J287" s="61"/>
      <c r="K287" s="62"/>
      <c r="L287" s="10" t="str">
        <f t="shared" si="110"/>
        <v/>
      </c>
      <c r="M287" s="10" t="str">
        <f t="shared" si="111"/>
        <v/>
      </c>
      <c r="N287" s="11" t="str">
        <f t="shared" si="112"/>
        <v/>
      </c>
      <c r="O287" s="10" t="str">
        <f t="shared" si="113"/>
        <v/>
      </c>
      <c r="P287" s="12" t="str">
        <f t="shared" si="114"/>
        <v/>
      </c>
      <c r="Q287" s="10" t="str">
        <f t="shared" si="115"/>
        <v/>
      </c>
      <c r="R287" s="13" t="str">
        <f t="shared" si="116"/>
        <v/>
      </c>
      <c r="S287" s="13" t="str">
        <f t="shared" si="117"/>
        <v/>
      </c>
      <c r="T287" s="22" t="str">
        <f>IF(R287&lt;&gt;"",VLOOKUP(P287,Constants!$D$3:$E$10,2),"")</f>
        <v/>
      </c>
    </row>
    <row r="288" spans="2:20" x14ac:dyDescent="0.25">
      <c r="B288" s="59"/>
      <c r="C288" s="59"/>
      <c r="D288" s="60"/>
      <c r="E288" s="59"/>
      <c r="F288" s="59"/>
      <c r="G288" s="59"/>
      <c r="H288" s="61"/>
      <c r="I288" s="61"/>
      <c r="J288" s="61"/>
      <c r="K288" s="62"/>
      <c r="L288" s="10" t="str">
        <f t="shared" si="110"/>
        <v/>
      </c>
      <c r="M288" s="10" t="str">
        <f t="shared" si="111"/>
        <v/>
      </c>
      <c r="N288" s="11" t="str">
        <f t="shared" si="112"/>
        <v/>
      </c>
      <c r="O288" s="10" t="str">
        <f t="shared" si="113"/>
        <v/>
      </c>
      <c r="P288" s="12" t="str">
        <f t="shared" si="114"/>
        <v/>
      </c>
      <c r="Q288" s="10" t="str">
        <f t="shared" si="115"/>
        <v/>
      </c>
      <c r="R288" s="13" t="str">
        <f t="shared" si="116"/>
        <v/>
      </c>
      <c r="S288" s="13" t="str">
        <f t="shared" si="117"/>
        <v/>
      </c>
      <c r="T288" s="22" t="str">
        <f>IF(R288&lt;&gt;"",VLOOKUP(P288,Constants!$D$3:$E$10,2),"")</f>
        <v/>
      </c>
    </row>
    <row r="289" spans="2:20" x14ac:dyDescent="0.25">
      <c r="B289" s="59"/>
      <c r="C289" s="59"/>
      <c r="D289" s="60"/>
      <c r="E289" s="59"/>
      <c r="F289" s="59"/>
      <c r="G289" s="59"/>
      <c r="H289" s="61"/>
      <c r="I289" s="61"/>
      <c r="J289" s="61"/>
      <c r="K289" s="62"/>
      <c r="L289" s="10" t="str">
        <f t="shared" si="110"/>
        <v/>
      </c>
      <c r="M289" s="10" t="str">
        <f t="shared" si="111"/>
        <v/>
      </c>
      <c r="N289" s="11" t="str">
        <f t="shared" si="112"/>
        <v/>
      </c>
      <c r="O289" s="10" t="str">
        <f t="shared" si="113"/>
        <v/>
      </c>
      <c r="P289" s="12" t="str">
        <f t="shared" si="114"/>
        <v/>
      </c>
      <c r="Q289" s="10" t="str">
        <f t="shared" si="115"/>
        <v/>
      </c>
      <c r="R289" s="13" t="str">
        <f t="shared" si="116"/>
        <v/>
      </c>
      <c r="S289" s="13" t="str">
        <f t="shared" si="117"/>
        <v/>
      </c>
      <c r="T289" s="22" t="str">
        <f>IF(R289&lt;&gt;"",VLOOKUP(P289,Constants!$D$3:$E$10,2),"")</f>
        <v/>
      </c>
    </row>
    <row r="290" spans="2:20" x14ac:dyDescent="0.25">
      <c r="B290" s="59"/>
      <c r="C290" s="59"/>
      <c r="D290" s="60"/>
      <c r="E290" s="59"/>
      <c r="F290" s="59"/>
      <c r="G290" s="59"/>
      <c r="H290" s="61"/>
      <c r="I290" s="61"/>
      <c r="J290" s="61"/>
      <c r="K290" s="62"/>
      <c r="L290" s="10" t="str">
        <f t="shared" si="110"/>
        <v/>
      </c>
      <c r="M290" s="10" t="str">
        <f t="shared" si="111"/>
        <v/>
      </c>
      <c r="N290" s="11" t="str">
        <f t="shared" si="112"/>
        <v/>
      </c>
      <c r="O290" s="10" t="str">
        <f t="shared" si="113"/>
        <v/>
      </c>
      <c r="P290" s="12" t="str">
        <f t="shared" si="114"/>
        <v/>
      </c>
      <c r="Q290" s="10" t="str">
        <f t="shared" si="115"/>
        <v/>
      </c>
      <c r="R290" s="13" t="str">
        <f t="shared" si="116"/>
        <v/>
      </c>
      <c r="S290" s="13" t="str">
        <f t="shared" si="117"/>
        <v/>
      </c>
      <c r="T290" s="22" t="str">
        <f>IF(R290&lt;&gt;"",VLOOKUP(P290,Constants!$D$3:$E$10,2),"")</f>
        <v/>
      </c>
    </row>
    <row r="291" spans="2:20" x14ac:dyDescent="0.25">
      <c r="B291" s="59"/>
      <c r="C291" s="59"/>
      <c r="D291" s="60"/>
      <c r="E291" s="59"/>
      <c r="F291" s="59"/>
      <c r="G291" s="59"/>
      <c r="H291" s="61"/>
      <c r="I291" s="61"/>
      <c r="J291" s="61"/>
      <c r="K291" s="62"/>
      <c r="L291" s="10" t="str">
        <f t="shared" si="110"/>
        <v/>
      </c>
      <c r="M291" s="10" t="str">
        <f t="shared" si="111"/>
        <v/>
      </c>
      <c r="N291" s="11" t="str">
        <f t="shared" si="112"/>
        <v/>
      </c>
      <c r="O291" s="10" t="str">
        <f t="shared" si="113"/>
        <v/>
      </c>
      <c r="P291" s="12" t="str">
        <f t="shared" si="114"/>
        <v/>
      </c>
      <c r="Q291" s="10" t="str">
        <f t="shared" si="115"/>
        <v/>
      </c>
      <c r="R291" s="13" t="str">
        <f t="shared" si="116"/>
        <v/>
      </c>
      <c r="S291" s="13" t="str">
        <f t="shared" si="117"/>
        <v/>
      </c>
      <c r="T291" s="22" t="str">
        <f>IF(R291&lt;&gt;"",VLOOKUP(P291,Constants!$D$3:$E$10,2),"")</f>
        <v/>
      </c>
    </row>
    <row r="292" spans="2:20" x14ac:dyDescent="0.25">
      <c r="B292" s="59"/>
      <c r="C292" s="59"/>
      <c r="D292" s="60"/>
      <c r="E292" s="59"/>
      <c r="F292" s="59"/>
      <c r="G292" s="59"/>
      <c r="H292" s="61"/>
      <c r="I292" s="61"/>
      <c r="J292" s="61"/>
      <c r="K292" s="62"/>
      <c r="L292" s="10" t="str">
        <f t="shared" si="110"/>
        <v/>
      </c>
      <c r="M292" s="10" t="str">
        <f t="shared" si="111"/>
        <v/>
      </c>
      <c r="N292" s="11" t="str">
        <f t="shared" si="112"/>
        <v/>
      </c>
      <c r="O292" s="10" t="str">
        <f t="shared" si="113"/>
        <v/>
      </c>
      <c r="P292" s="12" t="str">
        <f t="shared" si="114"/>
        <v/>
      </c>
      <c r="Q292" s="10" t="str">
        <f t="shared" si="115"/>
        <v/>
      </c>
      <c r="R292" s="13" t="str">
        <f t="shared" si="116"/>
        <v/>
      </c>
      <c r="S292" s="13" t="str">
        <f t="shared" si="117"/>
        <v/>
      </c>
      <c r="T292" s="22" t="str">
        <f>IF(R292&lt;&gt;"",VLOOKUP(P292,Constants!$D$3:$E$10,2),"")</f>
        <v/>
      </c>
    </row>
    <row r="293" spans="2:20" x14ac:dyDescent="0.25">
      <c r="B293" s="59"/>
      <c r="C293" s="59"/>
      <c r="D293" s="60"/>
      <c r="E293" s="59"/>
      <c r="F293" s="59"/>
      <c r="G293" s="59"/>
      <c r="H293" s="61"/>
      <c r="I293" s="61"/>
      <c r="J293" s="61"/>
      <c r="K293" s="62"/>
      <c r="L293" s="10" t="str">
        <f t="shared" si="110"/>
        <v/>
      </c>
      <c r="M293" s="10" t="str">
        <f t="shared" si="111"/>
        <v/>
      </c>
      <c r="N293" s="11" t="str">
        <f t="shared" si="112"/>
        <v/>
      </c>
      <c r="O293" s="10" t="str">
        <f t="shared" si="113"/>
        <v/>
      </c>
      <c r="P293" s="12" t="str">
        <f t="shared" si="114"/>
        <v/>
      </c>
      <c r="Q293" s="10" t="str">
        <f t="shared" si="115"/>
        <v/>
      </c>
      <c r="R293" s="13" t="str">
        <f t="shared" si="116"/>
        <v/>
      </c>
      <c r="S293" s="13" t="str">
        <f t="shared" si="117"/>
        <v/>
      </c>
      <c r="T293" s="22" t="str">
        <f>IF(R293&lt;&gt;"",VLOOKUP(P293,Constants!$D$3:$E$10,2),"")</f>
        <v/>
      </c>
    </row>
    <row r="294" spans="2:20" x14ac:dyDescent="0.25">
      <c r="B294" s="59"/>
      <c r="C294" s="59"/>
      <c r="D294" s="60"/>
      <c r="E294" s="59"/>
      <c r="F294" s="59"/>
      <c r="G294" s="59"/>
      <c r="H294" s="61"/>
      <c r="I294" s="61"/>
      <c r="J294" s="61"/>
      <c r="K294" s="62"/>
      <c r="L294" s="10" t="str">
        <f t="shared" si="110"/>
        <v/>
      </c>
      <c r="M294" s="10" t="str">
        <f t="shared" si="111"/>
        <v/>
      </c>
      <c r="N294" s="11" t="str">
        <f t="shared" si="112"/>
        <v/>
      </c>
      <c r="O294" s="10" t="str">
        <f t="shared" si="113"/>
        <v/>
      </c>
      <c r="P294" s="12" t="str">
        <f t="shared" si="114"/>
        <v/>
      </c>
      <c r="Q294" s="10" t="str">
        <f t="shared" si="115"/>
        <v/>
      </c>
      <c r="R294" s="13" t="str">
        <f t="shared" si="116"/>
        <v/>
      </c>
      <c r="S294" s="13" t="str">
        <f t="shared" si="117"/>
        <v/>
      </c>
      <c r="T294" s="22" t="str">
        <f>IF(R294&lt;&gt;"",VLOOKUP(P294,Constants!$D$3:$E$10,2),"")</f>
        <v/>
      </c>
    </row>
    <row r="295" spans="2:20" x14ac:dyDescent="0.25">
      <c r="B295" s="59"/>
      <c r="C295" s="59"/>
      <c r="D295" s="60"/>
      <c r="E295" s="59"/>
      <c r="F295" s="59"/>
      <c r="G295" s="59"/>
      <c r="H295" s="61"/>
      <c r="I295" s="61"/>
      <c r="J295" s="61"/>
      <c r="K295" s="62"/>
      <c r="L295" s="10" t="str">
        <f t="shared" si="110"/>
        <v/>
      </c>
      <c r="M295" s="10" t="str">
        <f t="shared" si="111"/>
        <v/>
      </c>
      <c r="N295" s="11" t="str">
        <f t="shared" si="112"/>
        <v/>
      </c>
      <c r="O295" s="10" t="str">
        <f t="shared" si="113"/>
        <v/>
      </c>
      <c r="P295" s="12" t="str">
        <f t="shared" si="114"/>
        <v/>
      </c>
      <c r="Q295" s="10" t="str">
        <f t="shared" si="115"/>
        <v/>
      </c>
      <c r="R295" s="13" t="str">
        <f t="shared" si="116"/>
        <v/>
      </c>
      <c r="S295" s="13" t="str">
        <f t="shared" si="117"/>
        <v/>
      </c>
      <c r="T295" s="22" t="str">
        <f>IF(R295&lt;&gt;"",VLOOKUP(P295,Constants!$D$3:$E$10,2),"")</f>
        <v/>
      </c>
    </row>
    <row r="296" spans="2:20" x14ac:dyDescent="0.25">
      <c r="B296" s="59"/>
      <c r="C296" s="59"/>
      <c r="D296" s="60"/>
      <c r="E296" s="59"/>
      <c r="F296" s="59"/>
      <c r="G296" s="59"/>
      <c r="H296" s="61"/>
      <c r="I296" s="61"/>
      <c r="J296" s="61"/>
      <c r="K296" s="62"/>
      <c r="L296" s="10" t="str">
        <f t="shared" si="110"/>
        <v/>
      </c>
      <c r="M296" s="10" t="str">
        <f t="shared" si="111"/>
        <v/>
      </c>
      <c r="N296" s="11" t="str">
        <f t="shared" si="112"/>
        <v/>
      </c>
      <c r="O296" s="10" t="str">
        <f t="shared" si="113"/>
        <v/>
      </c>
      <c r="P296" s="12" t="str">
        <f t="shared" si="114"/>
        <v/>
      </c>
      <c r="Q296" s="10" t="str">
        <f t="shared" si="115"/>
        <v/>
      </c>
      <c r="R296" s="13" t="str">
        <f t="shared" si="116"/>
        <v/>
      </c>
      <c r="S296" s="13" t="str">
        <f t="shared" si="117"/>
        <v/>
      </c>
      <c r="T296" s="22" t="str">
        <f>IF(R296&lt;&gt;"",VLOOKUP(P296,Constants!$D$3:$E$10,2),"")</f>
        <v/>
      </c>
    </row>
    <row r="297" spans="2:20" x14ac:dyDescent="0.25">
      <c r="B297" s="59"/>
      <c r="C297" s="59"/>
      <c r="D297" s="60"/>
      <c r="E297" s="59"/>
      <c r="F297" s="59"/>
      <c r="G297" s="59"/>
      <c r="H297" s="61"/>
      <c r="I297" s="61"/>
      <c r="J297" s="61"/>
      <c r="K297" s="62"/>
      <c r="L297" s="10" t="str">
        <f t="shared" si="110"/>
        <v/>
      </c>
      <c r="M297" s="10" t="str">
        <f t="shared" si="111"/>
        <v/>
      </c>
      <c r="N297" s="11" t="str">
        <f t="shared" si="112"/>
        <v/>
      </c>
      <c r="O297" s="10" t="str">
        <f t="shared" si="113"/>
        <v/>
      </c>
      <c r="P297" s="12" t="str">
        <f t="shared" si="114"/>
        <v/>
      </c>
      <c r="Q297" s="10" t="str">
        <f t="shared" si="115"/>
        <v/>
      </c>
      <c r="R297" s="13" t="str">
        <f t="shared" si="116"/>
        <v/>
      </c>
      <c r="S297" s="13" t="str">
        <f t="shared" si="117"/>
        <v/>
      </c>
      <c r="T297" s="22" t="str">
        <f>IF(R297&lt;&gt;"",VLOOKUP(P297,Constants!$D$3:$E$10,2),"")</f>
        <v/>
      </c>
    </row>
    <row r="298" spans="2:20" x14ac:dyDescent="0.25">
      <c r="B298" s="59"/>
      <c r="C298" s="59"/>
      <c r="D298" s="60"/>
      <c r="E298" s="59"/>
      <c r="F298" s="59"/>
      <c r="G298" s="59"/>
      <c r="H298" s="61"/>
      <c r="I298" s="61"/>
      <c r="J298" s="61"/>
      <c r="K298" s="62"/>
      <c r="L298" s="10" t="str">
        <f t="shared" si="110"/>
        <v/>
      </c>
      <c r="M298" s="10" t="str">
        <f t="shared" si="111"/>
        <v/>
      </c>
      <c r="N298" s="11" t="str">
        <f t="shared" si="112"/>
        <v/>
      </c>
      <c r="O298" s="10" t="str">
        <f t="shared" si="113"/>
        <v/>
      </c>
      <c r="P298" s="12" t="str">
        <f t="shared" si="114"/>
        <v/>
      </c>
      <c r="Q298" s="10" t="str">
        <f t="shared" si="115"/>
        <v/>
      </c>
      <c r="R298" s="13" t="str">
        <f t="shared" si="116"/>
        <v/>
      </c>
      <c r="S298" s="13" t="str">
        <f t="shared" si="117"/>
        <v/>
      </c>
      <c r="T298" s="22" t="str">
        <f>IF(R298&lt;&gt;"",VLOOKUP(P298,Constants!$D$3:$E$10,2),"")</f>
        <v/>
      </c>
    </row>
    <row r="299" spans="2:20" x14ac:dyDescent="0.25">
      <c r="B299" s="59"/>
      <c r="C299" s="59"/>
      <c r="D299" s="60"/>
      <c r="E299" s="59"/>
      <c r="F299" s="59"/>
      <c r="G299" s="59"/>
      <c r="H299" s="61"/>
      <c r="I299" s="61"/>
      <c r="J299" s="61"/>
      <c r="K299" s="62"/>
      <c r="L299" s="10" t="str">
        <f t="shared" si="110"/>
        <v/>
      </c>
      <c r="M299" s="10" t="str">
        <f t="shared" si="111"/>
        <v/>
      </c>
      <c r="N299" s="11" t="str">
        <f t="shared" si="112"/>
        <v/>
      </c>
      <c r="O299" s="10" t="str">
        <f t="shared" si="113"/>
        <v/>
      </c>
      <c r="P299" s="12" t="str">
        <f t="shared" si="114"/>
        <v/>
      </c>
      <c r="Q299" s="10" t="str">
        <f t="shared" si="115"/>
        <v/>
      </c>
      <c r="R299" s="13" t="str">
        <f t="shared" si="116"/>
        <v/>
      </c>
      <c r="S299" s="13" t="str">
        <f t="shared" si="117"/>
        <v/>
      </c>
      <c r="T299" s="22" t="str">
        <f>IF(R299&lt;&gt;"",VLOOKUP(P299,Constants!$D$3:$E$10,2),"")</f>
        <v/>
      </c>
    </row>
    <row r="300" spans="2:20" x14ac:dyDescent="0.25">
      <c r="B300" s="59"/>
      <c r="C300" s="59"/>
      <c r="D300" s="60"/>
      <c r="E300" s="59"/>
      <c r="F300" s="59"/>
      <c r="G300" s="59"/>
      <c r="H300" s="61"/>
      <c r="I300" s="61"/>
      <c r="J300" s="61"/>
      <c r="K300" s="62"/>
      <c r="L300" s="10" t="str">
        <f t="shared" si="110"/>
        <v/>
      </c>
      <c r="M300" s="10" t="str">
        <f t="shared" si="111"/>
        <v/>
      </c>
      <c r="N300" s="11" t="str">
        <f t="shared" si="112"/>
        <v/>
      </c>
      <c r="O300" s="10" t="str">
        <f t="shared" si="113"/>
        <v/>
      </c>
      <c r="P300" s="12" t="str">
        <f t="shared" si="114"/>
        <v/>
      </c>
      <c r="Q300" s="10" t="str">
        <f t="shared" si="115"/>
        <v/>
      </c>
      <c r="R300" s="13" t="str">
        <f t="shared" si="116"/>
        <v/>
      </c>
      <c r="S300" s="13" t="str">
        <f t="shared" si="117"/>
        <v/>
      </c>
      <c r="T300" s="22" t="str">
        <f>IF(R300&lt;&gt;"",VLOOKUP(P300,Constants!$D$3:$E$10,2),"")</f>
        <v/>
      </c>
    </row>
    <row r="301" spans="2:20" x14ac:dyDescent="0.25">
      <c r="B301" s="59"/>
      <c r="C301" s="59"/>
      <c r="D301" s="60"/>
      <c r="E301" s="59"/>
      <c r="F301" s="59"/>
      <c r="G301" s="59"/>
      <c r="H301" s="61"/>
      <c r="I301" s="61"/>
      <c r="J301" s="61"/>
      <c r="K301" s="62"/>
      <c r="L301" s="10" t="str">
        <f t="shared" si="110"/>
        <v/>
      </c>
      <c r="M301" s="10" t="str">
        <f t="shared" si="111"/>
        <v/>
      </c>
      <c r="N301" s="11" t="str">
        <f t="shared" si="112"/>
        <v/>
      </c>
      <c r="O301" s="10" t="str">
        <f t="shared" si="113"/>
        <v/>
      </c>
      <c r="P301" s="12" t="str">
        <f t="shared" si="114"/>
        <v/>
      </c>
      <c r="Q301" s="10" t="str">
        <f t="shared" si="115"/>
        <v/>
      </c>
      <c r="R301" s="13" t="str">
        <f t="shared" si="116"/>
        <v/>
      </c>
      <c r="S301" s="13" t="str">
        <f t="shared" si="117"/>
        <v/>
      </c>
      <c r="T301" s="22" t="str">
        <f>IF(R301&lt;&gt;"",VLOOKUP(P301,Constants!$D$3:$E$10,2),"")</f>
        <v/>
      </c>
    </row>
    <row r="302" spans="2:20" x14ac:dyDescent="0.25">
      <c r="B302" s="59"/>
      <c r="C302" s="59"/>
      <c r="D302" s="60"/>
      <c r="E302" s="59"/>
      <c r="F302" s="59"/>
      <c r="G302" s="59"/>
      <c r="H302" s="61"/>
      <c r="I302" s="61"/>
      <c r="J302" s="61"/>
      <c r="K302" s="62"/>
      <c r="L302" s="10" t="str">
        <f t="shared" si="110"/>
        <v/>
      </c>
      <c r="M302" s="10" t="str">
        <f t="shared" si="111"/>
        <v/>
      </c>
      <c r="N302" s="11" t="str">
        <f t="shared" si="112"/>
        <v/>
      </c>
      <c r="O302" s="10" t="str">
        <f t="shared" si="113"/>
        <v/>
      </c>
      <c r="P302" s="12" t="str">
        <f t="shared" si="114"/>
        <v/>
      </c>
      <c r="Q302" s="10" t="str">
        <f t="shared" si="115"/>
        <v/>
      </c>
      <c r="R302" s="13" t="str">
        <f t="shared" si="116"/>
        <v/>
      </c>
      <c r="S302" s="13" t="str">
        <f t="shared" si="117"/>
        <v/>
      </c>
      <c r="T302" s="22" t="str">
        <f>IF(R302&lt;&gt;"",VLOOKUP(P302,Constants!$D$3:$E$10,2),"")</f>
        <v/>
      </c>
    </row>
    <row r="303" spans="2:20" x14ac:dyDescent="0.25">
      <c r="B303" s="59"/>
      <c r="C303" s="59"/>
      <c r="D303" s="60"/>
      <c r="E303" s="59"/>
      <c r="F303" s="59"/>
      <c r="G303" s="59"/>
      <c r="H303" s="61"/>
      <c r="I303" s="61"/>
      <c r="J303" s="61"/>
      <c r="K303" s="62"/>
      <c r="L303" s="10" t="str">
        <f t="shared" si="110"/>
        <v/>
      </c>
      <c r="M303" s="10" t="str">
        <f t="shared" si="111"/>
        <v/>
      </c>
      <c r="N303" s="11" t="str">
        <f t="shared" si="112"/>
        <v/>
      </c>
      <c r="O303" s="10" t="str">
        <f t="shared" si="113"/>
        <v/>
      </c>
      <c r="P303" s="12" t="str">
        <f t="shared" si="114"/>
        <v/>
      </c>
      <c r="Q303" s="10" t="str">
        <f t="shared" si="115"/>
        <v/>
      </c>
      <c r="R303" s="13" t="str">
        <f t="shared" si="116"/>
        <v/>
      </c>
      <c r="S303" s="13" t="str">
        <f t="shared" si="117"/>
        <v/>
      </c>
      <c r="T303" s="22" t="str">
        <f>IF(R303&lt;&gt;"",VLOOKUP(P303,Constants!$D$3:$E$10,2),"")</f>
        <v/>
      </c>
    </row>
    <row r="304" spans="2:20" x14ac:dyDescent="0.25">
      <c r="B304" s="59"/>
      <c r="C304" s="59"/>
      <c r="D304" s="60"/>
      <c r="E304" s="59"/>
      <c r="F304" s="59"/>
      <c r="G304" s="59"/>
      <c r="H304" s="61"/>
      <c r="I304" s="61"/>
      <c r="J304" s="61"/>
      <c r="K304" s="62"/>
      <c r="L304" s="10" t="str">
        <f t="shared" si="110"/>
        <v/>
      </c>
      <c r="M304" s="10" t="str">
        <f t="shared" si="111"/>
        <v/>
      </c>
      <c r="N304" s="11" t="str">
        <f t="shared" si="112"/>
        <v/>
      </c>
      <c r="O304" s="10" t="str">
        <f t="shared" si="113"/>
        <v/>
      </c>
      <c r="P304" s="12" t="str">
        <f t="shared" si="114"/>
        <v/>
      </c>
      <c r="Q304" s="10" t="str">
        <f t="shared" si="115"/>
        <v/>
      </c>
      <c r="R304" s="13" t="str">
        <f t="shared" si="116"/>
        <v/>
      </c>
      <c r="S304" s="13" t="str">
        <f t="shared" si="117"/>
        <v/>
      </c>
      <c r="T304" s="22" t="str">
        <f>IF(R304&lt;&gt;"",VLOOKUP(P304,Constants!$D$3:$E$10,2),"")</f>
        <v/>
      </c>
    </row>
    <row r="305" spans="2:20" x14ac:dyDescent="0.25">
      <c r="B305" s="59"/>
      <c r="C305" s="59"/>
      <c r="D305" s="60"/>
      <c r="E305" s="59"/>
      <c r="F305" s="59"/>
      <c r="G305" s="59"/>
      <c r="H305" s="61"/>
      <c r="I305" s="61"/>
      <c r="J305" s="61"/>
      <c r="K305" s="62"/>
      <c r="L305" s="10" t="str">
        <f t="shared" si="110"/>
        <v/>
      </c>
      <c r="M305" s="10" t="str">
        <f t="shared" si="111"/>
        <v/>
      </c>
      <c r="N305" s="11" t="str">
        <f t="shared" si="112"/>
        <v/>
      </c>
      <c r="O305" s="10" t="str">
        <f t="shared" si="113"/>
        <v/>
      </c>
      <c r="P305" s="12" t="str">
        <f t="shared" si="114"/>
        <v/>
      </c>
      <c r="Q305" s="10" t="str">
        <f t="shared" si="115"/>
        <v/>
      </c>
      <c r="R305" s="13" t="str">
        <f t="shared" si="116"/>
        <v/>
      </c>
      <c r="S305" s="13" t="str">
        <f t="shared" si="117"/>
        <v/>
      </c>
      <c r="T305" s="22" t="str">
        <f>IF(R305&lt;&gt;"",VLOOKUP(P305,Constants!$D$3:$E$10,2),"")</f>
        <v/>
      </c>
    </row>
    <row r="306" spans="2:20" x14ac:dyDescent="0.25">
      <c r="B306" s="59"/>
      <c r="C306" s="59"/>
      <c r="D306" s="60"/>
      <c r="E306" s="59"/>
      <c r="F306" s="59"/>
      <c r="G306" s="59"/>
      <c r="H306" s="61"/>
      <c r="I306" s="61"/>
      <c r="J306" s="61"/>
      <c r="K306" s="62"/>
      <c r="L306" s="10" t="str">
        <f t="shared" si="110"/>
        <v/>
      </c>
      <c r="M306" s="10" t="str">
        <f t="shared" si="111"/>
        <v/>
      </c>
      <c r="N306" s="11" t="str">
        <f t="shared" si="112"/>
        <v/>
      </c>
      <c r="O306" s="10" t="str">
        <f t="shared" si="113"/>
        <v/>
      </c>
      <c r="P306" s="12" t="str">
        <f t="shared" si="114"/>
        <v/>
      </c>
      <c r="Q306" s="10" t="str">
        <f t="shared" si="115"/>
        <v/>
      </c>
      <c r="R306" s="13" t="str">
        <f t="shared" si="116"/>
        <v/>
      </c>
      <c r="S306" s="13" t="str">
        <f t="shared" si="117"/>
        <v/>
      </c>
      <c r="T306" s="22" t="str">
        <f>IF(R306&lt;&gt;"",VLOOKUP(P306,Constants!$D$3:$E$10,2),"")</f>
        <v/>
      </c>
    </row>
    <row r="307" spans="2:20" x14ac:dyDescent="0.25">
      <c r="B307" s="59"/>
      <c r="C307" s="59"/>
      <c r="D307" s="60"/>
      <c r="E307" s="59"/>
      <c r="F307" s="59"/>
      <c r="G307" s="59"/>
      <c r="H307" s="61"/>
      <c r="I307" s="61"/>
      <c r="J307" s="61"/>
      <c r="K307" s="62"/>
      <c r="L307" s="10" t="str">
        <f t="shared" si="110"/>
        <v/>
      </c>
      <c r="M307" s="10" t="str">
        <f t="shared" si="111"/>
        <v/>
      </c>
      <c r="N307" s="11" t="str">
        <f t="shared" si="112"/>
        <v/>
      </c>
      <c r="O307" s="10" t="str">
        <f t="shared" si="113"/>
        <v/>
      </c>
      <c r="P307" s="12" t="str">
        <f t="shared" si="114"/>
        <v/>
      </c>
      <c r="Q307" s="10" t="str">
        <f t="shared" si="115"/>
        <v/>
      </c>
      <c r="R307" s="13" t="str">
        <f t="shared" si="116"/>
        <v/>
      </c>
      <c r="S307" s="13" t="str">
        <f t="shared" si="117"/>
        <v/>
      </c>
      <c r="T307" s="22" t="str">
        <f>IF(R307&lt;&gt;"",VLOOKUP(P307,Constants!$D$3:$E$10,2),"")</f>
        <v/>
      </c>
    </row>
    <row r="308" spans="2:20" x14ac:dyDescent="0.25">
      <c r="B308" s="59"/>
      <c r="C308" s="59"/>
      <c r="D308" s="60"/>
      <c r="E308" s="59"/>
      <c r="F308" s="59"/>
      <c r="G308" s="59"/>
      <c r="H308" s="61"/>
      <c r="I308" s="61"/>
      <c r="J308" s="61"/>
      <c r="K308" s="62"/>
      <c r="L308" s="10" t="str">
        <f t="shared" si="110"/>
        <v/>
      </c>
      <c r="M308" s="10" t="str">
        <f t="shared" si="111"/>
        <v/>
      </c>
      <c r="N308" s="11" t="str">
        <f t="shared" si="112"/>
        <v/>
      </c>
      <c r="O308" s="10" t="str">
        <f t="shared" si="113"/>
        <v/>
      </c>
      <c r="P308" s="12" t="str">
        <f t="shared" si="114"/>
        <v/>
      </c>
      <c r="Q308" s="10" t="str">
        <f t="shared" si="115"/>
        <v/>
      </c>
      <c r="R308" s="13" t="str">
        <f t="shared" si="116"/>
        <v/>
      </c>
      <c r="S308" s="13" t="str">
        <f t="shared" si="117"/>
        <v/>
      </c>
      <c r="T308" s="22" t="str">
        <f>IF(R308&lt;&gt;"",VLOOKUP(P308,Constants!$D$3:$E$10,2),"")</f>
        <v/>
      </c>
    </row>
    <row r="309" spans="2:20" x14ac:dyDescent="0.25">
      <c r="B309" s="59"/>
      <c r="C309" s="59"/>
      <c r="D309" s="60"/>
      <c r="E309" s="59"/>
      <c r="F309" s="59"/>
      <c r="G309" s="59"/>
      <c r="H309" s="61"/>
      <c r="I309" s="61"/>
      <c r="J309" s="61"/>
      <c r="K309" s="62"/>
      <c r="L309" s="10" t="str">
        <f t="shared" si="110"/>
        <v/>
      </c>
      <c r="M309" s="10" t="str">
        <f t="shared" si="111"/>
        <v/>
      </c>
      <c r="N309" s="11" t="str">
        <f t="shared" si="112"/>
        <v/>
      </c>
      <c r="O309" s="10" t="str">
        <f t="shared" si="113"/>
        <v/>
      </c>
      <c r="P309" s="12" t="str">
        <f t="shared" si="114"/>
        <v/>
      </c>
      <c r="Q309" s="10" t="str">
        <f t="shared" si="115"/>
        <v/>
      </c>
      <c r="R309" s="13" t="str">
        <f t="shared" si="116"/>
        <v/>
      </c>
      <c r="S309" s="13" t="str">
        <f t="shared" si="117"/>
        <v/>
      </c>
      <c r="T309" s="22" t="str">
        <f>IF(R309&lt;&gt;"",VLOOKUP(P309,Constants!$D$3:$E$10,2),"")</f>
        <v/>
      </c>
    </row>
    <row r="310" spans="2:20" x14ac:dyDescent="0.25">
      <c r="B310" s="59"/>
      <c r="C310" s="59"/>
      <c r="D310" s="60"/>
      <c r="E310" s="59"/>
      <c r="F310" s="59"/>
      <c r="G310" s="59"/>
      <c r="H310" s="61"/>
      <c r="I310" s="61"/>
      <c r="J310" s="61"/>
      <c r="K310" s="62"/>
      <c r="L310" s="10" t="str">
        <f t="shared" si="110"/>
        <v/>
      </c>
      <c r="M310" s="10" t="str">
        <f t="shared" si="111"/>
        <v/>
      </c>
      <c r="N310" s="11" t="str">
        <f t="shared" si="112"/>
        <v/>
      </c>
      <c r="O310" s="10" t="str">
        <f t="shared" si="113"/>
        <v/>
      </c>
      <c r="P310" s="12" t="str">
        <f t="shared" si="114"/>
        <v/>
      </c>
      <c r="Q310" s="10" t="str">
        <f t="shared" si="115"/>
        <v/>
      </c>
      <c r="R310" s="13" t="str">
        <f t="shared" si="116"/>
        <v/>
      </c>
      <c r="S310" s="13" t="str">
        <f t="shared" si="117"/>
        <v/>
      </c>
      <c r="T310" s="22" t="str">
        <f>IF(R310&lt;&gt;"",VLOOKUP(P310,Constants!$D$3:$E$10,2),"")</f>
        <v/>
      </c>
    </row>
    <row r="311" spans="2:20" x14ac:dyDescent="0.25">
      <c r="B311" s="59"/>
      <c r="C311" s="59"/>
      <c r="D311" s="60"/>
      <c r="E311" s="59"/>
      <c r="F311" s="59"/>
      <c r="G311" s="59"/>
      <c r="H311" s="61"/>
      <c r="I311" s="61"/>
      <c r="J311" s="61"/>
      <c r="K311" s="62"/>
      <c r="L311" s="10" t="str">
        <f t="shared" si="110"/>
        <v/>
      </c>
      <c r="M311" s="10" t="str">
        <f t="shared" si="111"/>
        <v/>
      </c>
      <c r="N311" s="11" t="str">
        <f t="shared" si="112"/>
        <v/>
      </c>
      <c r="O311" s="10" t="str">
        <f t="shared" si="113"/>
        <v/>
      </c>
      <c r="P311" s="12" t="str">
        <f t="shared" si="114"/>
        <v/>
      </c>
      <c r="Q311" s="10" t="str">
        <f t="shared" si="115"/>
        <v/>
      </c>
      <c r="R311" s="13" t="str">
        <f t="shared" si="116"/>
        <v/>
      </c>
      <c r="S311" s="13" t="str">
        <f t="shared" si="117"/>
        <v/>
      </c>
      <c r="T311" s="22" t="str">
        <f>IF(R311&lt;&gt;"",VLOOKUP(P311,Constants!$D$3:$E$10,2),"")</f>
        <v/>
      </c>
    </row>
    <row r="312" spans="2:20" x14ac:dyDescent="0.25">
      <c r="B312" s="59"/>
      <c r="C312" s="59"/>
      <c r="D312" s="60"/>
      <c r="E312" s="59"/>
      <c r="F312" s="59"/>
      <c r="G312" s="59"/>
      <c r="H312" s="61"/>
      <c r="I312" s="61"/>
      <c r="J312" s="61"/>
      <c r="K312" s="62"/>
      <c r="L312" s="10" t="str">
        <f t="shared" si="110"/>
        <v/>
      </c>
      <c r="M312" s="10" t="str">
        <f t="shared" si="111"/>
        <v/>
      </c>
      <c r="N312" s="11" t="str">
        <f t="shared" si="112"/>
        <v/>
      </c>
      <c r="O312" s="10" t="str">
        <f t="shared" si="113"/>
        <v/>
      </c>
      <c r="P312" s="12" t="str">
        <f t="shared" si="114"/>
        <v/>
      </c>
      <c r="Q312" s="10" t="str">
        <f t="shared" si="115"/>
        <v/>
      </c>
      <c r="R312" s="13" t="str">
        <f t="shared" si="116"/>
        <v/>
      </c>
      <c r="S312" s="13" t="str">
        <f t="shared" si="117"/>
        <v/>
      </c>
      <c r="T312" s="22" t="str">
        <f>IF(R312&lt;&gt;"",VLOOKUP(P312,Constants!$D$3:$E$10,2),"")</f>
        <v/>
      </c>
    </row>
    <row r="313" spans="2:20" x14ac:dyDescent="0.25">
      <c r="B313" s="59"/>
      <c r="C313" s="59"/>
      <c r="D313" s="60"/>
      <c r="E313" s="59"/>
      <c r="F313" s="59"/>
      <c r="G313" s="59"/>
      <c r="H313" s="61"/>
      <c r="I313" s="61"/>
      <c r="J313" s="61"/>
      <c r="K313" s="62"/>
      <c r="L313" s="10" t="str">
        <f t="shared" si="110"/>
        <v/>
      </c>
      <c r="M313" s="10" t="str">
        <f t="shared" si="111"/>
        <v/>
      </c>
      <c r="N313" s="11" t="str">
        <f t="shared" si="112"/>
        <v/>
      </c>
      <c r="O313" s="10" t="str">
        <f t="shared" si="113"/>
        <v/>
      </c>
      <c r="P313" s="12" t="str">
        <f t="shared" si="114"/>
        <v/>
      </c>
      <c r="Q313" s="10" t="str">
        <f t="shared" si="115"/>
        <v/>
      </c>
      <c r="R313" s="13" t="str">
        <f t="shared" si="116"/>
        <v/>
      </c>
      <c r="S313" s="13" t="str">
        <f t="shared" si="117"/>
        <v/>
      </c>
      <c r="T313" s="22" t="str">
        <f>IF(R313&lt;&gt;"",VLOOKUP(P313,Constants!$D$3:$E$10,2),"")</f>
        <v/>
      </c>
    </row>
    <row r="314" spans="2:20" x14ac:dyDescent="0.25">
      <c r="B314" s="59"/>
      <c r="C314" s="59"/>
      <c r="D314" s="60"/>
      <c r="E314" s="59"/>
      <c r="F314" s="59"/>
      <c r="G314" s="59"/>
      <c r="H314" s="61"/>
      <c r="I314" s="61"/>
      <c r="J314" s="61"/>
      <c r="K314" s="62"/>
      <c r="L314" s="10" t="str">
        <f t="shared" si="110"/>
        <v/>
      </c>
      <c r="M314" s="10" t="str">
        <f t="shared" si="111"/>
        <v/>
      </c>
      <c r="N314" s="11" t="str">
        <f t="shared" si="112"/>
        <v/>
      </c>
      <c r="O314" s="10" t="str">
        <f t="shared" si="113"/>
        <v/>
      </c>
      <c r="P314" s="12" t="str">
        <f t="shared" si="114"/>
        <v/>
      </c>
      <c r="Q314" s="10" t="str">
        <f t="shared" si="115"/>
        <v/>
      </c>
      <c r="R314" s="13" t="str">
        <f t="shared" si="116"/>
        <v/>
      </c>
      <c r="S314" s="13" t="str">
        <f t="shared" si="117"/>
        <v/>
      </c>
      <c r="T314" s="22" t="str">
        <f>IF(R314&lt;&gt;"",VLOOKUP(P314,Constants!$D$3:$E$10,2),"")</f>
        <v/>
      </c>
    </row>
    <row r="315" spans="2:20" x14ac:dyDescent="0.25">
      <c r="B315" s="59"/>
      <c r="C315" s="59"/>
      <c r="D315" s="60"/>
      <c r="E315" s="59"/>
      <c r="F315" s="59"/>
      <c r="G315" s="59"/>
      <c r="H315" s="61"/>
      <c r="I315" s="61"/>
      <c r="J315" s="61"/>
      <c r="K315" s="62"/>
      <c r="L315" s="10" t="str">
        <f t="shared" si="110"/>
        <v/>
      </c>
      <c r="M315" s="10" t="str">
        <f t="shared" si="111"/>
        <v/>
      </c>
      <c r="N315" s="11" t="str">
        <f t="shared" si="112"/>
        <v/>
      </c>
      <c r="O315" s="10" t="str">
        <f t="shared" si="113"/>
        <v/>
      </c>
      <c r="P315" s="12" t="str">
        <f t="shared" si="114"/>
        <v/>
      </c>
      <c r="Q315" s="10" t="str">
        <f t="shared" si="115"/>
        <v/>
      </c>
      <c r="R315" s="13" t="str">
        <f t="shared" si="116"/>
        <v/>
      </c>
      <c r="S315" s="13" t="str">
        <f t="shared" si="117"/>
        <v/>
      </c>
      <c r="T315" s="22" t="str">
        <f>IF(R315&lt;&gt;"",VLOOKUP(P315,Constants!$D$3:$E$10,2),"")</f>
        <v/>
      </c>
    </row>
    <row r="316" spans="2:20" x14ac:dyDescent="0.25">
      <c r="B316" s="59"/>
      <c r="C316" s="59"/>
      <c r="D316" s="60"/>
      <c r="E316" s="59"/>
      <c r="F316" s="59"/>
      <c r="G316" s="59"/>
      <c r="H316" s="61"/>
      <c r="I316" s="61"/>
      <c r="J316" s="61"/>
      <c r="K316" s="62"/>
      <c r="L316" s="10" t="str">
        <f t="shared" si="110"/>
        <v/>
      </c>
      <c r="M316" s="10" t="str">
        <f t="shared" si="111"/>
        <v/>
      </c>
      <c r="N316" s="11" t="str">
        <f t="shared" si="112"/>
        <v/>
      </c>
      <c r="O316" s="10" t="str">
        <f t="shared" si="113"/>
        <v/>
      </c>
      <c r="P316" s="12" t="str">
        <f t="shared" si="114"/>
        <v/>
      </c>
      <c r="Q316" s="10" t="str">
        <f t="shared" si="115"/>
        <v/>
      </c>
      <c r="R316" s="13" t="str">
        <f t="shared" si="116"/>
        <v/>
      </c>
      <c r="S316" s="13" t="str">
        <f t="shared" si="117"/>
        <v/>
      </c>
      <c r="T316" s="22" t="str">
        <f>IF(R316&lt;&gt;"",VLOOKUP(P316,Constants!$D$3:$E$10,2),"")</f>
        <v/>
      </c>
    </row>
    <row r="317" spans="2:20" x14ac:dyDescent="0.25">
      <c r="B317" s="59"/>
      <c r="C317" s="59"/>
      <c r="D317" s="60"/>
      <c r="E317" s="59"/>
      <c r="F317" s="59"/>
      <c r="G317" s="59"/>
      <c r="H317" s="61"/>
      <c r="I317" s="61"/>
      <c r="J317" s="61"/>
      <c r="K317" s="62"/>
      <c r="L317" s="10" t="str">
        <f t="shared" si="110"/>
        <v/>
      </c>
      <c r="M317" s="10" t="str">
        <f t="shared" si="111"/>
        <v/>
      </c>
      <c r="N317" s="11" t="str">
        <f t="shared" si="112"/>
        <v/>
      </c>
      <c r="O317" s="10" t="str">
        <f t="shared" si="113"/>
        <v/>
      </c>
      <c r="P317" s="12" t="str">
        <f t="shared" si="114"/>
        <v/>
      </c>
      <c r="Q317" s="10" t="str">
        <f t="shared" si="115"/>
        <v/>
      </c>
      <c r="R317" s="13" t="str">
        <f t="shared" si="116"/>
        <v/>
      </c>
      <c r="S317" s="13" t="str">
        <f t="shared" si="117"/>
        <v/>
      </c>
      <c r="T317" s="22" t="str">
        <f>IF(R317&lt;&gt;"",VLOOKUP(P317,Constants!$D$3:$E$10,2),"")</f>
        <v/>
      </c>
    </row>
    <row r="318" spans="2:20" x14ac:dyDescent="0.25">
      <c r="B318" s="59"/>
      <c r="C318" s="59"/>
      <c r="D318" s="60"/>
      <c r="E318" s="59"/>
      <c r="F318" s="59"/>
      <c r="G318" s="59"/>
      <c r="H318" s="61"/>
      <c r="I318" s="61"/>
      <c r="J318" s="61"/>
      <c r="K318" s="62"/>
      <c r="L318" s="10" t="str">
        <f t="shared" si="110"/>
        <v/>
      </c>
      <c r="M318" s="10" t="str">
        <f t="shared" si="111"/>
        <v/>
      </c>
      <c r="N318" s="11" t="str">
        <f t="shared" si="112"/>
        <v/>
      </c>
      <c r="O318" s="10" t="str">
        <f t="shared" si="113"/>
        <v/>
      </c>
      <c r="P318" s="12" t="str">
        <f t="shared" si="114"/>
        <v/>
      </c>
      <c r="Q318" s="10" t="str">
        <f t="shared" si="115"/>
        <v/>
      </c>
      <c r="R318" s="13" t="str">
        <f t="shared" si="116"/>
        <v/>
      </c>
      <c r="S318" s="13" t="str">
        <f t="shared" si="117"/>
        <v/>
      </c>
      <c r="T318" s="22" t="str">
        <f>IF(R318&lt;&gt;"",VLOOKUP(P318,Constants!$D$3:$E$10,2),"")</f>
        <v/>
      </c>
    </row>
    <row r="319" spans="2:20" x14ac:dyDescent="0.25">
      <c r="B319" s="59"/>
      <c r="C319" s="59"/>
      <c r="D319" s="60"/>
      <c r="E319" s="59"/>
      <c r="F319" s="59"/>
      <c r="G319" s="59"/>
      <c r="H319" s="61"/>
      <c r="I319" s="61"/>
      <c r="J319" s="61"/>
      <c r="K319" s="62"/>
      <c r="L319" s="10" t="str">
        <f t="shared" si="110"/>
        <v/>
      </c>
      <c r="M319" s="10" t="str">
        <f t="shared" si="111"/>
        <v/>
      </c>
      <c r="N319" s="11" t="str">
        <f t="shared" si="112"/>
        <v/>
      </c>
      <c r="O319" s="10" t="str">
        <f t="shared" si="113"/>
        <v/>
      </c>
      <c r="P319" s="12" t="str">
        <f t="shared" si="114"/>
        <v/>
      </c>
      <c r="Q319" s="10" t="str">
        <f t="shared" si="115"/>
        <v/>
      </c>
      <c r="R319" s="13" t="str">
        <f t="shared" si="116"/>
        <v/>
      </c>
      <c r="S319" s="13" t="str">
        <f t="shared" si="117"/>
        <v/>
      </c>
      <c r="T319" s="22" t="str">
        <f>IF(R319&lt;&gt;"",VLOOKUP(P319,Constants!$D$3:$E$10,2),"")</f>
        <v/>
      </c>
    </row>
    <row r="320" spans="2:20" x14ac:dyDescent="0.25">
      <c r="B320" s="59"/>
      <c r="C320" s="59"/>
      <c r="D320" s="60"/>
      <c r="E320" s="59"/>
      <c r="F320" s="59"/>
      <c r="G320" s="59"/>
      <c r="H320" s="61"/>
      <c r="I320" s="61"/>
      <c r="J320" s="61"/>
      <c r="K320" s="62"/>
      <c r="L320" s="10" t="str">
        <f t="shared" si="110"/>
        <v/>
      </c>
      <c r="M320" s="10" t="str">
        <f t="shared" si="111"/>
        <v/>
      </c>
      <c r="N320" s="11" t="str">
        <f t="shared" si="112"/>
        <v/>
      </c>
      <c r="O320" s="10" t="str">
        <f t="shared" si="113"/>
        <v/>
      </c>
      <c r="P320" s="12" t="str">
        <f t="shared" si="114"/>
        <v/>
      </c>
      <c r="Q320" s="10" t="str">
        <f t="shared" si="115"/>
        <v/>
      </c>
      <c r="R320" s="13" t="str">
        <f t="shared" si="116"/>
        <v/>
      </c>
      <c r="S320" s="13" t="str">
        <f t="shared" si="117"/>
        <v/>
      </c>
      <c r="T320" s="22" t="str">
        <f>IF(R320&lt;&gt;"",VLOOKUP(P320,Constants!$D$3:$E$10,2),"")</f>
        <v/>
      </c>
    </row>
    <row r="321" spans="2:20" x14ac:dyDescent="0.25">
      <c r="B321" s="59"/>
      <c r="C321" s="59"/>
      <c r="D321" s="60"/>
      <c r="E321" s="59"/>
      <c r="F321" s="59"/>
      <c r="G321" s="59"/>
      <c r="H321" s="61"/>
      <c r="I321" s="61"/>
      <c r="J321" s="61"/>
      <c r="K321" s="62"/>
      <c r="L321" s="10" t="str">
        <f t="shared" si="110"/>
        <v/>
      </c>
      <c r="M321" s="10" t="str">
        <f t="shared" si="111"/>
        <v/>
      </c>
      <c r="N321" s="11" t="str">
        <f t="shared" si="112"/>
        <v/>
      </c>
      <c r="O321" s="10" t="str">
        <f t="shared" si="113"/>
        <v/>
      </c>
      <c r="P321" s="12" t="str">
        <f t="shared" si="114"/>
        <v/>
      </c>
      <c r="Q321" s="10" t="str">
        <f t="shared" si="115"/>
        <v/>
      </c>
      <c r="R321" s="13" t="str">
        <f t="shared" si="116"/>
        <v/>
      </c>
      <c r="S321" s="13" t="str">
        <f t="shared" si="117"/>
        <v/>
      </c>
      <c r="T321" s="22" t="str">
        <f>IF(R321&lt;&gt;"",VLOOKUP(P321,Constants!$D$3:$E$10,2),"")</f>
        <v/>
      </c>
    </row>
    <row r="322" spans="2:20" x14ac:dyDescent="0.25">
      <c r="B322" s="59"/>
      <c r="C322" s="59"/>
      <c r="D322" s="60"/>
      <c r="E322" s="59"/>
      <c r="F322" s="59"/>
      <c r="G322" s="59"/>
      <c r="H322" s="61"/>
      <c r="I322" s="61"/>
      <c r="J322" s="61"/>
      <c r="K322" s="62"/>
      <c r="L322" s="10" t="str">
        <f t="shared" si="110"/>
        <v/>
      </c>
      <c r="M322" s="10" t="str">
        <f t="shared" si="111"/>
        <v/>
      </c>
      <c r="N322" s="11" t="str">
        <f t="shared" si="112"/>
        <v/>
      </c>
      <c r="O322" s="10" t="str">
        <f t="shared" si="113"/>
        <v/>
      </c>
      <c r="P322" s="12" t="str">
        <f t="shared" si="114"/>
        <v/>
      </c>
      <c r="Q322" s="10" t="str">
        <f t="shared" si="115"/>
        <v/>
      </c>
      <c r="R322" s="13" t="str">
        <f t="shared" si="116"/>
        <v/>
      </c>
      <c r="S322" s="13" t="str">
        <f t="shared" si="117"/>
        <v/>
      </c>
      <c r="T322" s="22" t="str">
        <f>IF(R322&lt;&gt;"",VLOOKUP(P322,Constants!$D$3:$E$10,2),"")</f>
        <v/>
      </c>
    </row>
    <row r="323" spans="2:20" x14ac:dyDescent="0.25">
      <c r="B323" s="59"/>
      <c r="C323" s="59"/>
      <c r="D323" s="60"/>
      <c r="E323" s="59"/>
      <c r="F323" s="59"/>
      <c r="G323" s="59"/>
      <c r="H323" s="61"/>
      <c r="I323" s="61"/>
      <c r="J323" s="61"/>
      <c r="K323" s="62"/>
      <c r="L323" s="10" t="str">
        <f t="shared" si="110"/>
        <v/>
      </c>
      <c r="M323" s="10" t="str">
        <f t="shared" si="111"/>
        <v/>
      </c>
      <c r="N323" s="11" t="str">
        <f t="shared" si="112"/>
        <v/>
      </c>
      <c r="O323" s="10" t="str">
        <f t="shared" si="113"/>
        <v/>
      </c>
      <c r="P323" s="12" t="str">
        <f t="shared" si="114"/>
        <v/>
      </c>
      <c r="Q323" s="10" t="str">
        <f t="shared" si="115"/>
        <v/>
      </c>
      <c r="R323" s="13" t="str">
        <f t="shared" si="116"/>
        <v/>
      </c>
      <c r="S323" s="13" t="str">
        <f t="shared" si="117"/>
        <v/>
      </c>
      <c r="T323" s="22" t="str">
        <f>IF(R323&lt;&gt;"",VLOOKUP(P323,Constants!$D$3:$E$10,2),"")</f>
        <v/>
      </c>
    </row>
    <row r="324" spans="2:20" x14ac:dyDescent="0.25">
      <c r="B324" s="59"/>
      <c r="C324" s="59"/>
      <c r="D324" s="60"/>
      <c r="E324" s="59"/>
      <c r="F324" s="59"/>
      <c r="G324" s="59"/>
      <c r="H324" s="61"/>
      <c r="I324" s="61"/>
      <c r="J324" s="61"/>
      <c r="K324" s="62"/>
      <c r="L324" s="10" t="str">
        <f t="shared" si="110"/>
        <v/>
      </c>
      <c r="M324" s="10" t="str">
        <f t="shared" si="111"/>
        <v/>
      </c>
      <c r="N324" s="11" t="str">
        <f t="shared" si="112"/>
        <v/>
      </c>
      <c r="O324" s="10" t="str">
        <f t="shared" si="113"/>
        <v/>
      </c>
      <c r="P324" s="12" t="str">
        <f t="shared" si="114"/>
        <v/>
      </c>
      <c r="Q324" s="10" t="str">
        <f t="shared" si="115"/>
        <v/>
      </c>
      <c r="R324" s="13" t="str">
        <f t="shared" si="116"/>
        <v/>
      </c>
      <c r="S324" s="13" t="str">
        <f t="shared" si="117"/>
        <v/>
      </c>
      <c r="T324" s="22" t="str">
        <f>IF(R324&lt;&gt;"",VLOOKUP(P324,Constants!$D$3:$E$10,2),"")</f>
        <v/>
      </c>
    </row>
    <row r="325" spans="2:20" x14ac:dyDescent="0.25">
      <c r="B325" s="59"/>
      <c r="C325" s="59"/>
      <c r="D325" s="60"/>
      <c r="E325" s="59"/>
      <c r="F325" s="59"/>
      <c r="G325" s="59"/>
      <c r="H325" s="61"/>
      <c r="I325" s="61"/>
      <c r="J325" s="61"/>
      <c r="K325" s="62"/>
      <c r="L325" s="10" t="str">
        <f t="shared" si="110"/>
        <v/>
      </c>
      <c r="M325" s="10" t="str">
        <f t="shared" si="111"/>
        <v/>
      </c>
      <c r="N325" s="11" t="str">
        <f t="shared" si="112"/>
        <v/>
      </c>
      <c r="O325" s="10" t="str">
        <f t="shared" si="113"/>
        <v/>
      </c>
      <c r="P325" s="12" t="str">
        <f t="shared" si="114"/>
        <v/>
      </c>
      <c r="Q325" s="10" t="str">
        <f t="shared" si="115"/>
        <v/>
      </c>
      <c r="R325" s="13" t="str">
        <f t="shared" si="116"/>
        <v/>
      </c>
      <c r="S325" s="13" t="str">
        <f t="shared" si="117"/>
        <v/>
      </c>
      <c r="T325" s="22" t="str">
        <f>IF(R325&lt;&gt;"",VLOOKUP(P325,Constants!$D$3:$E$10,2),"")</f>
        <v/>
      </c>
    </row>
    <row r="326" spans="2:20" x14ac:dyDescent="0.25">
      <c r="B326" s="59"/>
      <c r="C326" s="59"/>
      <c r="D326" s="60"/>
      <c r="E326" s="59"/>
      <c r="F326" s="59"/>
      <c r="G326" s="59"/>
      <c r="H326" s="61"/>
      <c r="I326" s="61"/>
      <c r="J326" s="61"/>
      <c r="K326" s="62"/>
      <c r="L326" s="10" t="str">
        <f t="shared" si="110"/>
        <v/>
      </c>
      <c r="M326" s="10" t="str">
        <f t="shared" si="111"/>
        <v/>
      </c>
      <c r="N326" s="11" t="str">
        <f t="shared" si="112"/>
        <v/>
      </c>
      <c r="O326" s="10" t="str">
        <f t="shared" si="113"/>
        <v/>
      </c>
      <c r="P326" s="12" t="str">
        <f t="shared" si="114"/>
        <v/>
      </c>
      <c r="Q326" s="10" t="str">
        <f t="shared" si="115"/>
        <v/>
      </c>
      <c r="R326" s="13" t="str">
        <f t="shared" si="116"/>
        <v/>
      </c>
      <c r="S326" s="13" t="str">
        <f t="shared" si="117"/>
        <v/>
      </c>
      <c r="T326" s="22" t="str">
        <f>IF(R326&lt;&gt;"",VLOOKUP(P326,Constants!$D$3:$E$10,2),"")</f>
        <v/>
      </c>
    </row>
    <row r="327" spans="2:20" x14ac:dyDescent="0.25">
      <c r="B327" s="59"/>
      <c r="C327" s="59"/>
      <c r="D327" s="60"/>
      <c r="E327" s="59"/>
      <c r="F327" s="59"/>
      <c r="G327" s="59"/>
      <c r="H327" s="61"/>
      <c r="I327" s="61"/>
      <c r="J327" s="61"/>
      <c r="K327" s="62"/>
      <c r="L327" s="10" t="str">
        <f t="shared" si="110"/>
        <v/>
      </c>
      <c r="M327" s="10" t="str">
        <f t="shared" si="111"/>
        <v/>
      </c>
      <c r="N327" s="11" t="str">
        <f t="shared" si="112"/>
        <v/>
      </c>
      <c r="O327" s="10" t="str">
        <f t="shared" si="113"/>
        <v/>
      </c>
      <c r="P327" s="12" t="str">
        <f t="shared" si="114"/>
        <v/>
      </c>
      <c r="Q327" s="10" t="str">
        <f t="shared" si="115"/>
        <v/>
      </c>
      <c r="R327" s="13" t="str">
        <f t="shared" si="116"/>
        <v/>
      </c>
      <c r="S327" s="13" t="str">
        <f t="shared" si="117"/>
        <v/>
      </c>
      <c r="T327" s="22" t="str">
        <f>IF(R327&lt;&gt;"",VLOOKUP(P327,Constants!$D$3:$E$10,2),"")</f>
        <v/>
      </c>
    </row>
    <row r="328" spans="2:20" x14ac:dyDescent="0.25">
      <c r="B328" s="59"/>
      <c r="C328" s="59"/>
      <c r="D328" s="60"/>
      <c r="E328" s="59"/>
      <c r="F328" s="59"/>
      <c r="G328" s="59"/>
      <c r="H328" s="61"/>
      <c r="I328" s="61"/>
      <c r="J328" s="61"/>
      <c r="K328" s="62"/>
      <c r="L328" s="10" t="str">
        <f t="shared" si="110"/>
        <v/>
      </c>
      <c r="M328" s="10" t="str">
        <f t="shared" si="111"/>
        <v/>
      </c>
      <c r="N328" s="11" t="str">
        <f t="shared" si="112"/>
        <v/>
      </c>
      <c r="O328" s="10" t="str">
        <f t="shared" si="113"/>
        <v/>
      </c>
      <c r="P328" s="12" t="str">
        <f t="shared" si="114"/>
        <v/>
      </c>
      <c r="Q328" s="10" t="str">
        <f t="shared" si="115"/>
        <v/>
      </c>
      <c r="R328" s="13" t="str">
        <f t="shared" si="116"/>
        <v/>
      </c>
      <c r="S328" s="13" t="str">
        <f t="shared" si="117"/>
        <v/>
      </c>
      <c r="T328" s="22" t="str">
        <f>IF(R328&lt;&gt;"",VLOOKUP(P328,Constants!$D$3:$E$10,2),"")</f>
        <v/>
      </c>
    </row>
    <row r="329" spans="2:20" x14ac:dyDescent="0.25">
      <c r="B329" s="59"/>
      <c r="C329" s="59"/>
      <c r="D329" s="60"/>
      <c r="E329" s="59"/>
      <c r="F329" s="59"/>
      <c r="G329" s="59"/>
      <c r="H329" s="61"/>
      <c r="I329" s="61"/>
      <c r="J329" s="61"/>
      <c r="K329" s="62"/>
      <c r="L329" s="10" t="str">
        <f t="shared" si="110"/>
        <v/>
      </c>
      <c r="M329" s="10" t="str">
        <f t="shared" si="111"/>
        <v/>
      </c>
      <c r="N329" s="11" t="str">
        <f t="shared" si="112"/>
        <v/>
      </c>
      <c r="O329" s="10" t="str">
        <f t="shared" si="113"/>
        <v/>
      </c>
      <c r="P329" s="12" t="str">
        <f t="shared" si="114"/>
        <v/>
      </c>
      <c r="Q329" s="10" t="str">
        <f t="shared" si="115"/>
        <v/>
      </c>
      <c r="R329" s="13" t="str">
        <f t="shared" si="116"/>
        <v/>
      </c>
      <c r="S329" s="13" t="str">
        <f t="shared" si="117"/>
        <v/>
      </c>
      <c r="T329" s="22" t="str">
        <f>IF(R329&lt;&gt;"",VLOOKUP(P329,Constants!$D$3:$E$10,2),"")</f>
        <v/>
      </c>
    </row>
    <row r="330" spans="2:20" x14ac:dyDescent="0.25">
      <c r="B330" s="59"/>
      <c r="C330" s="59"/>
      <c r="D330" s="60"/>
      <c r="E330" s="59"/>
      <c r="F330" s="59"/>
      <c r="G330" s="59"/>
      <c r="H330" s="61"/>
      <c r="I330" s="61"/>
      <c r="J330" s="61"/>
      <c r="K330" s="62"/>
      <c r="L330" s="10" t="str">
        <f t="shared" si="110"/>
        <v/>
      </c>
      <c r="M330" s="10" t="str">
        <f t="shared" si="111"/>
        <v/>
      </c>
      <c r="N330" s="11" t="str">
        <f t="shared" si="112"/>
        <v/>
      </c>
      <c r="O330" s="10" t="str">
        <f t="shared" si="113"/>
        <v/>
      </c>
      <c r="P330" s="12" t="str">
        <f t="shared" si="114"/>
        <v/>
      </c>
      <c r="Q330" s="10" t="str">
        <f t="shared" si="115"/>
        <v/>
      </c>
      <c r="R330" s="13" t="str">
        <f t="shared" si="116"/>
        <v/>
      </c>
      <c r="S330" s="13" t="str">
        <f t="shared" si="117"/>
        <v/>
      </c>
      <c r="T330" s="22" t="str">
        <f>IF(R330&lt;&gt;"",VLOOKUP(P330,Constants!$D$3:$E$10,2),"")</f>
        <v/>
      </c>
    </row>
    <row r="331" spans="2:20" x14ac:dyDescent="0.25">
      <c r="B331" s="59"/>
      <c r="C331" s="59"/>
      <c r="D331" s="60"/>
      <c r="E331" s="59"/>
      <c r="F331" s="59"/>
      <c r="G331" s="59"/>
      <c r="H331" s="61"/>
      <c r="I331" s="61"/>
      <c r="J331" s="61"/>
      <c r="K331" s="62"/>
      <c r="L331" s="10" t="str">
        <f t="shared" si="110"/>
        <v/>
      </c>
      <c r="M331" s="10" t="str">
        <f t="shared" si="111"/>
        <v/>
      </c>
      <c r="N331" s="11" t="str">
        <f t="shared" si="112"/>
        <v/>
      </c>
      <c r="O331" s="10" t="str">
        <f t="shared" si="113"/>
        <v/>
      </c>
      <c r="P331" s="12" t="str">
        <f t="shared" si="114"/>
        <v/>
      </c>
      <c r="Q331" s="10" t="str">
        <f t="shared" si="115"/>
        <v/>
      </c>
      <c r="R331" s="13" t="str">
        <f t="shared" si="116"/>
        <v/>
      </c>
      <c r="S331" s="13" t="str">
        <f t="shared" si="117"/>
        <v/>
      </c>
      <c r="T331" s="22" t="str">
        <f>IF(R331&lt;&gt;"",VLOOKUP(P331,Constants!$D$3:$E$10,2),"")</f>
        <v/>
      </c>
    </row>
    <row r="332" spans="2:20" x14ac:dyDescent="0.25">
      <c r="B332" s="59"/>
      <c r="C332" s="59"/>
      <c r="D332" s="60"/>
      <c r="E332" s="59"/>
      <c r="F332" s="59"/>
      <c r="G332" s="59"/>
      <c r="H332" s="61"/>
      <c r="I332" s="61"/>
      <c r="J332" s="61"/>
      <c r="K332" s="62"/>
      <c r="L332" s="10" t="str">
        <f t="shared" si="110"/>
        <v/>
      </c>
      <c r="M332" s="10" t="str">
        <f t="shared" si="111"/>
        <v/>
      </c>
      <c r="N332" s="11" t="str">
        <f t="shared" si="112"/>
        <v/>
      </c>
      <c r="O332" s="10" t="str">
        <f t="shared" si="113"/>
        <v/>
      </c>
      <c r="P332" s="12" t="str">
        <f t="shared" si="114"/>
        <v/>
      </c>
      <c r="Q332" s="10" t="str">
        <f t="shared" si="115"/>
        <v/>
      </c>
      <c r="R332" s="13" t="str">
        <f t="shared" si="116"/>
        <v/>
      </c>
      <c r="S332" s="13" t="str">
        <f t="shared" si="117"/>
        <v/>
      </c>
      <c r="T332" s="22" t="str">
        <f>IF(R332&lt;&gt;"",VLOOKUP(P332,Constants!$D$3:$E$10,2),"")</f>
        <v/>
      </c>
    </row>
    <row r="333" spans="2:20" x14ac:dyDescent="0.25">
      <c r="B333" s="59"/>
      <c r="C333" s="59"/>
      <c r="D333" s="60"/>
      <c r="E333" s="59"/>
      <c r="F333" s="59"/>
      <c r="G333" s="59"/>
      <c r="H333" s="61"/>
      <c r="I333" s="61"/>
      <c r="J333" s="61"/>
      <c r="K333" s="62"/>
      <c r="L333" s="10" t="str">
        <f t="shared" si="110"/>
        <v/>
      </c>
      <c r="M333" s="10" t="str">
        <f t="shared" si="111"/>
        <v/>
      </c>
      <c r="N333" s="11" t="str">
        <f t="shared" si="112"/>
        <v/>
      </c>
      <c r="O333" s="10" t="str">
        <f t="shared" si="113"/>
        <v/>
      </c>
      <c r="P333" s="12" t="str">
        <f t="shared" si="114"/>
        <v/>
      </c>
      <c r="Q333" s="10" t="str">
        <f t="shared" si="115"/>
        <v/>
      </c>
      <c r="R333" s="13" t="str">
        <f t="shared" si="116"/>
        <v/>
      </c>
      <c r="S333" s="13" t="str">
        <f t="shared" si="117"/>
        <v/>
      </c>
      <c r="T333" s="22" t="str">
        <f>IF(R333&lt;&gt;"",VLOOKUP(P333,Constants!$D$3:$E$10,2),"")</f>
        <v/>
      </c>
    </row>
    <row r="334" spans="2:20" x14ac:dyDescent="0.25">
      <c r="B334" s="59"/>
      <c r="C334" s="59"/>
      <c r="D334" s="60"/>
      <c r="E334" s="59"/>
      <c r="F334" s="59"/>
      <c r="G334" s="59"/>
      <c r="H334" s="61"/>
      <c r="I334" s="61"/>
      <c r="J334" s="61"/>
      <c r="K334" s="62"/>
      <c r="L334" s="10" t="str">
        <f t="shared" si="110"/>
        <v/>
      </c>
      <c r="M334" s="10" t="str">
        <f t="shared" si="111"/>
        <v/>
      </c>
      <c r="N334" s="11" t="str">
        <f t="shared" si="112"/>
        <v/>
      </c>
      <c r="O334" s="10" t="str">
        <f t="shared" si="113"/>
        <v/>
      </c>
      <c r="P334" s="12" t="str">
        <f t="shared" si="114"/>
        <v/>
      </c>
      <c r="Q334" s="10" t="str">
        <f t="shared" si="115"/>
        <v/>
      </c>
      <c r="R334" s="13" t="str">
        <f t="shared" si="116"/>
        <v/>
      </c>
      <c r="S334" s="13" t="str">
        <f t="shared" si="117"/>
        <v/>
      </c>
      <c r="T334" s="22" t="str">
        <f>IF(R334&lt;&gt;"",VLOOKUP(P334,Constants!$D$3:$E$10,2),"")</f>
        <v/>
      </c>
    </row>
    <row r="335" spans="2:20" x14ac:dyDescent="0.25">
      <c r="B335" s="59"/>
      <c r="C335" s="59"/>
      <c r="D335" s="60"/>
      <c r="E335" s="59"/>
      <c r="F335" s="59"/>
      <c r="G335" s="59"/>
      <c r="H335" s="61"/>
      <c r="I335" s="61"/>
      <c r="J335" s="61"/>
      <c r="K335" s="62"/>
      <c r="L335" s="10" t="str">
        <f t="shared" si="110"/>
        <v/>
      </c>
      <c r="M335" s="10" t="str">
        <f t="shared" si="111"/>
        <v/>
      </c>
      <c r="N335" s="11" t="str">
        <f t="shared" si="112"/>
        <v/>
      </c>
      <c r="O335" s="10" t="str">
        <f t="shared" si="113"/>
        <v/>
      </c>
      <c r="P335" s="12" t="str">
        <f t="shared" si="114"/>
        <v/>
      </c>
      <c r="Q335" s="10" t="str">
        <f t="shared" si="115"/>
        <v/>
      </c>
      <c r="R335" s="13" t="str">
        <f t="shared" si="116"/>
        <v/>
      </c>
      <c r="S335" s="13" t="str">
        <f t="shared" si="117"/>
        <v/>
      </c>
      <c r="T335" s="22" t="str">
        <f>IF(R335&lt;&gt;"",VLOOKUP(P335,Constants!$D$3:$E$10,2),"")</f>
        <v/>
      </c>
    </row>
    <row r="336" spans="2:20" x14ac:dyDescent="0.25">
      <c r="B336" s="59"/>
      <c r="C336" s="59"/>
      <c r="D336" s="60"/>
      <c r="E336" s="59"/>
      <c r="F336" s="59"/>
      <c r="G336" s="59"/>
      <c r="H336" s="61"/>
      <c r="I336" s="61"/>
      <c r="J336" s="61"/>
      <c r="K336" s="62"/>
      <c r="L336" s="10" t="str">
        <f t="shared" si="110"/>
        <v/>
      </c>
      <c r="M336" s="10" t="str">
        <f t="shared" si="111"/>
        <v/>
      </c>
      <c r="N336" s="11" t="str">
        <f t="shared" si="112"/>
        <v/>
      </c>
      <c r="O336" s="10" t="str">
        <f t="shared" si="113"/>
        <v/>
      </c>
      <c r="P336" s="12" t="str">
        <f t="shared" si="114"/>
        <v/>
      </c>
      <c r="Q336" s="10" t="str">
        <f t="shared" si="115"/>
        <v/>
      </c>
      <c r="R336" s="13" t="str">
        <f t="shared" si="116"/>
        <v/>
      </c>
      <c r="S336" s="13" t="str">
        <f t="shared" si="117"/>
        <v/>
      </c>
      <c r="T336" s="22" t="str">
        <f>IF(R336&lt;&gt;"",VLOOKUP(P336,Constants!$D$3:$E$10,2),"")</f>
        <v/>
      </c>
    </row>
    <row r="337" spans="2:20" x14ac:dyDescent="0.25">
      <c r="B337" s="59"/>
      <c r="C337" s="59"/>
      <c r="D337" s="60"/>
      <c r="E337" s="59"/>
      <c r="F337" s="59"/>
      <c r="G337" s="59"/>
      <c r="H337" s="61"/>
      <c r="I337" s="61"/>
      <c r="J337" s="61"/>
      <c r="K337" s="62"/>
      <c r="L337" s="10" t="str">
        <f t="shared" si="110"/>
        <v/>
      </c>
      <c r="M337" s="10" t="str">
        <f t="shared" si="111"/>
        <v/>
      </c>
      <c r="N337" s="11" t="str">
        <f t="shared" si="112"/>
        <v/>
      </c>
      <c r="O337" s="10" t="str">
        <f t="shared" si="113"/>
        <v/>
      </c>
      <c r="P337" s="12" t="str">
        <f t="shared" si="114"/>
        <v/>
      </c>
      <c r="Q337" s="10" t="str">
        <f t="shared" si="115"/>
        <v/>
      </c>
      <c r="R337" s="13" t="str">
        <f t="shared" si="116"/>
        <v/>
      </c>
      <c r="S337" s="13" t="str">
        <f t="shared" si="117"/>
        <v/>
      </c>
      <c r="T337" s="22" t="str">
        <f>IF(R337&lt;&gt;"",VLOOKUP(P337,Constants!$D$3:$E$10,2),"")</f>
        <v/>
      </c>
    </row>
    <row r="338" spans="2:20" x14ac:dyDescent="0.25">
      <c r="B338" s="59"/>
      <c r="C338" s="59"/>
      <c r="D338" s="60"/>
      <c r="E338" s="59"/>
      <c r="F338" s="59"/>
      <c r="G338" s="59"/>
      <c r="H338" s="61"/>
      <c r="I338" s="61"/>
      <c r="J338" s="61"/>
      <c r="K338" s="62"/>
      <c r="L338" s="10" t="str">
        <f t="shared" ref="L338:L401" si="118">IF($D338&lt;&gt;"",$D338*$E338/1000,"")</f>
        <v/>
      </c>
      <c r="M338" s="10" t="str">
        <f t="shared" ref="M338:M401" si="119">IF($D338&lt;&gt;"",$D338*$F338/1000,"")</f>
        <v/>
      </c>
      <c r="N338" s="11" t="str">
        <f t="shared" ref="N338:N401" si="120">IF($L338&lt;&gt;"",SQRT($L338*$L338+$M338*$M338),"")</f>
        <v/>
      </c>
      <c r="O338" s="10" t="str">
        <f t="shared" si="113"/>
        <v/>
      </c>
      <c r="P338" s="12" t="str">
        <f t="shared" si="114"/>
        <v/>
      </c>
      <c r="Q338" s="10" t="str">
        <f t="shared" si="115"/>
        <v/>
      </c>
      <c r="R338" s="13" t="str">
        <f t="shared" si="116"/>
        <v/>
      </c>
      <c r="S338" s="13" t="str">
        <f t="shared" si="117"/>
        <v/>
      </c>
      <c r="T338" s="22" t="str">
        <f>IF(R338&lt;&gt;"",VLOOKUP(P338,Constants!$D$3:$E$10,2),"")</f>
        <v/>
      </c>
    </row>
    <row r="339" spans="2:20" x14ac:dyDescent="0.25">
      <c r="B339" s="59"/>
      <c r="C339" s="59"/>
      <c r="D339" s="60"/>
      <c r="E339" s="59"/>
      <c r="F339" s="59"/>
      <c r="G339" s="59"/>
      <c r="H339" s="61"/>
      <c r="I339" s="61"/>
      <c r="J339" s="61"/>
      <c r="K339" s="62"/>
      <c r="L339" s="10" t="str">
        <f t="shared" si="118"/>
        <v/>
      </c>
      <c r="M339" s="10" t="str">
        <f t="shared" si="119"/>
        <v/>
      </c>
      <c r="N339" s="11" t="str">
        <f t="shared" si="120"/>
        <v/>
      </c>
      <c r="O339" s="10" t="str">
        <f t="shared" si="113"/>
        <v/>
      </c>
      <c r="P339" s="12" t="str">
        <f t="shared" si="114"/>
        <v/>
      </c>
      <c r="Q339" s="10" t="str">
        <f t="shared" si="115"/>
        <v/>
      </c>
      <c r="R339" s="13" t="str">
        <f t="shared" si="116"/>
        <v/>
      </c>
      <c r="S339" s="13" t="str">
        <f t="shared" si="117"/>
        <v/>
      </c>
      <c r="T339" s="22" t="str">
        <f>IF(R339&lt;&gt;"",VLOOKUP(P339,Constants!$D$3:$E$10,2),"")</f>
        <v/>
      </c>
    </row>
    <row r="340" spans="2:20" x14ac:dyDescent="0.25">
      <c r="B340" s="59"/>
      <c r="C340" s="59"/>
      <c r="D340" s="60"/>
      <c r="E340" s="59"/>
      <c r="F340" s="59"/>
      <c r="G340" s="59"/>
      <c r="H340" s="61"/>
      <c r="I340" s="61"/>
      <c r="J340" s="61"/>
      <c r="K340" s="62"/>
      <c r="L340" s="10" t="str">
        <f t="shared" si="118"/>
        <v/>
      </c>
      <c r="M340" s="10" t="str">
        <f t="shared" si="119"/>
        <v/>
      </c>
      <c r="N340" s="11" t="str">
        <f t="shared" si="120"/>
        <v/>
      </c>
      <c r="O340" s="10" t="str">
        <f t="shared" ref="O340:O403" si="121">IF(D340&lt;&gt;"",1000/(2*D340),"")</f>
        <v/>
      </c>
      <c r="P340" s="12" t="str">
        <f t="shared" ref="P340:P403" si="122">IF($N340&lt;&gt;"",D340*SQRT(E340*E340+F340*F340)/16000,"")</f>
        <v/>
      </c>
      <c r="Q340" s="10" t="str">
        <f t="shared" ref="Q340:Q403" si="123">IF(F340&lt;&gt;"",F340*E340/1000000,"")</f>
        <v/>
      </c>
      <c r="R340" s="13" t="str">
        <f t="shared" ref="R340:R403" si="124">IF(G340&lt;&gt;"",1000/G340,"")</f>
        <v/>
      </c>
      <c r="S340" s="13" t="str">
        <f t="shared" ref="S340:S403" si="125">IF(R340&lt;&gt;"",Q340/R340*1000,"")</f>
        <v/>
      </c>
      <c r="T340" s="22" t="str">
        <f>IF(R340&lt;&gt;"",VLOOKUP(P340,Constants!$D$3:$E$10,2),"")</f>
        <v/>
      </c>
    </row>
    <row r="341" spans="2:20" x14ac:dyDescent="0.25">
      <c r="B341" s="59"/>
      <c r="C341" s="59"/>
      <c r="D341" s="60"/>
      <c r="E341" s="59"/>
      <c r="F341" s="59"/>
      <c r="G341" s="59"/>
      <c r="H341" s="61"/>
      <c r="I341" s="61"/>
      <c r="J341" s="61"/>
      <c r="K341" s="62"/>
      <c r="L341" s="10" t="str">
        <f t="shared" si="118"/>
        <v/>
      </c>
      <c r="M341" s="10" t="str">
        <f t="shared" si="119"/>
        <v/>
      </c>
      <c r="N341" s="11" t="str">
        <f t="shared" si="120"/>
        <v/>
      </c>
      <c r="O341" s="10" t="str">
        <f t="shared" si="121"/>
        <v/>
      </c>
      <c r="P341" s="12" t="str">
        <f t="shared" si="122"/>
        <v/>
      </c>
      <c r="Q341" s="10" t="str">
        <f t="shared" si="123"/>
        <v/>
      </c>
      <c r="R341" s="13" t="str">
        <f t="shared" si="124"/>
        <v/>
      </c>
      <c r="S341" s="13" t="str">
        <f t="shared" si="125"/>
        <v/>
      </c>
      <c r="T341" s="22" t="str">
        <f>IF(R341&lt;&gt;"",VLOOKUP(P341,Constants!$D$3:$E$10,2),"")</f>
        <v/>
      </c>
    </row>
    <row r="342" spans="2:20" x14ac:dyDescent="0.25">
      <c r="B342" s="59"/>
      <c r="C342" s="59"/>
      <c r="D342" s="60"/>
      <c r="E342" s="59"/>
      <c r="F342" s="59"/>
      <c r="G342" s="59"/>
      <c r="H342" s="61"/>
      <c r="I342" s="61"/>
      <c r="J342" s="61"/>
      <c r="K342" s="62"/>
      <c r="L342" s="10" t="str">
        <f t="shared" si="118"/>
        <v/>
      </c>
      <c r="M342" s="10" t="str">
        <f t="shared" si="119"/>
        <v/>
      </c>
      <c r="N342" s="11" t="str">
        <f t="shared" si="120"/>
        <v/>
      </c>
      <c r="O342" s="10" t="str">
        <f t="shared" si="121"/>
        <v/>
      </c>
      <c r="P342" s="12" t="str">
        <f t="shared" si="122"/>
        <v/>
      </c>
      <c r="Q342" s="10" t="str">
        <f t="shared" si="123"/>
        <v/>
      </c>
      <c r="R342" s="13" t="str">
        <f t="shared" si="124"/>
        <v/>
      </c>
      <c r="S342" s="13" t="str">
        <f t="shared" si="125"/>
        <v/>
      </c>
      <c r="T342" s="22" t="str">
        <f>IF(R342&lt;&gt;"",VLOOKUP(P342,Constants!$D$3:$E$10,2),"")</f>
        <v/>
      </c>
    </row>
    <row r="343" spans="2:20" x14ac:dyDescent="0.25">
      <c r="B343" s="59"/>
      <c r="C343" s="59"/>
      <c r="D343" s="60"/>
      <c r="E343" s="59"/>
      <c r="F343" s="59"/>
      <c r="G343" s="59"/>
      <c r="H343" s="61"/>
      <c r="I343" s="61"/>
      <c r="J343" s="61"/>
      <c r="K343" s="62"/>
      <c r="L343" s="10" t="str">
        <f t="shared" si="118"/>
        <v/>
      </c>
      <c r="M343" s="10" t="str">
        <f t="shared" si="119"/>
        <v/>
      </c>
      <c r="N343" s="11" t="str">
        <f t="shared" si="120"/>
        <v/>
      </c>
      <c r="O343" s="10" t="str">
        <f t="shared" si="121"/>
        <v/>
      </c>
      <c r="P343" s="12" t="str">
        <f t="shared" si="122"/>
        <v/>
      </c>
      <c r="Q343" s="10" t="str">
        <f t="shared" si="123"/>
        <v/>
      </c>
      <c r="R343" s="13" t="str">
        <f t="shared" si="124"/>
        <v/>
      </c>
      <c r="S343" s="13" t="str">
        <f t="shared" si="125"/>
        <v/>
      </c>
      <c r="T343" s="22" t="str">
        <f>IF(R343&lt;&gt;"",VLOOKUP(P343,Constants!$D$3:$E$10,2),"")</f>
        <v/>
      </c>
    </row>
    <row r="344" spans="2:20" x14ac:dyDescent="0.25">
      <c r="B344" s="59"/>
      <c r="C344" s="59"/>
      <c r="D344" s="60"/>
      <c r="E344" s="59"/>
      <c r="F344" s="59"/>
      <c r="G344" s="59"/>
      <c r="H344" s="61"/>
      <c r="I344" s="61"/>
      <c r="J344" s="61"/>
      <c r="K344" s="62"/>
      <c r="L344" s="10" t="str">
        <f t="shared" si="118"/>
        <v/>
      </c>
      <c r="M344" s="10" t="str">
        <f t="shared" si="119"/>
        <v/>
      </c>
      <c r="N344" s="11" t="str">
        <f t="shared" si="120"/>
        <v/>
      </c>
      <c r="O344" s="10" t="str">
        <f t="shared" si="121"/>
        <v/>
      </c>
      <c r="P344" s="12" t="str">
        <f t="shared" si="122"/>
        <v/>
      </c>
      <c r="Q344" s="10" t="str">
        <f t="shared" si="123"/>
        <v/>
      </c>
      <c r="R344" s="13" t="str">
        <f t="shared" si="124"/>
        <v/>
      </c>
      <c r="S344" s="13" t="str">
        <f t="shared" si="125"/>
        <v/>
      </c>
      <c r="T344" s="22" t="str">
        <f>IF(R344&lt;&gt;"",VLOOKUP(P344,Constants!$D$3:$E$10,2),"")</f>
        <v/>
      </c>
    </row>
    <row r="345" spans="2:20" x14ac:dyDescent="0.25">
      <c r="B345" s="59"/>
      <c r="C345" s="59"/>
      <c r="D345" s="60"/>
      <c r="E345" s="59"/>
      <c r="F345" s="59"/>
      <c r="G345" s="59"/>
      <c r="H345" s="61"/>
      <c r="I345" s="61"/>
      <c r="J345" s="61"/>
      <c r="K345" s="62"/>
      <c r="L345" s="10" t="str">
        <f t="shared" si="118"/>
        <v/>
      </c>
      <c r="M345" s="10" t="str">
        <f t="shared" si="119"/>
        <v/>
      </c>
      <c r="N345" s="11" t="str">
        <f t="shared" si="120"/>
        <v/>
      </c>
      <c r="O345" s="10" t="str">
        <f t="shared" si="121"/>
        <v/>
      </c>
      <c r="P345" s="12" t="str">
        <f t="shared" si="122"/>
        <v/>
      </c>
      <c r="Q345" s="10" t="str">
        <f t="shared" si="123"/>
        <v/>
      </c>
      <c r="R345" s="13" t="str">
        <f t="shared" si="124"/>
        <v/>
      </c>
      <c r="S345" s="13" t="str">
        <f t="shared" si="125"/>
        <v/>
      </c>
      <c r="T345" s="22" t="str">
        <f>IF(R345&lt;&gt;"",VLOOKUP(P345,Constants!$D$3:$E$10,2),"")</f>
        <v/>
      </c>
    </row>
    <row r="346" spans="2:20" x14ac:dyDescent="0.25">
      <c r="B346" s="59"/>
      <c r="C346" s="59"/>
      <c r="D346" s="60"/>
      <c r="E346" s="59"/>
      <c r="F346" s="59"/>
      <c r="G346" s="59"/>
      <c r="H346" s="61"/>
      <c r="I346" s="61"/>
      <c r="J346" s="61"/>
      <c r="K346" s="62"/>
      <c r="L346" s="10" t="str">
        <f t="shared" si="118"/>
        <v/>
      </c>
      <c r="M346" s="10" t="str">
        <f t="shared" si="119"/>
        <v/>
      </c>
      <c r="N346" s="11" t="str">
        <f t="shared" si="120"/>
        <v/>
      </c>
      <c r="O346" s="10" t="str">
        <f t="shared" si="121"/>
        <v/>
      </c>
      <c r="P346" s="12" t="str">
        <f t="shared" si="122"/>
        <v/>
      </c>
      <c r="Q346" s="10" t="str">
        <f t="shared" si="123"/>
        <v/>
      </c>
      <c r="R346" s="13" t="str">
        <f t="shared" si="124"/>
        <v/>
      </c>
      <c r="S346" s="13" t="str">
        <f t="shared" si="125"/>
        <v/>
      </c>
      <c r="T346" s="22" t="str">
        <f>IF(R346&lt;&gt;"",VLOOKUP(P346,Constants!$D$3:$E$10,2),"")</f>
        <v/>
      </c>
    </row>
    <row r="347" spans="2:20" x14ac:dyDescent="0.25">
      <c r="B347" s="59"/>
      <c r="C347" s="59"/>
      <c r="D347" s="60"/>
      <c r="E347" s="59"/>
      <c r="F347" s="59"/>
      <c r="G347" s="59"/>
      <c r="H347" s="61"/>
      <c r="I347" s="61"/>
      <c r="J347" s="61"/>
      <c r="K347" s="62"/>
      <c r="L347" s="10" t="str">
        <f t="shared" si="118"/>
        <v/>
      </c>
      <c r="M347" s="10" t="str">
        <f t="shared" si="119"/>
        <v/>
      </c>
      <c r="N347" s="11" t="str">
        <f t="shared" si="120"/>
        <v/>
      </c>
      <c r="O347" s="10" t="str">
        <f t="shared" si="121"/>
        <v/>
      </c>
      <c r="P347" s="12" t="str">
        <f t="shared" si="122"/>
        <v/>
      </c>
      <c r="Q347" s="10" t="str">
        <f t="shared" si="123"/>
        <v/>
      </c>
      <c r="R347" s="13" t="str">
        <f t="shared" si="124"/>
        <v/>
      </c>
      <c r="S347" s="13" t="str">
        <f t="shared" si="125"/>
        <v/>
      </c>
      <c r="T347" s="22" t="str">
        <f>IF(R347&lt;&gt;"",VLOOKUP(P347,Constants!$D$3:$E$10,2),"")</f>
        <v/>
      </c>
    </row>
    <row r="348" spans="2:20" x14ac:dyDescent="0.25">
      <c r="B348" s="59"/>
      <c r="C348" s="59"/>
      <c r="D348" s="60"/>
      <c r="E348" s="59"/>
      <c r="F348" s="59"/>
      <c r="G348" s="59"/>
      <c r="H348" s="61"/>
      <c r="I348" s="61"/>
      <c r="J348" s="61"/>
      <c r="K348" s="62"/>
      <c r="L348" s="10" t="str">
        <f t="shared" si="118"/>
        <v/>
      </c>
      <c r="M348" s="10" t="str">
        <f t="shared" si="119"/>
        <v/>
      </c>
      <c r="N348" s="11" t="str">
        <f t="shared" si="120"/>
        <v/>
      </c>
      <c r="O348" s="10" t="str">
        <f t="shared" si="121"/>
        <v/>
      </c>
      <c r="P348" s="12" t="str">
        <f t="shared" si="122"/>
        <v/>
      </c>
      <c r="Q348" s="10" t="str">
        <f t="shared" si="123"/>
        <v/>
      </c>
      <c r="R348" s="13" t="str">
        <f t="shared" si="124"/>
        <v/>
      </c>
      <c r="S348" s="13" t="str">
        <f t="shared" si="125"/>
        <v/>
      </c>
      <c r="T348" s="22" t="str">
        <f>IF(R348&lt;&gt;"",VLOOKUP(P348,Constants!$D$3:$E$10,2),"")</f>
        <v/>
      </c>
    </row>
    <row r="349" spans="2:20" x14ac:dyDescent="0.25">
      <c r="B349" s="59"/>
      <c r="C349" s="59"/>
      <c r="D349" s="60"/>
      <c r="E349" s="59"/>
      <c r="F349" s="59"/>
      <c r="G349" s="59"/>
      <c r="H349" s="61"/>
      <c r="I349" s="61"/>
      <c r="J349" s="61"/>
      <c r="K349" s="62"/>
      <c r="L349" s="10" t="str">
        <f t="shared" si="118"/>
        <v/>
      </c>
      <c r="M349" s="10" t="str">
        <f t="shared" si="119"/>
        <v/>
      </c>
      <c r="N349" s="11" t="str">
        <f t="shared" si="120"/>
        <v/>
      </c>
      <c r="O349" s="10" t="str">
        <f t="shared" si="121"/>
        <v/>
      </c>
      <c r="P349" s="12" t="str">
        <f t="shared" si="122"/>
        <v/>
      </c>
      <c r="Q349" s="10" t="str">
        <f t="shared" si="123"/>
        <v/>
      </c>
      <c r="R349" s="13" t="str">
        <f t="shared" si="124"/>
        <v/>
      </c>
      <c r="S349" s="13" t="str">
        <f t="shared" si="125"/>
        <v/>
      </c>
      <c r="T349" s="22" t="str">
        <f>IF(R349&lt;&gt;"",VLOOKUP(P349,Constants!$D$3:$E$10,2),"")</f>
        <v/>
      </c>
    </row>
    <row r="350" spans="2:20" x14ac:dyDescent="0.25">
      <c r="B350" s="59"/>
      <c r="C350" s="59"/>
      <c r="D350" s="60"/>
      <c r="E350" s="59"/>
      <c r="F350" s="59"/>
      <c r="G350" s="59"/>
      <c r="H350" s="61"/>
      <c r="I350" s="61"/>
      <c r="J350" s="61"/>
      <c r="K350" s="62"/>
      <c r="L350" s="10" t="str">
        <f t="shared" si="118"/>
        <v/>
      </c>
      <c r="M350" s="10" t="str">
        <f t="shared" si="119"/>
        <v/>
      </c>
      <c r="N350" s="11" t="str">
        <f t="shared" si="120"/>
        <v/>
      </c>
      <c r="O350" s="10" t="str">
        <f t="shared" si="121"/>
        <v/>
      </c>
      <c r="P350" s="12" t="str">
        <f t="shared" si="122"/>
        <v/>
      </c>
      <c r="Q350" s="10" t="str">
        <f t="shared" si="123"/>
        <v/>
      </c>
      <c r="R350" s="13" t="str">
        <f t="shared" si="124"/>
        <v/>
      </c>
      <c r="S350" s="13" t="str">
        <f t="shared" si="125"/>
        <v/>
      </c>
      <c r="T350" s="22" t="str">
        <f>IF(R350&lt;&gt;"",VLOOKUP(P350,Constants!$D$3:$E$10,2),"")</f>
        <v/>
      </c>
    </row>
    <row r="351" spans="2:20" x14ac:dyDescent="0.25">
      <c r="B351" s="59"/>
      <c r="C351" s="59"/>
      <c r="D351" s="60"/>
      <c r="E351" s="59"/>
      <c r="F351" s="59"/>
      <c r="G351" s="59"/>
      <c r="H351" s="61"/>
      <c r="I351" s="61"/>
      <c r="J351" s="61"/>
      <c r="K351" s="62"/>
      <c r="L351" s="10" t="str">
        <f t="shared" si="118"/>
        <v/>
      </c>
      <c r="M351" s="10" t="str">
        <f t="shared" si="119"/>
        <v/>
      </c>
      <c r="N351" s="11" t="str">
        <f t="shared" si="120"/>
        <v/>
      </c>
      <c r="O351" s="10" t="str">
        <f t="shared" si="121"/>
        <v/>
      </c>
      <c r="P351" s="12" t="str">
        <f t="shared" si="122"/>
        <v/>
      </c>
      <c r="Q351" s="10" t="str">
        <f t="shared" si="123"/>
        <v/>
      </c>
      <c r="R351" s="13" t="str">
        <f t="shared" si="124"/>
        <v/>
      </c>
      <c r="S351" s="13" t="str">
        <f t="shared" si="125"/>
        <v/>
      </c>
      <c r="T351" s="22" t="str">
        <f>IF(R351&lt;&gt;"",VLOOKUP(P351,Constants!$D$3:$E$10,2),"")</f>
        <v/>
      </c>
    </row>
    <row r="352" spans="2:20" x14ac:dyDescent="0.25">
      <c r="B352" s="59"/>
      <c r="C352" s="59"/>
      <c r="D352" s="60"/>
      <c r="E352" s="59"/>
      <c r="F352" s="59"/>
      <c r="G352" s="59"/>
      <c r="H352" s="61"/>
      <c r="I352" s="61"/>
      <c r="J352" s="61"/>
      <c r="K352" s="62"/>
      <c r="L352" s="10" t="str">
        <f t="shared" si="118"/>
        <v/>
      </c>
      <c r="M352" s="10" t="str">
        <f t="shared" si="119"/>
        <v/>
      </c>
      <c r="N352" s="11" t="str">
        <f t="shared" si="120"/>
        <v/>
      </c>
      <c r="O352" s="10" t="str">
        <f t="shared" si="121"/>
        <v/>
      </c>
      <c r="P352" s="12" t="str">
        <f t="shared" si="122"/>
        <v/>
      </c>
      <c r="Q352" s="10" t="str">
        <f t="shared" si="123"/>
        <v/>
      </c>
      <c r="R352" s="13" t="str">
        <f t="shared" si="124"/>
        <v/>
      </c>
      <c r="S352" s="13" t="str">
        <f t="shared" si="125"/>
        <v/>
      </c>
      <c r="T352" s="22" t="str">
        <f>IF(R352&lt;&gt;"",VLOOKUP(P352,Constants!$D$3:$E$10,2),"")</f>
        <v/>
      </c>
    </row>
    <row r="353" spans="2:20" x14ac:dyDescent="0.25">
      <c r="B353" s="59"/>
      <c r="C353" s="59"/>
      <c r="D353" s="60"/>
      <c r="E353" s="59"/>
      <c r="F353" s="59"/>
      <c r="G353" s="59"/>
      <c r="H353" s="61"/>
      <c r="I353" s="61"/>
      <c r="J353" s="61"/>
      <c r="K353" s="62"/>
      <c r="L353" s="10" t="str">
        <f t="shared" si="118"/>
        <v/>
      </c>
      <c r="M353" s="10" t="str">
        <f t="shared" si="119"/>
        <v/>
      </c>
      <c r="N353" s="11" t="str">
        <f t="shared" si="120"/>
        <v/>
      </c>
      <c r="O353" s="10" t="str">
        <f t="shared" si="121"/>
        <v/>
      </c>
      <c r="P353" s="12" t="str">
        <f t="shared" si="122"/>
        <v/>
      </c>
      <c r="Q353" s="10" t="str">
        <f t="shared" si="123"/>
        <v/>
      </c>
      <c r="R353" s="13" t="str">
        <f t="shared" si="124"/>
        <v/>
      </c>
      <c r="S353" s="13" t="str">
        <f t="shared" si="125"/>
        <v/>
      </c>
      <c r="T353" s="22" t="str">
        <f>IF(R353&lt;&gt;"",VLOOKUP(P353,Constants!$D$3:$E$10,2),"")</f>
        <v/>
      </c>
    </row>
    <row r="354" spans="2:20" x14ac:dyDescent="0.25">
      <c r="B354" s="59"/>
      <c r="C354" s="59"/>
      <c r="D354" s="60"/>
      <c r="E354" s="59"/>
      <c r="F354" s="59"/>
      <c r="G354" s="59"/>
      <c r="H354" s="61"/>
      <c r="I354" s="61"/>
      <c r="J354" s="61"/>
      <c r="K354" s="62"/>
      <c r="L354" s="10" t="str">
        <f t="shared" si="118"/>
        <v/>
      </c>
      <c r="M354" s="10" t="str">
        <f t="shared" si="119"/>
        <v/>
      </c>
      <c r="N354" s="11" t="str">
        <f t="shared" si="120"/>
        <v/>
      </c>
      <c r="O354" s="10" t="str">
        <f t="shared" si="121"/>
        <v/>
      </c>
      <c r="P354" s="12" t="str">
        <f t="shared" si="122"/>
        <v/>
      </c>
      <c r="Q354" s="10" t="str">
        <f t="shared" si="123"/>
        <v/>
      </c>
      <c r="R354" s="13" t="str">
        <f t="shared" si="124"/>
        <v/>
      </c>
      <c r="S354" s="13" t="str">
        <f t="shared" si="125"/>
        <v/>
      </c>
      <c r="T354" s="22" t="str">
        <f>IF(R354&lt;&gt;"",VLOOKUP(P354,Constants!$D$3:$E$10,2),"")</f>
        <v/>
      </c>
    </row>
    <row r="355" spans="2:20" x14ac:dyDescent="0.25">
      <c r="B355" s="59"/>
      <c r="C355" s="59"/>
      <c r="D355" s="60"/>
      <c r="E355" s="59"/>
      <c r="F355" s="59"/>
      <c r="G355" s="59"/>
      <c r="H355" s="61"/>
      <c r="I355" s="61"/>
      <c r="J355" s="61"/>
      <c r="K355" s="62"/>
      <c r="L355" s="10" t="str">
        <f t="shared" si="118"/>
        <v/>
      </c>
      <c r="M355" s="10" t="str">
        <f t="shared" si="119"/>
        <v/>
      </c>
      <c r="N355" s="11" t="str">
        <f t="shared" si="120"/>
        <v/>
      </c>
      <c r="O355" s="10" t="str">
        <f t="shared" si="121"/>
        <v/>
      </c>
      <c r="P355" s="12" t="str">
        <f t="shared" si="122"/>
        <v/>
      </c>
      <c r="Q355" s="10" t="str">
        <f t="shared" si="123"/>
        <v/>
      </c>
      <c r="R355" s="13" t="str">
        <f t="shared" si="124"/>
        <v/>
      </c>
      <c r="S355" s="13" t="str">
        <f t="shared" si="125"/>
        <v/>
      </c>
      <c r="T355" s="22" t="str">
        <f>IF(R355&lt;&gt;"",VLOOKUP(P355,Constants!$D$3:$E$10,2),"")</f>
        <v/>
      </c>
    </row>
    <row r="356" spans="2:20" x14ac:dyDescent="0.25">
      <c r="B356" s="59"/>
      <c r="C356" s="59"/>
      <c r="D356" s="60"/>
      <c r="E356" s="59"/>
      <c r="F356" s="59"/>
      <c r="G356" s="59"/>
      <c r="H356" s="61"/>
      <c r="I356" s="61"/>
      <c r="J356" s="61"/>
      <c r="K356" s="62"/>
      <c r="L356" s="10" t="str">
        <f t="shared" si="118"/>
        <v/>
      </c>
      <c r="M356" s="10" t="str">
        <f t="shared" si="119"/>
        <v/>
      </c>
      <c r="N356" s="11" t="str">
        <f t="shared" si="120"/>
        <v/>
      </c>
      <c r="O356" s="10" t="str">
        <f t="shared" si="121"/>
        <v/>
      </c>
      <c r="P356" s="12" t="str">
        <f t="shared" si="122"/>
        <v/>
      </c>
      <c r="Q356" s="10" t="str">
        <f t="shared" si="123"/>
        <v/>
      </c>
      <c r="R356" s="13" t="str">
        <f t="shared" si="124"/>
        <v/>
      </c>
      <c r="S356" s="13" t="str">
        <f t="shared" si="125"/>
        <v/>
      </c>
      <c r="T356" s="22" t="str">
        <f>IF(R356&lt;&gt;"",VLOOKUP(P356,Constants!$D$3:$E$10,2),"")</f>
        <v/>
      </c>
    </row>
    <row r="357" spans="2:20" x14ac:dyDescent="0.25">
      <c r="B357" s="59"/>
      <c r="C357" s="59"/>
      <c r="D357" s="60"/>
      <c r="E357" s="59"/>
      <c r="F357" s="59"/>
      <c r="G357" s="59"/>
      <c r="H357" s="61"/>
      <c r="I357" s="61"/>
      <c r="J357" s="61"/>
      <c r="K357" s="62"/>
      <c r="L357" s="10" t="str">
        <f t="shared" si="118"/>
        <v/>
      </c>
      <c r="M357" s="10" t="str">
        <f t="shared" si="119"/>
        <v/>
      </c>
      <c r="N357" s="11" t="str">
        <f t="shared" si="120"/>
        <v/>
      </c>
      <c r="O357" s="10" t="str">
        <f t="shared" si="121"/>
        <v/>
      </c>
      <c r="P357" s="12" t="str">
        <f t="shared" si="122"/>
        <v/>
      </c>
      <c r="Q357" s="10" t="str">
        <f t="shared" si="123"/>
        <v/>
      </c>
      <c r="R357" s="13" t="str">
        <f t="shared" si="124"/>
        <v/>
      </c>
      <c r="S357" s="13" t="str">
        <f t="shared" si="125"/>
        <v/>
      </c>
      <c r="T357" s="22" t="str">
        <f>IF(R357&lt;&gt;"",VLOOKUP(P357,Constants!$D$3:$E$10,2),"")</f>
        <v/>
      </c>
    </row>
    <row r="358" spans="2:20" x14ac:dyDescent="0.25">
      <c r="B358" s="59"/>
      <c r="C358" s="59"/>
      <c r="D358" s="60"/>
      <c r="E358" s="59"/>
      <c r="F358" s="59"/>
      <c r="G358" s="59"/>
      <c r="H358" s="61"/>
      <c r="I358" s="61"/>
      <c r="J358" s="61"/>
      <c r="K358" s="62"/>
      <c r="L358" s="10" t="str">
        <f t="shared" si="118"/>
        <v/>
      </c>
      <c r="M358" s="10" t="str">
        <f t="shared" si="119"/>
        <v/>
      </c>
      <c r="N358" s="11" t="str">
        <f t="shared" si="120"/>
        <v/>
      </c>
      <c r="O358" s="10" t="str">
        <f t="shared" si="121"/>
        <v/>
      </c>
      <c r="P358" s="12" t="str">
        <f t="shared" si="122"/>
        <v/>
      </c>
      <c r="Q358" s="10" t="str">
        <f t="shared" si="123"/>
        <v/>
      </c>
      <c r="R358" s="13" t="str">
        <f t="shared" si="124"/>
        <v/>
      </c>
      <c r="S358" s="13" t="str">
        <f t="shared" si="125"/>
        <v/>
      </c>
      <c r="T358" s="22" t="str">
        <f>IF(R358&lt;&gt;"",VLOOKUP(P358,Constants!$D$3:$E$10,2),"")</f>
        <v/>
      </c>
    </row>
    <row r="359" spans="2:20" x14ac:dyDescent="0.25">
      <c r="B359" s="59"/>
      <c r="C359" s="59"/>
      <c r="D359" s="60"/>
      <c r="E359" s="59"/>
      <c r="F359" s="59"/>
      <c r="G359" s="59"/>
      <c r="H359" s="61"/>
      <c r="I359" s="61"/>
      <c r="J359" s="61"/>
      <c r="K359" s="62"/>
      <c r="L359" s="10" t="str">
        <f t="shared" si="118"/>
        <v/>
      </c>
      <c r="M359" s="10" t="str">
        <f t="shared" si="119"/>
        <v/>
      </c>
      <c r="N359" s="11" t="str">
        <f t="shared" si="120"/>
        <v/>
      </c>
      <c r="O359" s="10" t="str">
        <f t="shared" si="121"/>
        <v/>
      </c>
      <c r="P359" s="12" t="str">
        <f t="shared" si="122"/>
        <v/>
      </c>
      <c r="Q359" s="10" t="str">
        <f t="shared" si="123"/>
        <v/>
      </c>
      <c r="R359" s="13" t="str">
        <f t="shared" si="124"/>
        <v/>
      </c>
      <c r="S359" s="13" t="str">
        <f t="shared" si="125"/>
        <v/>
      </c>
      <c r="T359" s="22" t="str">
        <f>IF(R359&lt;&gt;"",VLOOKUP(P359,Constants!$D$3:$E$10,2),"")</f>
        <v/>
      </c>
    </row>
    <row r="360" spans="2:20" x14ac:dyDescent="0.25">
      <c r="B360" s="59"/>
      <c r="C360" s="59"/>
      <c r="D360" s="60"/>
      <c r="E360" s="59"/>
      <c r="F360" s="59"/>
      <c r="G360" s="59"/>
      <c r="H360" s="61"/>
      <c r="I360" s="61"/>
      <c r="J360" s="61"/>
      <c r="K360" s="62"/>
      <c r="L360" s="10" t="str">
        <f t="shared" si="118"/>
        <v/>
      </c>
      <c r="M360" s="10" t="str">
        <f t="shared" si="119"/>
        <v/>
      </c>
      <c r="N360" s="11" t="str">
        <f t="shared" si="120"/>
        <v/>
      </c>
      <c r="O360" s="10" t="str">
        <f t="shared" si="121"/>
        <v/>
      </c>
      <c r="P360" s="12" t="str">
        <f t="shared" si="122"/>
        <v/>
      </c>
      <c r="Q360" s="10" t="str">
        <f t="shared" si="123"/>
        <v/>
      </c>
      <c r="R360" s="13" t="str">
        <f t="shared" si="124"/>
        <v/>
      </c>
      <c r="S360" s="13" t="str">
        <f t="shared" si="125"/>
        <v/>
      </c>
      <c r="T360" s="22" t="str">
        <f>IF(R360&lt;&gt;"",VLOOKUP(P360,Constants!$D$3:$E$10,2),"")</f>
        <v/>
      </c>
    </row>
    <row r="361" spans="2:20" x14ac:dyDescent="0.25">
      <c r="B361" s="59"/>
      <c r="C361" s="59"/>
      <c r="D361" s="60"/>
      <c r="E361" s="59"/>
      <c r="F361" s="59"/>
      <c r="G361" s="59"/>
      <c r="H361" s="61"/>
      <c r="I361" s="61"/>
      <c r="J361" s="61"/>
      <c r="K361" s="62"/>
      <c r="L361" s="10" t="str">
        <f t="shared" si="118"/>
        <v/>
      </c>
      <c r="M361" s="10" t="str">
        <f t="shared" si="119"/>
        <v/>
      </c>
      <c r="N361" s="11" t="str">
        <f t="shared" si="120"/>
        <v/>
      </c>
      <c r="O361" s="10" t="str">
        <f t="shared" si="121"/>
        <v/>
      </c>
      <c r="P361" s="12" t="str">
        <f t="shared" si="122"/>
        <v/>
      </c>
      <c r="Q361" s="10" t="str">
        <f t="shared" si="123"/>
        <v/>
      </c>
      <c r="R361" s="13" t="str">
        <f t="shared" si="124"/>
        <v/>
      </c>
      <c r="S361" s="13" t="str">
        <f t="shared" si="125"/>
        <v/>
      </c>
      <c r="T361" s="22" t="str">
        <f>IF(R361&lt;&gt;"",VLOOKUP(P361,Constants!$D$3:$E$10,2),"")</f>
        <v/>
      </c>
    </row>
    <row r="362" spans="2:20" x14ac:dyDescent="0.25">
      <c r="B362" s="59"/>
      <c r="C362" s="59"/>
      <c r="D362" s="60"/>
      <c r="E362" s="59"/>
      <c r="F362" s="59"/>
      <c r="G362" s="59"/>
      <c r="H362" s="61"/>
      <c r="I362" s="61"/>
      <c r="J362" s="61"/>
      <c r="K362" s="62"/>
      <c r="L362" s="10" t="str">
        <f t="shared" si="118"/>
        <v/>
      </c>
      <c r="M362" s="10" t="str">
        <f t="shared" si="119"/>
        <v/>
      </c>
      <c r="N362" s="11" t="str">
        <f t="shared" si="120"/>
        <v/>
      </c>
      <c r="O362" s="10" t="str">
        <f t="shared" si="121"/>
        <v/>
      </c>
      <c r="P362" s="12" t="str">
        <f t="shared" si="122"/>
        <v/>
      </c>
      <c r="Q362" s="10" t="str">
        <f t="shared" si="123"/>
        <v/>
      </c>
      <c r="R362" s="13" t="str">
        <f t="shared" si="124"/>
        <v/>
      </c>
      <c r="S362" s="13" t="str">
        <f t="shared" si="125"/>
        <v/>
      </c>
      <c r="T362" s="22" t="str">
        <f>IF(R362&lt;&gt;"",VLOOKUP(P362,Constants!$D$3:$E$10,2),"")</f>
        <v/>
      </c>
    </row>
    <row r="363" spans="2:20" x14ac:dyDescent="0.25">
      <c r="B363" s="59"/>
      <c r="C363" s="59"/>
      <c r="D363" s="60"/>
      <c r="E363" s="59"/>
      <c r="F363" s="59"/>
      <c r="G363" s="59"/>
      <c r="H363" s="61"/>
      <c r="I363" s="61"/>
      <c r="J363" s="61"/>
      <c r="K363" s="62"/>
      <c r="L363" s="10" t="str">
        <f t="shared" si="118"/>
        <v/>
      </c>
      <c r="M363" s="10" t="str">
        <f t="shared" si="119"/>
        <v/>
      </c>
      <c r="N363" s="11" t="str">
        <f t="shared" si="120"/>
        <v/>
      </c>
      <c r="O363" s="10" t="str">
        <f t="shared" si="121"/>
        <v/>
      </c>
      <c r="P363" s="12" t="str">
        <f t="shared" si="122"/>
        <v/>
      </c>
      <c r="Q363" s="10" t="str">
        <f t="shared" si="123"/>
        <v/>
      </c>
      <c r="R363" s="13" t="str">
        <f t="shared" si="124"/>
        <v/>
      </c>
      <c r="S363" s="13" t="str">
        <f t="shared" si="125"/>
        <v/>
      </c>
      <c r="T363" s="22" t="str">
        <f>IF(R363&lt;&gt;"",VLOOKUP(P363,Constants!$D$3:$E$10,2),"")</f>
        <v/>
      </c>
    </row>
    <row r="364" spans="2:20" x14ac:dyDescent="0.25">
      <c r="B364" s="59"/>
      <c r="C364" s="59"/>
      <c r="D364" s="60"/>
      <c r="E364" s="59"/>
      <c r="F364" s="59"/>
      <c r="G364" s="59"/>
      <c r="H364" s="61"/>
      <c r="I364" s="61"/>
      <c r="J364" s="61"/>
      <c r="K364" s="62"/>
      <c r="L364" s="10" t="str">
        <f t="shared" si="118"/>
        <v/>
      </c>
      <c r="M364" s="10" t="str">
        <f t="shared" si="119"/>
        <v/>
      </c>
      <c r="N364" s="11" t="str">
        <f t="shared" si="120"/>
        <v/>
      </c>
      <c r="O364" s="10" t="str">
        <f t="shared" si="121"/>
        <v/>
      </c>
      <c r="P364" s="12" t="str">
        <f t="shared" si="122"/>
        <v/>
      </c>
      <c r="Q364" s="10" t="str">
        <f t="shared" si="123"/>
        <v/>
      </c>
      <c r="R364" s="13" t="str">
        <f t="shared" si="124"/>
        <v/>
      </c>
      <c r="S364" s="13" t="str">
        <f t="shared" si="125"/>
        <v/>
      </c>
      <c r="T364" s="22" t="str">
        <f>IF(R364&lt;&gt;"",VLOOKUP(P364,Constants!$D$3:$E$10,2),"")</f>
        <v/>
      </c>
    </row>
    <row r="365" spans="2:20" x14ac:dyDescent="0.25">
      <c r="B365" s="59"/>
      <c r="C365" s="59"/>
      <c r="D365" s="60"/>
      <c r="E365" s="59"/>
      <c r="F365" s="59"/>
      <c r="G365" s="59"/>
      <c r="H365" s="61"/>
      <c r="I365" s="61"/>
      <c r="J365" s="61"/>
      <c r="K365" s="62"/>
      <c r="L365" s="10" t="str">
        <f t="shared" si="118"/>
        <v/>
      </c>
      <c r="M365" s="10" t="str">
        <f t="shared" si="119"/>
        <v/>
      </c>
      <c r="N365" s="11" t="str">
        <f t="shared" si="120"/>
        <v/>
      </c>
      <c r="O365" s="10" t="str">
        <f t="shared" si="121"/>
        <v/>
      </c>
      <c r="P365" s="12" t="str">
        <f t="shared" si="122"/>
        <v/>
      </c>
      <c r="Q365" s="10" t="str">
        <f t="shared" si="123"/>
        <v/>
      </c>
      <c r="R365" s="13" t="str">
        <f t="shared" si="124"/>
        <v/>
      </c>
      <c r="S365" s="13" t="str">
        <f t="shared" si="125"/>
        <v/>
      </c>
      <c r="T365" s="22" t="str">
        <f>IF(R365&lt;&gt;"",VLOOKUP(P365,Constants!$D$3:$E$10,2),"")</f>
        <v/>
      </c>
    </row>
    <row r="366" spans="2:20" x14ac:dyDescent="0.25">
      <c r="B366" s="59"/>
      <c r="C366" s="59"/>
      <c r="D366" s="60"/>
      <c r="E366" s="59"/>
      <c r="F366" s="59"/>
      <c r="G366" s="59"/>
      <c r="H366" s="61"/>
      <c r="I366" s="61"/>
      <c r="J366" s="61"/>
      <c r="K366" s="62"/>
      <c r="L366" s="10" t="str">
        <f t="shared" si="118"/>
        <v/>
      </c>
      <c r="M366" s="10" t="str">
        <f t="shared" si="119"/>
        <v/>
      </c>
      <c r="N366" s="11" t="str">
        <f t="shared" si="120"/>
        <v/>
      </c>
      <c r="O366" s="10" t="str">
        <f t="shared" si="121"/>
        <v/>
      </c>
      <c r="P366" s="12" t="str">
        <f t="shared" si="122"/>
        <v/>
      </c>
      <c r="Q366" s="10" t="str">
        <f t="shared" si="123"/>
        <v/>
      </c>
      <c r="R366" s="13" t="str">
        <f t="shared" si="124"/>
        <v/>
      </c>
      <c r="S366" s="13" t="str">
        <f t="shared" si="125"/>
        <v/>
      </c>
      <c r="T366" s="22" t="str">
        <f>IF(R366&lt;&gt;"",VLOOKUP(P366,Constants!$D$3:$E$10,2),"")</f>
        <v/>
      </c>
    </row>
    <row r="367" spans="2:20" x14ac:dyDescent="0.25">
      <c r="B367" s="59"/>
      <c r="C367" s="59"/>
      <c r="D367" s="60"/>
      <c r="E367" s="59"/>
      <c r="F367" s="59"/>
      <c r="G367" s="59"/>
      <c r="H367" s="61"/>
      <c r="I367" s="61"/>
      <c r="J367" s="61"/>
      <c r="K367" s="62"/>
      <c r="L367" s="10" t="str">
        <f t="shared" si="118"/>
        <v/>
      </c>
      <c r="M367" s="10" t="str">
        <f t="shared" si="119"/>
        <v/>
      </c>
      <c r="N367" s="11" t="str">
        <f t="shared" si="120"/>
        <v/>
      </c>
      <c r="O367" s="10" t="str">
        <f t="shared" si="121"/>
        <v/>
      </c>
      <c r="P367" s="12" t="str">
        <f t="shared" si="122"/>
        <v/>
      </c>
      <c r="Q367" s="10" t="str">
        <f t="shared" si="123"/>
        <v/>
      </c>
      <c r="R367" s="13" t="str">
        <f t="shared" si="124"/>
        <v/>
      </c>
      <c r="S367" s="13" t="str">
        <f t="shared" si="125"/>
        <v/>
      </c>
      <c r="T367" s="22" t="str">
        <f>IF(R367&lt;&gt;"",VLOOKUP(P367,Constants!$D$3:$E$10,2),"")</f>
        <v/>
      </c>
    </row>
    <row r="368" spans="2:20" x14ac:dyDescent="0.25">
      <c r="B368" s="59"/>
      <c r="C368" s="59"/>
      <c r="D368" s="60"/>
      <c r="E368" s="59"/>
      <c r="F368" s="59"/>
      <c r="G368" s="59"/>
      <c r="H368" s="61"/>
      <c r="I368" s="61"/>
      <c r="J368" s="61"/>
      <c r="K368" s="62"/>
      <c r="L368" s="10" t="str">
        <f t="shared" si="118"/>
        <v/>
      </c>
      <c r="M368" s="10" t="str">
        <f t="shared" si="119"/>
        <v/>
      </c>
      <c r="N368" s="11" t="str">
        <f t="shared" si="120"/>
        <v/>
      </c>
      <c r="O368" s="10" t="str">
        <f t="shared" si="121"/>
        <v/>
      </c>
      <c r="P368" s="12" t="str">
        <f t="shared" si="122"/>
        <v/>
      </c>
      <c r="Q368" s="10" t="str">
        <f t="shared" si="123"/>
        <v/>
      </c>
      <c r="R368" s="13" t="str">
        <f t="shared" si="124"/>
        <v/>
      </c>
      <c r="S368" s="13" t="str">
        <f t="shared" si="125"/>
        <v/>
      </c>
      <c r="T368" s="22" t="str">
        <f>IF(R368&lt;&gt;"",VLOOKUP(P368,Constants!$D$3:$E$10,2),"")</f>
        <v/>
      </c>
    </row>
    <row r="369" spans="2:20" x14ac:dyDescent="0.25">
      <c r="B369" s="59"/>
      <c r="C369" s="59"/>
      <c r="D369" s="60"/>
      <c r="E369" s="59"/>
      <c r="F369" s="59"/>
      <c r="G369" s="59"/>
      <c r="H369" s="61"/>
      <c r="I369" s="61"/>
      <c r="J369" s="61"/>
      <c r="K369" s="62"/>
      <c r="L369" s="10" t="str">
        <f t="shared" si="118"/>
        <v/>
      </c>
      <c r="M369" s="10" t="str">
        <f t="shared" si="119"/>
        <v/>
      </c>
      <c r="N369" s="11" t="str">
        <f t="shared" si="120"/>
        <v/>
      </c>
      <c r="O369" s="10" t="str">
        <f t="shared" si="121"/>
        <v/>
      </c>
      <c r="P369" s="12" t="str">
        <f t="shared" si="122"/>
        <v/>
      </c>
      <c r="Q369" s="10" t="str">
        <f t="shared" si="123"/>
        <v/>
      </c>
      <c r="R369" s="13" t="str">
        <f t="shared" si="124"/>
        <v/>
      </c>
      <c r="S369" s="13" t="str">
        <f t="shared" si="125"/>
        <v/>
      </c>
      <c r="T369" s="22" t="str">
        <f>IF(R369&lt;&gt;"",VLOOKUP(P369,Constants!$D$3:$E$10,2),"")</f>
        <v/>
      </c>
    </row>
    <row r="370" spans="2:20" x14ac:dyDescent="0.25">
      <c r="B370" s="59"/>
      <c r="C370" s="59"/>
      <c r="D370" s="60"/>
      <c r="E370" s="59"/>
      <c r="F370" s="59"/>
      <c r="G370" s="59"/>
      <c r="H370" s="61"/>
      <c r="I370" s="61"/>
      <c r="J370" s="61"/>
      <c r="K370" s="62"/>
      <c r="L370" s="10" t="str">
        <f t="shared" si="118"/>
        <v/>
      </c>
      <c r="M370" s="10" t="str">
        <f t="shared" si="119"/>
        <v/>
      </c>
      <c r="N370" s="11" t="str">
        <f t="shared" si="120"/>
        <v/>
      </c>
      <c r="O370" s="10" t="str">
        <f t="shared" si="121"/>
        <v/>
      </c>
      <c r="P370" s="12" t="str">
        <f t="shared" si="122"/>
        <v/>
      </c>
      <c r="Q370" s="10" t="str">
        <f t="shared" si="123"/>
        <v/>
      </c>
      <c r="R370" s="13" t="str">
        <f t="shared" si="124"/>
        <v/>
      </c>
      <c r="S370" s="13" t="str">
        <f t="shared" si="125"/>
        <v/>
      </c>
      <c r="T370" s="22" t="str">
        <f>IF(R370&lt;&gt;"",VLOOKUP(P370,Constants!$D$3:$E$10,2),"")</f>
        <v/>
      </c>
    </row>
    <row r="371" spans="2:20" x14ac:dyDescent="0.25">
      <c r="B371" s="59"/>
      <c r="C371" s="59"/>
      <c r="D371" s="60"/>
      <c r="E371" s="59"/>
      <c r="F371" s="59"/>
      <c r="G371" s="59"/>
      <c r="H371" s="61"/>
      <c r="I371" s="61"/>
      <c r="J371" s="61"/>
      <c r="K371" s="62"/>
      <c r="L371" s="10" t="str">
        <f t="shared" si="118"/>
        <v/>
      </c>
      <c r="M371" s="10" t="str">
        <f t="shared" si="119"/>
        <v/>
      </c>
      <c r="N371" s="11" t="str">
        <f t="shared" si="120"/>
        <v/>
      </c>
      <c r="O371" s="10" t="str">
        <f t="shared" si="121"/>
        <v/>
      </c>
      <c r="P371" s="12" t="str">
        <f t="shared" si="122"/>
        <v/>
      </c>
      <c r="Q371" s="10" t="str">
        <f t="shared" si="123"/>
        <v/>
      </c>
      <c r="R371" s="13" t="str">
        <f t="shared" si="124"/>
        <v/>
      </c>
      <c r="S371" s="13" t="str">
        <f t="shared" si="125"/>
        <v/>
      </c>
      <c r="T371" s="22" t="str">
        <f>IF(R371&lt;&gt;"",VLOOKUP(P371,Constants!$D$3:$E$10,2),"")</f>
        <v/>
      </c>
    </row>
    <row r="372" spans="2:20" x14ac:dyDescent="0.25">
      <c r="B372" s="59"/>
      <c r="C372" s="59"/>
      <c r="D372" s="60"/>
      <c r="E372" s="59"/>
      <c r="F372" s="59"/>
      <c r="G372" s="59"/>
      <c r="H372" s="61"/>
      <c r="I372" s="61"/>
      <c r="J372" s="61"/>
      <c r="K372" s="62"/>
      <c r="L372" s="10" t="str">
        <f t="shared" si="118"/>
        <v/>
      </c>
      <c r="M372" s="10" t="str">
        <f t="shared" si="119"/>
        <v/>
      </c>
      <c r="N372" s="11" t="str">
        <f t="shared" si="120"/>
        <v/>
      </c>
      <c r="O372" s="10" t="str">
        <f t="shared" si="121"/>
        <v/>
      </c>
      <c r="P372" s="12" t="str">
        <f t="shared" si="122"/>
        <v/>
      </c>
      <c r="Q372" s="10" t="str">
        <f t="shared" si="123"/>
        <v/>
      </c>
      <c r="R372" s="13" t="str">
        <f t="shared" si="124"/>
        <v/>
      </c>
      <c r="S372" s="13" t="str">
        <f t="shared" si="125"/>
        <v/>
      </c>
      <c r="T372" s="22" t="str">
        <f>IF(R372&lt;&gt;"",VLOOKUP(P372,Constants!$D$3:$E$10,2),"")</f>
        <v/>
      </c>
    </row>
    <row r="373" spans="2:20" x14ac:dyDescent="0.25">
      <c r="B373" s="59"/>
      <c r="C373" s="59"/>
      <c r="D373" s="60"/>
      <c r="E373" s="59"/>
      <c r="F373" s="59"/>
      <c r="G373" s="59"/>
      <c r="H373" s="61"/>
      <c r="I373" s="61"/>
      <c r="J373" s="61"/>
      <c r="K373" s="62"/>
      <c r="L373" s="10" t="str">
        <f t="shared" si="118"/>
        <v/>
      </c>
      <c r="M373" s="10" t="str">
        <f t="shared" si="119"/>
        <v/>
      </c>
      <c r="N373" s="11" t="str">
        <f t="shared" si="120"/>
        <v/>
      </c>
      <c r="O373" s="10" t="str">
        <f t="shared" si="121"/>
        <v/>
      </c>
      <c r="P373" s="12" t="str">
        <f t="shared" si="122"/>
        <v/>
      </c>
      <c r="Q373" s="10" t="str">
        <f t="shared" si="123"/>
        <v/>
      </c>
      <c r="R373" s="13" t="str">
        <f t="shared" si="124"/>
        <v/>
      </c>
      <c r="S373" s="13" t="str">
        <f t="shared" si="125"/>
        <v/>
      </c>
      <c r="T373" s="22" t="str">
        <f>IF(R373&lt;&gt;"",VLOOKUP(P373,Constants!$D$3:$E$10,2),"")</f>
        <v/>
      </c>
    </row>
    <row r="374" spans="2:20" x14ac:dyDescent="0.25">
      <c r="B374" s="59"/>
      <c r="C374" s="59"/>
      <c r="D374" s="60"/>
      <c r="E374" s="59"/>
      <c r="F374" s="59"/>
      <c r="G374" s="59"/>
      <c r="H374" s="61"/>
      <c r="I374" s="61"/>
      <c r="J374" s="61"/>
      <c r="K374" s="62"/>
      <c r="L374" s="10" t="str">
        <f t="shared" si="118"/>
        <v/>
      </c>
      <c r="M374" s="10" t="str">
        <f t="shared" si="119"/>
        <v/>
      </c>
      <c r="N374" s="11" t="str">
        <f t="shared" si="120"/>
        <v/>
      </c>
      <c r="O374" s="10" t="str">
        <f t="shared" si="121"/>
        <v/>
      </c>
      <c r="P374" s="12" t="str">
        <f t="shared" si="122"/>
        <v/>
      </c>
      <c r="Q374" s="10" t="str">
        <f t="shared" si="123"/>
        <v/>
      </c>
      <c r="R374" s="13" t="str">
        <f t="shared" si="124"/>
        <v/>
      </c>
      <c r="S374" s="13" t="str">
        <f t="shared" si="125"/>
        <v/>
      </c>
      <c r="T374" s="22" t="str">
        <f>IF(R374&lt;&gt;"",VLOOKUP(P374,Constants!$D$3:$E$10,2),"")</f>
        <v/>
      </c>
    </row>
    <row r="375" spans="2:20" x14ac:dyDescent="0.25">
      <c r="B375" s="59"/>
      <c r="C375" s="59"/>
      <c r="D375" s="60"/>
      <c r="E375" s="59"/>
      <c r="F375" s="59"/>
      <c r="G375" s="59"/>
      <c r="H375" s="61"/>
      <c r="I375" s="61"/>
      <c r="J375" s="61"/>
      <c r="K375" s="62"/>
      <c r="L375" s="10" t="str">
        <f t="shared" si="118"/>
        <v/>
      </c>
      <c r="M375" s="10" t="str">
        <f t="shared" si="119"/>
        <v/>
      </c>
      <c r="N375" s="11" t="str">
        <f t="shared" si="120"/>
        <v/>
      </c>
      <c r="O375" s="10" t="str">
        <f t="shared" si="121"/>
        <v/>
      </c>
      <c r="P375" s="12" t="str">
        <f t="shared" si="122"/>
        <v/>
      </c>
      <c r="Q375" s="10" t="str">
        <f t="shared" si="123"/>
        <v/>
      </c>
      <c r="R375" s="13" t="str">
        <f t="shared" si="124"/>
        <v/>
      </c>
      <c r="S375" s="13" t="str">
        <f t="shared" si="125"/>
        <v/>
      </c>
      <c r="T375" s="22" t="str">
        <f>IF(R375&lt;&gt;"",VLOOKUP(P375,Constants!$D$3:$E$10,2),"")</f>
        <v/>
      </c>
    </row>
    <row r="376" spans="2:20" x14ac:dyDescent="0.25">
      <c r="B376" s="59"/>
      <c r="C376" s="59"/>
      <c r="D376" s="60"/>
      <c r="E376" s="59"/>
      <c r="F376" s="59"/>
      <c r="G376" s="59"/>
      <c r="H376" s="61"/>
      <c r="I376" s="61"/>
      <c r="J376" s="61"/>
      <c r="K376" s="62"/>
      <c r="L376" s="10" t="str">
        <f t="shared" si="118"/>
        <v/>
      </c>
      <c r="M376" s="10" t="str">
        <f t="shared" si="119"/>
        <v/>
      </c>
      <c r="N376" s="11" t="str">
        <f t="shared" si="120"/>
        <v/>
      </c>
      <c r="O376" s="10" t="str">
        <f t="shared" si="121"/>
        <v/>
      </c>
      <c r="P376" s="12" t="str">
        <f t="shared" si="122"/>
        <v/>
      </c>
      <c r="Q376" s="10" t="str">
        <f t="shared" si="123"/>
        <v/>
      </c>
      <c r="R376" s="13" t="str">
        <f t="shared" si="124"/>
        <v/>
      </c>
      <c r="S376" s="13" t="str">
        <f t="shared" si="125"/>
        <v/>
      </c>
      <c r="T376" s="22" t="str">
        <f>IF(R376&lt;&gt;"",VLOOKUP(P376,Constants!$D$3:$E$10,2),"")</f>
        <v/>
      </c>
    </row>
    <row r="377" spans="2:20" x14ac:dyDescent="0.25">
      <c r="B377" s="59"/>
      <c r="C377" s="59"/>
      <c r="D377" s="60"/>
      <c r="E377" s="59"/>
      <c r="F377" s="59"/>
      <c r="G377" s="59"/>
      <c r="H377" s="61"/>
      <c r="I377" s="61"/>
      <c r="J377" s="61"/>
      <c r="K377" s="62"/>
      <c r="L377" s="10" t="str">
        <f t="shared" si="118"/>
        <v/>
      </c>
      <c r="M377" s="10" t="str">
        <f t="shared" si="119"/>
        <v/>
      </c>
      <c r="N377" s="11" t="str">
        <f t="shared" si="120"/>
        <v/>
      </c>
      <c r="O377" s="10" t="str">
        <f t="shared" si="121"/>
        <v/>
      </c>
      <c r="P377" s="12" t="str">
        <f t="shared" si="122"/>
        <v/>
      </c>
      <c r="Q377" s="10" t="str">
        <f t="shared" si="123"/>
        <v/>
      </c>
      <c r="R377" s="13" t="str">
        <f t="shared" si="124"/>
        <v/>
      </c>
      <c r="S377" s="13" t="str">
        <f t="shared" si="125"/>
        <v/>
      </c>
      <c r="T377" s="22" t="str">
        <f>IF(R377&lt;&gt;"",VLOOKUP(P377,Constants!$D$3:$E$10,2),"")</f>
        <v/>
      </c>
    </row>
    <row r="378" spans="2:20" x14ac:dyDescent="0.25">
      <c r="B378" s="59"/>
      <c r="C378" s="59"/>
      <c r="D378" s="60"/>
      <c r="E378" s="59"/>
      <c r="F378" s="59"/>
      <c r="G378" s="59"/>
      <c r="H378" s="61"/>
      <c r="I378" s="61"/>
      <c r="J378" s="61"/>
      <c r="K378" s="62"/>
      <c r="L378" s="10" t="str">
        <f t="shared" si="118"/>
        <v/>
      </c>
      <c r="M378" s="10" t="str">
        <f t="shared" si="119"/>
        <v/>
      </c>
      <c r="N378" s="11" t="str">
        <f t="shared" si="120"/>
        <v/>
      </c>
      <c r="O378" s="10" t="str">
        <f t="shared" si="121"/>
        <v/>
      </c>
      <c r="P378" s="12" t="str">
        <f t="shared" si="122"/>
        <v/>
      </c>
      <c r="Q378" s="10" t="str">
        <f t="shared" si="123"/>
        <v/>
      </c>
      <c r="R378" s="13" t="str">
        <f t="shared" si="124"/>
        <v/>
      </c>
      <c r="S378" s="13" t="str">
        <f t="shared" si="125"/>
        <v/>
      </c>
      <c r="T378" s="22" t="str">
        <f>IF(R378&lt;&gt;"",VLOOKUP(P378,Constants!$D$3:$E$10,2),"")</f>
        <v/>
      </c>
    </row>
    <row r="379" spans="2:20" x14ac:dyDescent="0.25">
      <c r="B379" s="59"/>
      <c r="C379" s="59"/>
      <c r="D379" s="60"/>
      <c r="E379" s="59"/>
      <c r="F379" s="59"/>
      <c r="G379" s="59"/>
      <c r="H379" s="61"/>
      <c r="I379" s="61"/>
      <c r="J379" s="61"/>
      <c r="K379" s="62"/>
      <c r="L379" s="10" t="str">
        <f t="shared" si="118"/>
        <v/>
      </c>
      <c r="M379" s="10" t="str">
        <f t="shared" si="119"/>
        <v/>
      </c>
      <c r="N379" s="11" t="str">
        <f t="shared" si="120"/>
        <v/>
      </c>
      <c r="O379" s="10" t="str">
        <f t="shared" si="121"/>
        <v/>
      </c>
      <c r="P379" s="12" t="str">
        <f t="shared" si="122"/>
        <v/>
      </c>
      <c r="Q379" s="10" t="str">
        <f t="shared" si="123"/>
        <v/>
      </c>
      <c r="R379" s="13" t="str">
        <f t="shared" si="124"/>
        <v/>
      </c>
      <c r="S379" s="13" t="str">
        <f t="shared" si="125"/>
        <v/>
      </c>
      <c r="T379" s="22" t="str">
        <f>IF(R379&lt;&gt;"",VLOOKUP(P379,Constants!$D$3:$E$10,2),"")</f>
        <v/>
      </c>
    </row>
    <row r="380" spans="2:20" x14ac:dyDescent="0.25">
      <c r="B380" s="59"/>
      <c r="C380" s="59"/>
      <c r="D380" s="60"/>
      <c r="E380" s="59"/>
      <c r="F380" s="59"/>
      <c r="G380" s="59"/>
      <c r="H380" s="61"/>
      <c r="I380" s="61"/>
      <c r="J380" s="61"/>
      <c r="K380" s="62"/>
      <c r="L380" s="10" t="str">
        <f t="shared" si="118"/>
        <v/>
      </c>
      <c r="M380" s="10" t="str">
        <f t="shared" si="119"/>
        <v/>
      </c>
      <c r="N380" s="11" t="str">
        <f t="shared" si="120"/>
        <v/>
      </c>
      <c r="O380" s="10" t="str">
        <f t="shared" si="121"/>
        <v/>
      </c>
      <c r="P380" s="12" t="str">
        <f t="shared" si="122"/>
        <v/>
      </c>
      <c r="Q380" s="10" t="str">
        <f t="shared" si="123"/>
        <v/>
      </c>
      <c r="R380" s="13" t="str">
        <f t="shared" si="124"/>
        <v/>
      </c>
      <c r="S380" s="13" t="str">
        <f t="shared" si="125"/>
        <v/>
      </c>
      <c r="T380" s="22" t="str">
        <f>IF(R380&lt;&gt;"",VLOOKUP(P380,Constants!$D$3:$E$10,2),"")</f>
        <v/>
      </c>
    </row>
    <row r="381" spans="2:20" x14ac:dyDescent="0.25">
      <c r="B381" s="59"/>
      <c r="C381" s="59"/>
      <c r="D381" s="60"/>
      <c r="E381" s="59"/>
      <c r="F381" s="59"/>
      <c r="G381" s="59"/>
      <c r="H381" s="61"/>
      <c r="I381" s="61"/>
      <c r="J381" s="61"/>
      <c r="K381" s="62"/>
      <c r="L381" s="10" t="str">
        <f t="shared" si="118"/>
        <v/>
      </c>
      <c r="M381" s="10" t="str">
        <f t="shared" si="119"/>
        <v/>
      </c>
      <c r="N381" s="11" t="str">
        <f t="shared" si="120"/>
        <v/>
      </c>
      <c r="O381" s="10" t="str">
        <f t="shared" si="121"/>
        <v/>
      </c>
      <c r="P381" s="12" t="str">
        <f t="shared" si="122"/>
        <v/>
      </c>
      <c r="Q381" s="10" t="str">
        <f t="shared" si="123"/>
        <v/>
      </c>
      <c r="R381" s="13" t="str">
        <f t="shared" si="124"/>
        <v/>
      </c>
      <c r="S381" s="13" t="str">
        <f t="shared" si="125"/>
        <v/>
      </c>
      <c r="T381" s="22" t="str">
        <f>IF(R381&lt;&gt;"",VLOOKUP(P381,Constants!$D$3:$E$10,2),"")</f>
        <v/>
      </c>
    </row>
    <row r="382" spans="2:20" x14ac:dyDescent="0.25">
      <c r="B382" s="59"/>
      <c r="C382" s="59"/>
      <c r="D382" s="60"/>
      <c r="E382" s="59"/>
      <c r="F382" s="59"/>
      <c r="G382" s="59"/>
      <c r="H382" s="61"/>
      <c r="I382" s="61"/>
      <c r="J382" s="61"/>
      <c r="K382" s="62"/>
      <c r="L382" s="10" t="str">
        <f t="shared" si="118"/>
        <v/>
      </c>
      <c r="M382" s="10" t="str">
        <f t="shared" si="119"/>
        <v/>
      </c>
      <c r="N382" s="11" t="str">
        <f t="shared" si="120"/>
        <v/>
      </c>
      <c r="O382" s="10" t="str">
        <f t="shared" si="121"/>
        <v/>
      </c>
      <c r="P382" s="12" t="str">
        <f t="shared" si="122"/>
        <v/>
      </c>
      <c r="Q382" s="10" t="str">
        <f t="shared" si="123"/>
        <v/>
      </c>
      <c r="R382" s="13" t="str">
        <f t="shared" si="124"/>
        <v/>
      </c>
      <c r="S382" s="13" t="str">
        <f t="shared" si="125"/>
        <v/>
      </c>
      <c r="T382" s="22" t="str">
        <f>IF(R382&lt;&gt;"",VLOOKUP(P382,Constants!$D$3:$E$10,2),"")</f>
        <v/>
      </c>
    </row>
    <row r="383" spans="2:20" x14ac:dyDescent="0.25">
      <c r="B383" s="59"/>
      <c r="C383" s="59"/>
      <c r="D383" s="60"/>
      <c r="E383" s="59"/>
      <c r="F383" s="59"/>
      <c r="G383" s="59"/>
      <c r="H383" s="61"/>
      <c r="I383" s="61"/>
      <c r="J383" s="61"/>
      <c r="K383" s="62"/>
      <c r="L383" s="10" t="str">
        <f t="shared" si="118"/>
        <v/>
      </c>
      <c r="M383" s="10" t="str">
        <f t="shared" si="119"/>
        <v/>
      </c>
      <c r="N383" s="11" t="str">
        <f t="shared" si="120"/>
        <v/>
      </c>
      <c r="O383" s="10" t="str">
        <f t="shared" si="121"/>
        <v/>
      </c>
      <c r="P383" s="12" t="str">
        <f t="shared" si="122"/>
        <v/>
      </c>
      <c r="Q383" s="10" t="str">
        <f t="shared" si="123"/>
        <v/>
      </c>
      <c r="R383" s="13" t="str">
        <f t="shared" si="124"/>
        <v/>
      </c>
      <c r="S383" s="13" t="str">
        <f t="shared" si="125"/>
        <v/>
      </c>
      <c r="T383" s="22" t="str">
        <f>IF(R383&lt;&gt;"",VLOOKUP(P383,Constants!$D$3:$E$10,2),"")</f>
        <v/>
      </c>
    </row>
    <row r="384" spans="2:20" x14ac:dyDescent="0.25">
      <c r="B384" s="59"/>
      <c r="C384" s="59"/>
      <c r="D384" s="60"/>
      <c r="E384" s="59"/>
      <c r="F384" s="59"/>
      <c r="G384" s="59"/>
      <c r="H384" s="61"/>
      <c r="I384" s="61"/>
      <c r="J384" s="61"/>
      <c r="K384" s="62"/>
      <c r="L384" s="10" t="str">
        <f t="shared" si="118"/>
        <v/>
      </c>
      <c r="M384" s="10" t="str">
        <f t="shared" si="119"/>
        <v/>
      </c>
      <c r="N384" s="11" t="str">
        <f t="shared" si="120"/>
        <v/>
      </c>
      <c r="O384" s="10" t="str">
        <f t="shared" si="121"/>
        <v/>
      </c>
      <c r="P384" s="12" t="str">
        <f t="shared" si="122"/>
        <v/>
      </c>
      <c r="Q384" s="10" t="str">
        <f t="shared" si="123"/>
        <v/>
      </c>
      <c r="R384" s="13" t="str">
        <f t="shared" si="124"/>
        <v/>
      </c>
      <c r="S384" s="13" t="str">
        <f t="shared" si="125"/>
        <v/>
      </c>
      <c r="T384" s="22" t="str">
        <f>IF(R384&lt;&gt;"",VLOOKUP(P384,Constants!$D$3:$E$10,2),"")</f>
        <v/>
      </c>
    </row>
    <row r="385" spans="2:20" x14ac:dyDescent="0.25">
      <c r="B385" s="59"/>
      <c r="C385" s="59"/>
      <c r="D385" s="60"/>
      <c r="E385" s="59"/>
      <c r="F385" s="59"/>
      <c r="G385" s="59"/>
      <c r="H385" s="61"/>
      <c r="I385" s="61"/>
      <c r="J385" s="61"/>
      <c r="K385" s="62"/>
      <c r="L385" s="10" t="str">
        <f t="shared" si="118"/>
        <v/>
      </c>
      <c r="M385" s="10" t="str">
        <f t="shared" si="119"/>
        <v/>
      </c>
      <c r="N385" s="11" t="str">
        <f t="shared" si="120"/>
        <v/>
      </c>
      <c r="O385" s="10" t="str">
        <f t="shared" si="121"/>
        <v/>
      </c>
      <c r="P385" s="12" t="str">
        <f t="shared" si="122"/>
        <v/>
      </c>
      <c r="Q385" s="10" t="str">
        <f t="shared" si="123"/>
        <v/>
      </c>
      <c r="R385" s="13" t="str">
        <f t="shared" si="124"/>
        <v/>
      </c>
      <c r="S385" s="13" t="str">
        <f t="shared" si="125"/>
        <v/>
      </c>
      <c r="T385" s="22" t="str">
        <f>IF(R385&lt;&gt;"",VLOOKUP(P385,Constants!$D$3:$E$10,2),"")</f>
        <v/>
      </c>
    </row>
    <row r="386" spans="2:20" x14ac:dyDescent="0.25">
      <c r="B386" s="59"/>
      <c r="C386" s="59"/>
      <c r="D386" s="60"/>
      <c r="E386" s="59"/>
      <c r="F386" s="59"/>
      <c r="G386" s="59"/>
      <c r="H386" s="61"/>
      <c r="I386" s="61"/>
      <c r="J386" s="61"/>
      <c r="K386" s="62"/>
      <c r="L386" s="10" t="str">
        <f t="shared" si="118"/>
        <v/>
      </c>
      <c r="M386" s="10" t="str">
        <f t="shared" si="119"/>
        <v/>
      </c>
      <c r="N386" s="11" t="str">
        <f t="shared" si="120"/>
        <v/>
      </c>
      <c r="O386" s="10" t="str">
        <f t="shared" si="121"/>
        <v/>
      </c>
      <c r="P386" s="12" t="str">
        <f t="shared" si="122"/>
        <v/>
      </c>
      <c r="Q386" s="10" t="str">
        <f t="shared" si="123"/>
        <v/>
      </c>
      <c r="R386" s="13" t="str">
        <f t="shared" si="124"/>
        <v/>
      </c>
      <c r="S386" s="13" t="str">
        <f t="shared" si="125"/>
        <v/>
      </c>
      <c r="T386" s="22" t="str">
        <f>IF(R386&lt;&gt;"",VLOOKUP(P386,Constants!$D$3:$E$10,2),"")</f>
        <v/>
      </c>
    </row>
    <row r="387" spans="2:20" x14ac:dyDescent="0.25">
      <c r="B387" s="59"/>
      <c r="C387" s="59"/>
      <c r="D387" s="60"/>
      <c r="E387" s="59"/>
      <c r="F387" s="59"/>
      <c r="G387" s="59"/>
      <c r="H387" s="61"/>
      <c r="I387" s="61"/>
      <c r="J387" s="61"/>
      <c r="K387" s="62"/>
      <c r="L387" s="10" t="str">
        <f t="shared" si="118"/>
        <v/>
      </c>
      <c r="M387" s="10" t="str">
        <f t="shared" si="119"/>
        <v/>
      </c>
      <c r="N387" s="11" t="str">
        <f t="shared" si="120"/>
        <v/>
      </c>
      <c r="O387" s="10" t="str">
        <f t="shared" si="121"/>
        <v/>
      </c>
      <c r="P387" s="12" t="str">
        <f t="shared" si="122"/>
        <v/>
      </c>
      <c r="Q387" s="10" t="str">
        <f t="shared" si="123"/>
        <v/>
      </c>
      <c r="R387" s="13" t="str">
        <f t="shared" si="124"/>
        <v/>
      </c>
      <c r="S387" s="13" t="str">
        <f t="shared" si="125"/>
        <v/>
      </c>
      <c r="T387" s="22" t="str">
        <f>IF(R387&lt;&gt;"",VLOOKUP(P387,Constants!$D$3:$E$10,2),"")</f>
        <v/>
      </c>
    </row>
    <row r="388" spans="2:20" x14ac:dyDescent="0.25">
      <c r="B388" s="59"/>
      <c r="C388" s="59"/>
      <c r="D388" s="60"/>
      <c r="E388" s="59"/>
      <c r="F388" s="59"/>
      <c r="G388" s="59"/>
      <c r="H388" s="61"/>
      <c r="I388" s="61"/>
      <c r="J388" s="61"/>
      <c r="K388" s="62"/>
      <c r="L388" s="10" t="str">
        <f t="shared" si="118"/>
        <v/>
      </c>
      <c r="M388" s="10" t="str">
        <f t="shared" si="119"/>
        <v/>
      </c>
      <c r="N388" s="11" t="str">
        <f t="shared" si="120"/>
        <v/>
      </c>
      <c r="O388" s="10" t="str">
        <f t="shared" si="121"/>
        <v/>
      </c>
      <c r="P388" s="12" t="str">
        <f t="shared" si="122"/>
        <v/>
      </c>
      <c r="Q388" s="10" t="str">
        <f t="shared" si="123"/>
        <v/>
      </c>
      <c r="R388" s="13" t="str">
        <f t="shared" si="124"/>
        <v/>
      </c>
      <c r="S388" s="13" t="str">
        <f t="shared" si="125"/>
        <v/>
      </c>
      <c r="T388" s="22" t="str">
        <f>IF(R388&lt;&gt;"",VLOOKUP(P388,Constants!$D$3:$E$10,2),"")</f>
        <v/>
      </c>
    </row>
    <row r="389" spans="2:20" x14ac:dyDescent="0.25">
      <c r="B389" s="59"/>
      <c r="C389" s="59"/>
      <c r="D389" s="60"/>
      <c r="E389" s="59"/>
      <c r="F389" s="59"/>
      <c r="G389" s="59"/>
      <c r="H389" s="61"/>
      <c r="I389" s="61"/>
      <c r="J389" s="61"/>
      <c r="K389" s="62"/>
      <c r="L389" s="10" t="str">
        <f t="shared" si="118"/>
        <v/>
      </c>
      <c r="M389" s="10" t="str">
        <f t="shared" si="119"/>
        <v/>
      </c>
      <c r="N389" s="11" t="str">
        <f t="shared" si="120"/>
        <v/>
      </c>
      <c r="O389" s="10" t="str">
        <f t="shared" si="121"/>
        <v/>
      </c>
      <c r="P389" s="12" t="str">
        <f t="shared" si="122"/>
        <v/>
      </c>
      <c r="Q389" s="10" t="str">
        <f t="shared" si="123"/>
        <v/>
      </c>
      <c r="R389" s="13" t="str">
        <f t="shared" si="124"/>
        <v/>
      </c>
      <c r="S389" s="13" t="str">
        <f t="shared" si="125"/>
        <v/>
      </c>
      <c r="T389" s="22" t="str">
        <f>IF(R389&lt;&gt;"",VLOOKUP(P389,Constants!$D$3:$E$10,2),"")</f>
        <v/>
      </c>
    </row>
    <row r="390" spans="2:20" x14ac:dyDescent="0.25">
      <c r="B390" s="59"/>
      <c r="C390" s="59"/>
      <c r="D390" s="60"/>
      <c r="E390" s="59"/>
      <c r="F390" s="59"/>
      <c r="G390" s="59"/>
      <c r="H390" s="61"/>
      <c r="I390" s="61"/>
      <c r="J390" s="61"/>
      <c r="K390" s="62"/>
      <c r="L390" s="10" t="str">
        <f t="shared" si="118"/>
        <v/>
      </c>
      <c r="M390" s="10" t="str">
        <f t="shared" si="119"/>
        <v/>
      </c>
      <c r="N390" s="11" t="str">
        <f t="shared" si="120"/>
        <v/>
      </c>
      <c r="O390" s="10" t="str">
        <f t="shared" si="121"/>
        <v/>
      </c>
      <c r="P390" s="12" t="str">
        <f t="shared" si="122"/>
        <v/>
      </c>
      <c r="Q390" s="10" t="str">
        <f t="shared" si="123"/>
        <v/>
      </c>
      <c r="R390" s="13" t="str">
        <f t="shared" si="124"/>
        <v/>
      </c>
      <c r="S390" s="13" t="str">
        <f t="shared" si="125"/>
        <v/>
      </c>
      <c r="T390" s="22" t="str">
        <f>IF(R390&lt;&gt;"",VLOOKUP(P390,Constants!$D$3:$E$10,2),"")</f>
        <v/>
      </c>
    </row>
    <row r="391" spans="2:20" x14ac:dyDescent="0.25">
      <c r="B391" s="59"/>
      <c r="C391" s="59"/>
      <c r="D391" s="60"/>
      <c r="E391" s="59"/>
      <c r="F391" s="59"/>
      <c r="G391" s="59"/>
      <c r="H391" s="61"/>
      <c r="I391" s="61"/>
      <c r="J391" s="61"/>
      <c r="K391" s="62"/>
      <c r="L391" s="10" t="str">
        <f t="shared" si="118"/>
        <v/>
      </c>
      <c r="M391" s="10" t="str">
        <f t="shared" si="119"/>
        <v/>
      </c>
      <c r="N391" s="11" t="str">
        <f t="shared" si="120"/>
        <v/>
      </c>
      <c r="O391" s="10" t="str">
        <f t="shared" si="121"/>
        <v/>
      </c>
      <c r="P391" s="12" t="str">
        <f t="shared" si="122"/>
        <v/>
      </c>
      <c r="Q391" s="10" t="str">
        <f t="shared" si="123"/>
        <v/>
      </c>
      <c r="R391" s="13" t="str">
        <f t="shared" si="124"/>
        <v/>
      </c>
      <c r="S391" s="13" t="str">
        <f t="shared" si="125"/>
        <v/>
      </c>
      <c r="T391" s="22" t="str">
        <f>IF(R391&lt;&gt;"",VLOOKUP(P391,Constants!$D$3:$E$10,2),"")</f>
        <v/>
      </c>
    </row>
    <row r="392" spans="2:20" x14ac:dyDescent="0.25">
      <c r="B392" s="59"/>
      <c r="C392" s="59"/>
      <c r="D392" s="60"/>
      <c r="E392" s="59"/>
      <c r="F392" s="59"/>
      <c r="G392" s="59"/>
      <c r="H392" s="61"/>
      <c r="I392" s="61"/>
      <c r="J392" s="61"/>
      <c r="K392" s="62"/>
      <c r="L392" s="10" t="str">
        <f t="shared" si="118"/>
        <v/>
      </c>
      <c r="M392" s="10" t="str">
        <f t="shared" si="119"/>
        <v/>
      </c>
      <c r="N392" s="11" t="str">
        <f t="shared" si="120"/>
        <v/>
      </c>
      <c r="O392" s="10" t="str">
        <f t="shared" si="121"/>
        <v/>
      </c>
      <c r="P392" s="12" t="str">
        <f t="shared" si="122"/>
        <v/>
      </c>
      <c r="Q392" s="10" t="str">
        <f t="shared" si="123"/>
        <v/>
      </c>
      <c r="R392" s="13" t="str">
        <f t="shared" si="124"/>
        <v/>
      </c>
      <c r="S392" s="13" t="str">
        <f t="shared" si="125"/>
        <v/>
      </c>
      <c r="T392" s="22" t="str">
        <f>IF(R392&lt;&gt;"",VLOOKUP(P392,Constants!$D$3:$E$10,2),"")</f>
        <v/>
      </c>
    </row>
    <row r="393" spans="2:20" x14ac:dyDescent="0.25">
      <c r="B393" s="59"/>
      <c r="C393" s="59"/>
      <c r="D393" s="60"/>
      <c r="E393" s="59"/>
      <c r="F393" s="59"/>
      <c r="G393" s="59"/>
      <c r="H393" s="61"/>
      <c r="I393" s="61"/>
      <c r="J393" s="61"/>
      <c r="K393" s="62"/>
      <c r="L393" s="10" t="str">
        <f t="shared" si="118"/>
        <v/>
      </c>
      <c r="M393" s="10" t="str">
        <f t="shared" si="119"/>
        <v/>
      </c>
      <c r="N393" s="11" t="str">
        <f t="shared" si="120"/>
        <v/>
      </c>
      <c r="O393" s="10" t="str">
        <f t="shared" si="121"/>
        <v/>
      </c>
      <c r="P393" s="12" t="str">
        <f t="shared" si="122"/>
        <v/>
      </c>
      <c r="Q393" s="10" t="str">
        <f t="shared" si="123"/>
        <v/>
      </c>
      <c r="R393" s="13" t="str">
        <f t="shared" si="124"/>
        <v/>
      </c>
      <c r="S393" s="13" t="str">
        <f t="shared" si="125"/>
        <v/>
      </c>
      <c r="T393" s="22" t="str">
        <f>IF(R393&lt;&gt;"",VLOOKUP(P393,Constants!$D$3:$E$10,2),"")</f>
        <v/>
      </c>
    </row>
    <row r="394" spans="2:20" x14ac:dyDescent="0.25">
      <c r="B394" s="59"/>
      <c r="C394" s="59"/>
      <c r="D394" s="60"/>
      <c r="E394" s="59"/>
      <c r="F394" s="59"/>
      <c r="G394" s="59"/>
      <c r="H394" s="61"/>
      <c r="I394" s="61"/>
      <c r="J394" s="61"/>
      <c r="K394" s="62"/>
      <c r="L394" s="10" t="str">
        <f t="shared" si="118"/>
        <v/>
      </c>
      <c r="M394" s="10" t="str">
        <f t="shared" si="119"/>
        <v/>
      </c>
      <c r="N394" s="11" t="str">
        <f t="shared" si="120"/>
        <v/>
      </c>
      <c r="O394" s="10" t="str">
        <f t="shared" si="121"/>
        <v/>
      </c>
      <c r="P394" s="12" t="str">
        <f t="shared" si="122"/>
        <v/>
      </c>
      <c r="Q394" s="10" t="str">
        <f t="shared" si="123"/>
        <v/>
      </c>
      <c r="R394" s="13" t="str">
        <f t="shared" si="124"/>
        <v/>
      </c>
      <c r="S394" s="13" t="str">
        <f t="shared" si="125"/>
        <v/>
      </c>
      <c r="T394" s="22" t="str">
        <f>IF(R394&lt;&gt;"",VLOOKUP(P394,Constants!$D$3:$E$10,2),"")</f>
        <v/>
      </c>
    </row>
    <row r="395" spans="2:20" x14ac:dyDescent="0.25">
      <c r="B395" s="59"/>
      <c r="C395" s="59"/>
      <c r="D395" s="60"/>
      <c r="E395" s="59"/>
      <c r="F395" s="59"/>
      <c r="G395" s="59"/>
      <c r="H395" s="61"/>
      <c r="I395" s="61"/>
      <c r="J395" s="61"/>
      <c r="K395" s="62"/>
      <c r="L395" s="10" t="str">
        <f t="shared" si="118"/>
        <v/>
      </c>
      <c r="M395" s="10" t="str">
        <f t="shared" si="119"/>
        <v/>
      </c>
      <c r="N395" s="11" t="str">
        <f t="shared" si="120"/>
        <v/>
      </c>
      <c r="O395" s="10" t="str">
        <f t="shared" si="121"/>
        <v/>
      </c>
      <c r="P395" s="12" t="str">
        <f t="shared" si="122"/>
        <v/>
      </c>
      <c r="Q395" s="10" t="str">
        <f t="shared" si="123"/>
        <v/>
      </c>
      <c r="R395" s="13" t="str">
        <f t="shared" si="124"/>
        <v/>
      </c>
      <c r="S395" s="13" t="str">
        <f t="shared" si="125"/>
        <v/>
      </c>
      <c r="T395" s="22" t="str">
        <f>IF(R395&lt;&gt;"",VLOOKUP(P395,Constants!$D$3:$E$10,2),"")</f>
        <v/>
      </c>
    </row>
    <row r="396" spans="2:20" x14ac:dyDescent="0.25">
      <c r="B396" s="59"/>
      <c r="C396" s="59"/>
      <c r="D396" s="60"/>
      <c r="E396" s="59"/>
      <c r="F396" s="59"/>
      <c r="G396" s="59"/>
      <c r="H396" s="61"/>
      <c r="I396" s="61"/>
      <c r="J396" s="61"/>
      <c r="K396" s="62"/>
      <c r="L396" s="10" t="str">
        <f t="shared" si="118"/>
        <v/>
      </c>
      <c r="M396" s="10" t="str">
        <f t="shared" si="119"/>
        <v/>
      </c>
      <c r="N396" s="11" t="str">
        <f t="shared" si="120"/>
        <v/>
      </c>
      <c r="O396" s="10" t="str">
        <f t="shared" si="121"/>
        <v/>
      </c>
      <c r="P396" s="12" t="str">
        <f t="shared" si="122"/>
        <v/>
      </c>
      <c r="Q396" s="10" t="str">
        <f t="shared" si="123"/>
        <v/>
      </c>
      <c r="R396" s="13" t="str">
        <f t="shared" si="124"/>
        <v/>
      </c>
      <c r="S396" s="13" t="str">
        <f t="shared" si="125"/>
        <v/>
      </c>
      <c r="T396" s="22" t="str">
        <f>IF(R396&lt;&gt;"",VLOOKUP(P396,Constants!$D$3:$E$10,2),"")</f>
        <v/>
      </c>
    </row>
    <row r="397" spans="2:20" x14ac:dyDescent="0.25">
      <c r="B397" s="59"/>
      <c r="C397" s="59"/>
      <c r="D397" s="60"/>
      <c r="E397" s="59"/>
      <c r="F397" s="59"/>
      <c r="G397" s="59"/>
      <c r="H397" s="61"/>
      <c r="I397" s="61"/>
      <c r="J397" s="61"/>
      <c r="K397" s="62"/>
      <c r="L397" s="10" t="str">
        <f t="shared" si="118"/>
        <v/>
      </c>
      <c r="M397" s="10" t="str">
        <f t="shared" si="119"/>
        <v/>
      </c>
      <c r="N397" s="11" t="str">
        <f t="shared" si="120"/>
        <v/>
      </c>
      <c r="O397" s="10" t="str">
        <f t="shared" si="121"/>
        <v/>
      </c>
      <c r="P397" s="12" t="str">
        <f t="shared" si="122"/>
        <v/>
      </c>
      <c r="Q397" s="10" t="str">
        <f t="shared" si="123"/>
        <v/>
      </c>
      <c r="R397" s="13" t="str">
        <f t="shared" si="124"/>
        <v/>
      </c>
      <c r="S397" s="13" t="str">
        <f t="shared" si="125"/>
        <v/>
      </c>
      <c r="T397" s="22" t="str">
        <f>IF(R397&lt;&gt;"",VLOOKUP(P397,Constants!$D$3:$E$10,2),"")</f>
        <v/>
      </c>
    </row>
    <row r="398" spans="2:20" x14ac:dyDescent="0.25">
      <c r="B398" s="59"/>
      <c r="C398" s="59"/>
      <c r="D398" s="60"/>
      <c r="E398" s="59"/>
      <c r="F398" s="59"/>
      <c r="G398" s="59"/>
      <c r="H398" s="61"/>
      <c r="I398" s="61"/>
      <c r="J398" s="61"/>
      <c r="K398" s="62"/>
      <c r="L398" s="10" t="str">
        <f t="shared" si="118"/>
        <v/>
      </c>
      <c r="M398" s="10" t="str">
        <f t="shared" si="119"/>
        <v/>
      </c>
      <c r="N398" s="11" t="str">
        <f t="shared" si="120"/>
        <v/>
      </c>
      <c r="O398" s="10" t="str">
        <f t="shared" si="121"/>
        <v/>
      </c>
      <c r="P398" s="12" t="str">
        <f t="shared" si="122"/>
        <v/>
      </c>
      <c r="Q398" s="10" t="str">
        <f t="shared" si="123"/>
        <v/>
      </c>
      <c r="R398" s="13" t="str">
        <f t="shared" si="124"/>
        <v/>
      </c>
      <c r="S398" s="13" t="str">
        <f t="shared" si="125"/>
        <v/>
      </c>
      <c r="T398" s="22" t="str">
        <f>IF(R398&lt;&gt;"",VLOOKUP(P398,Constants!$D$3:$E$10,2),"")</f>
        <v/>
      </c>
    </row>
    <row r="399" spans="2:20" x14ac:dyDescent="0.25">
      <c r="B399" s="59"/>
      <c r="C399" s="59"/>
      <c r="D399" s="60"/>
      <c r="E399" s="59"/>
      <c r="F399" s="59"/>
      <c r="G399" s="59"/>
      <c r="H399" s="61"/>
      <c r="I399" s="61"/>
      <c r="J399" s="61"/>
      <c r="K399" s="62"/>
      <c r="L399" s="10" t="str">
        <f t="shared" si="118"/>
        <v/>
      </c>
      <c r="M399" s="10" t="str">
        <f t="shared" si="119"/>
        <v/>
      </c>
      <c r="N399" s="11" t="str">
        <f t="shared" si="120"/>
        <v/>
      </c>
      <c r="O399" s="10" t="str">
        <f t="shared" si="121"/>
        <v/>
      </c>
      <c r="P399" s="12" t="str">
        <f t="shared" si="122"/>
        <v/>
      </c>
      <c r="Q399" s="10" t="str">
        <f t="shared" si="123"/>
        <v/>
      </c>
      <c r="R399" s="13" t="str">
        <f t="shared" si="124"/>
        <v/>
      </c>
      <c r="S399" s="13" t="str">
        <f t="shared" si="125"/>
        <v/>
      </c>
      <c r="T399" s="22" t="str">
        <f>IF(R399&lt;&gt;"",VLOOKUP(P399,Constants!$D$3:$E$10,2),"")</f>
        <v/>
      </c>
    </row>
    <row r="400" spans="2:20" x14ac:dyDescent="0.25">
      <c r="B400" s="59"/>
      <c r="C400" s="59"/>
      <c r="D400" s="60"/>
      <c r="E400" s="59"/>
      <c r="F400" s="59"/>
      <c r="G400" s="59"/>
      <c r="H400" s="61"/>
      <c r="I400" s="61"/>
      <c r="J400" s="61"/>
      <c r="K400" s="62"/>
      <c r="L400" s="10" t="str">
        <f t="shared" si="118"/>
        <v/>
      </c>
      <c r="M400" s="10" t="str">
        <f t="shared" si="119"/>
        <v/>
      </c>
      <c r="N400" s="11" t="str">
        <f t="shared" si="120"/>
        <v/>
      </c>
      <c r="O400" s="10" t="str">
        <f t="shared" si="121"/>
        <v/>
      </c>
      <c r="P400" s="12" t="str">
        <f t="shared" si="122"/>
        <v/>
      </c>
      <c r="Q400" s="10" t="str">
        <f t="shared" si="123"/>
        <v/>
      </c>
      <c r="R400" s="13" t="str">
        <f t="shared" si="124"/>
        <v/>
      </c>
      <c r="S400" s="13" t="str">
        <f t="shared" si="125"/>
        <v/>
      </c>
      <c r="T400" s="22" t="str">
        <f>IF(R400&lt;&gt;"",VLOOKUP(P400,Constants!$D$3:$E$10,2),"")</f>
        <v/>
      </c>
    </row>
    <row r="401" spans="2:20" x14ac:dyDescent="0.25">
      <c r="B401" s="59"/>
      <c r="C401" s="59"/>
      <c r="D401" s="60"/>
      <c r="E401" s="59"/>
      <c r="F401" s="59"/>
      <c r="G401" s="59"/>
      <c r="H401" s="61"/>
      <c r="I401" s="61"/>
      <c r="J401" s="61"/>
      <c r="K401" s="62"/>
      <c r="L401" s="10" t="str">
        <f t="shared" si="118"/>
        <v/>
      </c>
      <c r="M401" s="10" t="str">
        <f t="shared" si="119"/>
        <v/>
      </c>
      <c r="N401" s="11" t="str">
        <f t="shared" si="120"/>
        <v/>
      </c>
      <c r="O401" s="10" t="str">
        <f t="shared" si="121"/>
        <v/>
      </c>
      <c r="P401" s="12" t="str">
        <f t="shared" si="122"/>
        <v/>
      </c>
      <c r="Q401" s="10" t="str">
        <f t="shared" si="123"/>
        <v/>
      </c>
      <c r="R401" s="13" t="str">
        <f t="shared" si="124"/>
        <v/>
      </c>
      <c r="S401" s="13" t="str">
        <f t="shared" si="125"/>
        <v/>
      </c>
      <c r="T401" s="22" t="str">
        <f>IF(R401&lt;&gt;"",VLOOKUP(P401,Constants!$D$3:$E$10,2),"")</f>
        <v/>
      </c>
    </row>
    <row r="402" spans="2:20" x14ac:dyDescent="0.25">
      <c r="B402" s="59"/>
      <c r="C402" s="59"/>
      <c r="D402" s="60"/>
      <c r="E402" s="59"/>
      <c r="F402" s="59"/>
      <c r="G402" s="59"/>
      <c r="H402" s="61"/>
      <c r="I402" s="61"/>
      <c r="J402" s="61"/>
      <c r="K402" s="62"/>
      <c r="L402" s="10" t="str">
        <f t="shared" ref="L402:L465" si="126">IF($D402&lt;&gt;"",$D402*$E402/1000,"")</f>
        <v/>
      </c>
      <c r="M402" s="10" t="str">
        <f t="shared" ref="M402:M465" si="127">IF($D402&lt;&gt;"",$D402*$F402/1000,"")</f>
        <v/>
      </c>
      <c r="N402" s="11" t="str">
        <f t="shared" ref="N402:N465" si="128">IF($L402&lt;&gt;"",SQRT($L402*$L402+$M402*$M402),"")</f>
        <v/>
      </c>
      <c r="O402" s="10" t="str">
        <f t="shared" si="121"/>
        <v/>
      </c>
      <c r="P402" s="12" t="str">
        <f t="shared" si="122"/>
        <v/>
      </c>
      <c r="Q402" s="10" t="str">
        <f t="shared" si="123"/>
        <v/>
      </c>
      <c r="R402" s="13" t="str">
        <f t="shared" si="124"/>
        <v/>
      </c>
      <c r="S402" s="13" t="str">
        <f t="shared" si="125"/>
        <v/>
      </c>
      <c r="T402" s="22" t="str">
        <f>IF(R402&lt;&gt;"",VLOOKUP(P402,Constants!$D$3:$E$10,2),"")</f>
        <v/>
      </c>
    </row>
    <row r="403" spans="2:20" x14ac:dyDescent="0.25">
      <c r="B403" s="59"/>
      <c r="C403" s="59"/>
      <c r="D403" s="60"/>
      <c r="E403" s="59"/>
      <c r="F403" s="59"/>
      <c r="G403" s="59"/>
      <c r="H403" s="61"/>
      <c r="I403" s="61"/>
      <c r="J403" s="61"/>
      <c r="K403" s="62"/>
      <c r="L403" s="10" t="str">
        <f t="shared" si="126"/>
        <v/>
      </c>
      <c r="M403" s="10" t="str">
        <f t="shared" si="127"/>
        <v/>
      </c>
      <c r="N403" s="11" t="str">
        <f t="shared" si="128"/>
        <v/>
      </c>
      <c r="O403" s="10" t="str">
        <f t="shared" si="121"/>
        <v/>
      </c>
      <c r="P403" s="12" t="str">
        <f t="shared" si="122"/>
        <v/>
      </c>
      <c r="Q403" s="10" t="str">
        <f t="shared" si="123"/>
        <v/>
      </c>
      <c r="R403" s="13" t="str">
        <f t="shared" si="124"/>
        <v/>
      </c>
      <c r="S403" s="13" t="str">
        <f t="shared" si="125"/>
        <v/>
      </c>
      <c r="T403" s="22" t="str">
        <f>IF(R403&lt;&gt;"",VLOOKUP(P403,Constants!$D$3:$E$10,2),"")</f>
        <v/>
      </c>
    </row>
    <row r="404" spans="2:20" x14ac:dyDescent="0.25">
      <c r="B404" s="59"/>
      <c r="C404" s="59"/>
      <c r="D404" s="60"/>
      <c r="E404" s="59"/>
      <c r="F404" s="59"/>
      <c r="G404" s="59"/>
      <c r="H404" s="61"/>
      <c r="I404" s="61"/>
      <c r="J404" s="61"/>
      <c r="K404" s="62"/>
      <c r="L404" s="10" t="str">
        <f t="shared" si="126"/>
        <v/>
      </c>
      <c r="M404" s="10" t="str">
        <f t="shared" si="127"/>
        <v/>
      </c>
      <c r="N404" s="11" t="str">
        <f t="shared" si="128"/>
        <v/>
      </c>
      <c r="O404" s="10" t="str">
        <f t="shared" ref="O404:O467" si="129">IF(D404&lt;&gt;"",1000/(2*D404),"")</f>
        <v/>
      </c>
      <c r="P404" s="12" t="str">
        <f t="shared" ref="P404:P467" si="130">IF($N404&lt;&gt;"",D404*SQRT(E404*E404+F404*F404)/16000,"")</f>
        <v/>
      </c>
      <c r="Q404" s="10" t="str">
        <f t="shared" ref="Q404:Q467" si="131">IF(F404&lt;&gt;"",F404*E404/1000000,"")</f>
        <v/>
      </c>
      <c r="R404" s="13" t="str">
        <f t="shared" ref="R404:R467" si="132">IF(G404&lt;&gt;"",1000/G404,"")</f>
        <v/>
      </c>
      <c r="S404" s="13" t="str">
        <f t="shared" ref="S404:S467" si="133">IF(R404&lt;&gt;"",Q404/R404*1000,"")</f>
        <v/>
      </c>
      <c r="T404" s="22" t="str">
        <f>IF(R404&lt;&gt;"",VLOOKUP(P404,Constants!$D$3:$E$10,2),"")</f>
        <v/>
      </c>
    </row>
    <row r="405" spans="2:20" x14ac:dyDescent="0.25">
      <c r="B405" s="59"/>
      <c r="C405" s="59"/>
      <c r="D405" s="60"/>
      <c r="E405" s="59"/>
      <c r="F405" s="59"/>
      <c r="G405" s="59"/>
      <c r="H405" s="61"/>
      <c r="I405" s="61"/>
      <c r="J405" s="61"/>
      <c r="K405" s="62"/>
      <c r="L405" s="10" t="str">
        <f t="shared" si="126"/>
        <v/>
      </c>
      <c r="M405" s="10" t="str">
        <f t="shared" si="127"/>
        <v/>
      </c>
      <c r="N405" s="11" t="str">
        <f t="shared" si="128"/>
        <v/>
      </c>
      <c r="O405" s="10" t="str">
        <f t="shared" si="129"/>
        <v/>
      </c>
      <c r="P405" s="12" t="str">
        <f t="shared" si="130"/>
        <v/>
      </c>
      <c r="Q405" s="10" t="str">
        <f t="shared" si="131"/>
        <v/>
      </c>
      <c r="R405" s="13" t="str">
        <f t="shared" si="132"/>
        <v/>
      </c>
      <c r="S405" s="13" t="str">
        <f t="shared" si="133"/>
        <v/>
      </c>
      <c r="T405" s="22" t="str">
        <f>IF(R405&lt;&gt;"",VLOOKUP(P405,Constants!$D$3:$E$10,2),"")</f>
        <v/>
      </c>
    </row>
    <row r="406" spans="2:20" x14ac:dyDescent="0.25">
      <c r="B406" s="59"/>
      <c r="C406" s="59"/>
      <c r="D406" s="60"/>
      <c r="E406" s="59"/>
      <c r="F406" s="59"/>
      <c r="G406" s="59"/>
      <c r="H406" s="61"/>
      <c r="I406" s="61"/>
      <c r="J406" s="61"/>
      <c r="K406" s="62"/>
      <c r="L406" s="10" t="str">
        <f t="shared" si="126"/>
        <v/>
      </c>
      <c r="M406" s="10" t="str">
        <f t="shared" si="127"/>
        <v/>
      </c>
      <c r="N406" s="11" t="str">
        <f t="shared" si="128"/>
        <v/>
      </c>
      <c r="O406" s="10" t="str">
        <f t="shared" si="129"/>
        <v/>
      </c>
      <c r="P406" s="12" t="str">
        <f t="shared" si="130"/>
        <v/>
      </c>
      <c r="Q406" s="10" t="str">
        <f t="shared" si="131"/>
        <v/>
      </c>
      <c r="R406" s="13" t="str">
        <f t="shared" si="132"/>
        <v/>
      </c>
      <c r="S406" s="13" t="str">
        <f t="shared" si="133"/>
        <v/>
      </c>
      <c r="T406" s="22" t="str">
        <f>IF(R406&lt;&gt;"",VLOOKUP(P406,Constants!$D$3:$E$10,2),"")</f>
        <v/>
      </c>
    </row>
    <row r="407" spans="2:20" x14ac:dyDescent="0.25">
      <c r="B407" s="59"/>
      <c r="C407" s="59"/>
      <c r="D407" s="60"/>
      <c r="E407" s="59"/>
      <c r="F407" s="59"/>
      <c r="G407" s="59"/>
      <c r="H407" s="61"/>
      <c r="I407" s="61"/>
      <c r="J407" s="61"/>
      <c r="K407" s="62"/>
      <c r="L407" s="10" t="str">
        <f t="shared" si="126"/>
        <v/>
      </c>
      <c r="M407" s="10" t="str">
        <f t="shared" si="127"/>
        <v/>
      </c>
      <c r="N407" s="11" t="str">
        <f t="shared" si="128"/>
        <v/>
      </c>
      <c r="O407" s="10" t="str">
        <f t="shared" si="129"/>
        <v/>
      </c>
      <c r="P407" s="12" t="str">
        <f t="shared" si="130"/>
        <v/>
      </c>
      <c r="Q407" s="10" t="str">
        <f t="shared" si="131"/>
        <v/>
      </c>
      <c r="R407" s="13" t="str">
        <f t="shared" si="132"/>
        <v/>
      </c>
      <c r="S407" s="13" t="str">
        <f t="shared" si="133"/>
        <v/>
      </c>
      <c r="T407" s="22" t="str">
        <f>IF(R407&lt;&gt;"",VLOOKUP(P407,Constants!$D$3:$E$10,2),"")</f>
        <v/>
      </c>
    </row>
    <row r="408" spans="2:20" x14ac:dyDescent="0.25">
      <c r="B408" s="59"/>
      <c r="C408" s="59"/>
      <c r="D408" s="60"/>
      <c r="E408" s="59"/>
      <c r="F408" s="59"/>
      <c r="G408" s="59"/>
      <c r="H408" s="61"/>
      <c r="I408" s="61"/>
      <c r="J408" s="61"/>
      <c r="K408" s="62"/>
      <c r="L408" s="10" t="str">
        <f t="shared" si="126"/>
        <v/>
      </c>
      <c r="M408" s="10" t="str">
        <f t="shared" si="127"/>
        <v/>
      </c>
      <c r="N408" s="11" t="str">
        <f t="shared" si="128"/>
        <v/>
      </c>
      <c r="O408" s="10" t="str">
        <f t="shared" si="129"/>
        <v/>
      </c>
      <c r="P408" s="12" t="str">
        <f t="shared" si="130"/>
        <v/>
      </c>
      <c r="Q408" s="10" t="str">
        <f t="shared" si="131"/>
        <v/>
      </c>
      <c r="R408" s="13" t="str">
        <f t="shared" si="132"/>
        <v/>
      </c>
      <c r="S408" s="13" t="str">
        <f t="shared" si="133"/>
        <v/>
      </c>
      <c r="T408" s="22" t="str">
        <f>IF(R408&lt;&gt;"",VLOOKUP(P408,Constants!$D$3:$E$10,2),"")</f>
        <v/>
      </c>
    </row>
    <row r="409" spans="2:20" x14ac:dyDescent="0.25">
      <c r="B409" s="59"/>
      <c r="C409" s="59"/>
      <c r="D409" s="60"/>
      <c r="E409" s="59"/>
      <c r="F409" s="59"/>
      <c r="G409" s="59"/>
      <c r="H409" s="61"/>
      <c r="I409" s="61"/>
      <c r="J409" s="61"/>
      <c r="K409" s="62"/>
      <c r="L409" s="10" t="str">
        <f t="shared" si="126"/>
        <v/>
      </c>
      <c r="M409" s="10" t="str">
        <f t="shared" si="127"/>
        <v/>
      </c>
      <c r="N409" s="11" t="str">
        <f t="shared" si="128"/>
        <v/>
      </c>
      <c r="O409" s="10" t="str">
        <f t="shared" si="129"/>
        <v/>
      </c>
      <c r="P409" s="12" t="str">
        <f t="shared" si="130"/>
        <v/>
      </c>
      <c r="Q409" s="10" t="str">
        <f t="shared" si="131"/>
        <v/>
      </c>
      <c r="R409" s="13" t="str">
        <f t="shared" si="132"/>
        <v/>
      </c>
      <c r="S409" s="13" t="str">
        <f t="shared" si="133"/>
        <v/>
      </c>
      <c r="T409" s="22" t="str">
        <f>IF(R409&lt;&gt;"",VLOOKUP(P409,Constants!$D$3:$E$10,2),"")</f>
        <v/>
      </c>
    </row>
    <row r="410" spans="2:20" x14ac:dyDescent="0.25">
      <c r="B410" s="59"/>
      <c r="C410" s="59"/>
      <c r="D410" s="60"/>
      <c r="E410" s="59"/>
      <c r="F410" s="59"/>
      <c r="G410" s="59"/>
      <c r="H410" s="61"/>
      <c r="I410" s="61"/>
      <c r="J410" s="61"/>
      <c r="K410" s="62"/>
      <c r="L410" s="10" t="str">
        <f t="shared" si="126"/>
        <v/>
      </c>
      <c r="M410" s="10" t="str">
        <f t="shared" si="127"/>
        <v/>
      </c>
      <c r="N410" s="11" t="str">
        <f t="shared" si="128"/>
        <v/>
      </c>
      <c r="O410" s="10" t="str">
        <f t="shared" si="129"/>
        <v/>
      </c>
      <c r="P410" s="12" t="str">
        <f t="shared" si="130"/>
        <v/>
      </c>
      <c r="Q410" s="10" t="str">
        <f t="shared" si="131"/>
        <v/>
      </c>
      <c r="R410" s="13" t="str">
        <f t="shared" si="132"/>
        <v/>
      </c>
      <c r="S410" s="13" t="str">
        <f t="shared" si="133"/>
        <v/>
      </c>
      <c r="T410" s="22" t="str">
        <f>IF(R410&lt;&gt;"",VLOOKUP(P410,Constants!$D$3:$E$10,2),"")</f>
        <v/>
      </c>
    </row>
    <row r="411" spans="2:20" x14ac:dyDescent="0.25">
      <c r="B411" s="59"/>
      <c r="C411" s="59"/>
      <c r="D411" s="60"/>
      <c r="E411" s="59"/>
      <c r="F411" s="59"/>
      <c r="G411" s="59"/>
      <c r="H411" s="61"/>
      <c r="I411" s="61"/>
      <c r="J411" s="61"/>
      <c r="K411" s="62"/>
      <c r="L411" s="10" t="str">
        <f t="shared" si="126"/>
        <v/>
      </c>
      <c r="M411" s="10" t="str">
        <f t="shared" si="127"/>
        <v/>
      </c>
      <c r="N411" s="11" t="str">
        <f t="shared" si="128"/>
        <v/>
      </c>
      <c r="O411" s="10" t="str">
        <f t="shared" si="129"/>
        <v/>
      </c>
      <c r="P411" s="12" t="str">
        <f t="shared" si="130"/>
        <v/>
      </c>
      <c r="Q411" s="10" t="str">
        <f t="shared" si="131"/>
        <v/>
      </c>
      <c r="R411" s="13" t="str">
        <f t="shared" si="132"/>
        <v/>
      </c>
      <c r="S411" s="13" t="str">
        <f t="shared" si="133"/>
        <v/>
      </c>
      <c r="T411" s="22" t="str">
        <f>IF(R411&lt;&gt;"",VLOOKUP(P411,Constants!$D$3:$E$10,2),"")</f>
        <v/>
      </c>
    </row>
    <row r="412" spans="2:20" x14ac:dyDescent="0.25">
      <c r="B412" s="59"/>
      <c r="C412" s="59"/>
      <c r="D412" s="60"/>
      <c r="E412" s="59"/>
      <c r="F412" s="59"/>
      <c r="G412" s="59"/>
      <c r="H412" s="61"/>
      <c r="I412" s="61"/>
      <c r="J412" s="61"/>
      <c r="K412" s="62"/>
      <c r="L412" s="10" t="str">
        <f t="shared" si="126"/>
        <v/>
      </c>
      <c r="M412" s="10" t="str">
        <f t="shared" si="127"/>
        <v/>
      </c>
      <c r="N412" s="11" t="str">
        <f t="shared" si="128"/>
        <v/>
      </c>
      <c r="O412" s="10" t="str">
        <f t="shared" si="129"/>
        <v/>
      </c>
      <c r="P412" s="12" t="str">
        <f t="shared" si="130"/>
        <v/>
      </c>
      <c r="Q412" s="10" t="str">
        <f t="shared" si="131"/>
        <v/>
      </c>
      <c r="R412" s="13" t="str">
        <f t="shared" si="132"/>
        <v/>
      </c>
      <c r="S412" s="13" t="str">
        <f t="shared" si="133"/>
        <v/>
      </c>
      <c r="T412" s="22" t="str">
        <f>IF(R412&lt;&gt;"",VLOOKUP(P412,Constants!$D$3:$E$10,2),"")</f>
        <v/>
      </c>
    </row>
    <row r="413" spans="2:20" x14ac:dyDescent="0.25">
      <c r="B413" s="59"/>
      <c r="C413" s="59"/>
      <c r="D413" s="60"/>
      <c r="E413" s="59"/>
      <c r="F413" s="59"/>
      <c r="G413" s="59"/>
      <c r="H413" s="61"/>
      <c r="I413" s="61"/>
      <c r="J413" s="61"/>
      <c r="K413" s="62"/>
      <c r="L413" s="10" t="str">
        <f t="shared" si="126"/>
        <v/>
      </c>
      <c r="M413" s="10" t="str">
        <f t="shared" si="127"/>
        <v/>
      </c>
      <c r="N413" s="11" t="str">
        <f t="shared" si="128"/>
        <v/>
      </c>
      <c r="O413" s="10" t="str">
        <f t="shared" si="129"/>
        <v/>
      </c>
      <c r="P413" s="12" t="str">
        <f t="shared" si="130"/>
        <v/>
      </c>
      <c r="Q413" s="10" t="str">
        <f t="shared" si="131"/>
        <v/>
      </c>
      <c r="R413" s="13" t="str">
        <f t="shared" si="132"/>
        <v/>
      </c>
      <c r="S413" s="13" t="str">
        <f t="shared" si="133"/>
        <v/>
      </c>
      <c r="T413" s="22" t="str">
        <f>IF(R413&lt;&gt;"",VLOOKUP(P413,Constants!$D$3:$E$10,2),"")</f>
        <v/>
      </c>
    </row>
    <row r="414" spans="2:20" x14ac:dyDescent="0.25">
      <c r="B414" s="59"/>
      <c r="C414" s="59"/>
      <c r="D414" s="60"/>
      <c r="E414" s="59"/>
      <c r="F414" s="59"/>
      <c r="G414" s="59"/>
      <c r="H414" s="61"/>
      <c r="I414" s="61"/>
      <c r="J414" s="61"/>
      <c r="K414" s="62"/>
      <c r="L414" s="10" t="str">
        <f t="shared" si="126"/>
        <v/>
      </c>
      <c r="M414" s="10" t="str">
        <f t="shared" si="127"/>
        <v/>
      </c>
      <c r="N414" s="11" t="str">
        <f t="shared" si="128"/>
        <v/>
      </c>
      <c r="O414" s="10" t="str">
        <f t="shared" si="129"/>
        <v/>
      </c>
      <c r="P414" s="12" t="str">
        <f t="shared" si="130"/>
        <v/>
      </c>
      <c r="Q414" s="10" t="str">
        <f t="shared" si="131"/>
        <v/>
      </c>
      <c r="R414" s="13" t="str">
        <f t="shared" si="132"/>
        <v/>
      </c>
      <c r="S414" s="13" t="str">
        <f t="shared" si="133"/>
        <v/>
      </c>
      <c r="T414" s="22" t="str">
        <f>IF(R414&lt;&gt;"",VLOOKUP(P414,Constants!$D$3:$E$10,2),"")</f>
        <v/>
      </c>
    </row>
    <row r="415" spans="2:20" x14ac:dyDescent="0.25">
      <c r="B415" s="59"/>
      <c r="C415" s="59"/>
      <c r="D415" s="60"/>
      <c r="E415" s="59"/>
      <c r="F415" s="59"/>
      <c r="G415" s="59"/>
      <c r="H415" s="61"/>
      <c r="I415" s="61"/>
      <c r="J415" s="61"/>
      <c r="K415" s="62"/>
      <c r="L415" s="10" t="str">
        <f t="shared" si="126"/>
        <v/>
      </c>
      <c r="M415" s="10" t="str">
        <f t="shared" si="127"/>
        <v/>
      </c>
      <c r="N415" s="11" t="str">
        <f t="shared" si="128"/>
        <v/>
      </c>
      <c r="O415" s="10" t="str">
        <f t="shared" si="129"/>
        <v/>
      </c>
      <c r="P415" s="12" t="str">
        <f t="shared" si="130"/>
        <v/>
      </c>
      <c r="Q415" s="10" t="str">
        <f t="shared" si="131"/>
        <v/>
      </c>
      <c r="R415" s="13" t="str">
        <f t="shared" si="132"/>
        <v/>
      </c>
      <c r="S415" s="13" t="str">
        <f t="shared" si="133"/>
        <v/>
      </c>
      <c r="T415" s="22" t="str">
        <f>IF(R415&lt;&gt;"",VLOOKUP(P415,Constants!$D$3:$E$10,2),"")</f>
        <v/>
      </c>
    </row>
    <row r="416" spans="2:20" x14ac:dyDescent="0.25">
      <c r="B416" s="59"/>
      <c r="C416" s="59"/>
      <c r="D416" s="60"/>
      <c r="E416" s="59"/>
      <c r="F416" s="59"/>
      <c r="G416" s="59"/>
      <c r="H416" s="61"/>
      <c r="I416" s="61"/>
      <c r="J416" s="61"/>
      <c r="K416" s="62"/>
      <c r="L416" s="10" t="str">
        <f t="shared" si="126"/>
        <v/>
      </c>
      <c r="M416" s="10" t="str">
        <f t="shared" si="127"/>
        <v/>
      </c>
      <c r="N416" s="11" t="str">
        <f t="shared" si="128"/>
        <v/>
      </c>
      <c r="O416" s="10" t="str">
        <f t="shared" si="129"/>
        <v/>
      </c>
      <c r="P416" s="12" t="str">
        <f t="shared" si="130"/>
        <v/>
      </c>
      <c r="Q416" s="10" t="str">
        <f t="shared" si="131"/>
        <v/>
      </c>
      <c r="R416" s="13" t="str">
        <f t="shared" si="132"/>
        <v/>
      </c>
      <c r="S416" s="13" t="str">
        <f t="shared" si="133"/>
        <v/>
      </c>
      <c r="T416" s="22" t="str">
        <f>IF(R416&lt;&gt;"",VLOOKUP(P416,Constants!$D$3:$E$10,2),"")</f>
        <v/>
      </c>
    </row>
    <row r="417" spans="2:20" x14ac:dyDescent="0.25">
      <c r="B417" s="59"/>
      <c r="C417" s="59"/>
      <c r="D417" s="60"/>
      <c r="E417" s="59"/>
      <c r="F417" s="59"/>
      <c r="G417" s="59"/>
      <c r="H417" s="61"/>
      <c r="I417" s="61"/>
      <c r="J417" s="61"/>
      <c r="K417" s="62"/>
      <c r="L417" s="10" t="str">
        <f t="shared" si="126"/>
        <v/>
      </c>
      <c r="M417" s="10" t="str">
        <f t="shared" si="127"/>
        <v/>
      </c>
      <c r="N417" s="11" t="str">
        <f t="shared" si="128"/>
        <v/>
      </c>
      <c r="O417" s="10" t="str">
        <f t="shared" si="129"/>
        <v/>
      </c>
      <c r="P417" s="12" t="str">
        <f t="shared" si="130"/>
        <v/>
      </c>
      <c r="Q417" s="10" t="str">
        <f t="shared" si="131"/>
        <v/>
      </c>
      <c r="R417" s="13" t="str">
        <f t="shared" si="132"/>
        <v/>
      </c>
      <c r="S417" s="13" t="str">
        <f t="shared" si="133"/>
        <v/>
      </c>
      <c r="T417" s="22" t="str">
        <f>IF(R417&lt;&gt;"",VLOOKUP(P417,Constants!$D$3:$E$10,2),"")</f>
        <v/>
      </c>
    </row>
    <row r="418" spans="2:20" x14ac:dyDescent="0.25">
      <c r="B418" s="59"/>
      <c r="C418" s="59"/>
      <c r="D418" s="60"/>
      <c r="E418" s="59"/>
      <c r="F418" s="59"/>
      <c r="G418" s="59"/>
      <c r="H418" s="61"/>
      <c r="I418" s="61"/>
      <c r="J418" s="61"/>
      <c r="K418" s="62"/>
      <c r="L418" s="10" t="str">
        <f t="shared" si="126"/>
        <v/>
      </c>
      <c r="M418" s="10" t="str">
        <f t="shared" si="127"/>
        <v/>
      </c>
      <c r="N418" s="11" t="str">
        <f t="shared" si="128"/>
        <v/>
      </c>
      <c r="O418" s="10" t="str">
        <f t="shared" si="129"/>
        <v/>
      </c>
      <c r="P418" s="12" t="str">
        <f t="shared" si="130"/>
        <v/>
      </c>
      <c r="Q418" s="10" t="str">
        <f t="shared" si="131"/>
        <v/>
      </c>
      <c r="R418" s="13" t="str">
        <f t="shared" si="132"/>
        <v/>
      </c>
      <c r="S418" s="13" t="str">
        <f t="shared" si="133"/>
        <v/>
      </c>
      <c r="T418" s="22" t="str">
        <f>IF(R418&lt;&gt;"",VLOOKUP(P418,Constants!$D$3:$E$10,2),"")</f>
        <v/>
      </c>
    </row>
    <row r="419" spans="2:20" x14ac:dyDescent="0.25">
      <c r="B419" s="59"/>
      <c r="C419" s="59"/>
      <c r="D419" s="60"/>
      <c r="E419" s="59"/>
      <c r="F419" s="59"/>
      <c r="G419" s="59"/>
      <c r="H419" s="61"/>
      <c r="I419" s="61"/>
      <c r="J419" s="61"/>
      <c r="K419" s="62"/>
      <c r="L419" s="10" t="str">
        <f t="shared" si="126"/>
        <v/>
      </c>
      <c r="M419" s="10" t="str">
        <f t="shared" si="127"/>
        <v/>
      </c>
      <c r="N419" s="11" t="str">
        <f t="shared" si="128"/>
        <v/>
      </c>
      <c r="O419" s="10" t="str">
        <f t="shared" si="129"/>
        <v/>
      </c>
      <c r="P419" s="12" t="str">
        <f t="shared" si="130"/>
        <v/>
      </c>
      <c r="Q419" s="10" t="str">
        <f t="shared" si="131"/>
        <v/>
      </c>
      <c r="R419" s="13" t="str">
        <f t="shared" si="132"/>
        <v/>
      </c>
      <c r="S419" s="13" t="str">
        <f t="shared" si="133"/>
        <v/>
      </c>
      <c r="T419" s="22" t="str">
        <f>IF(R419&lt;&gt;"",VLOOKUP(P419,Constants!$D$3:$E$10,2),"")</f>
        <v/>
      </c>
    </row>
    <row r="420" spans="2:20" x14ac:dyDescent="0.25">
      <c r="B420" s="59"/>
      <c r="C420" s="59"/>
      <c r="D420" s="60"/>
      <c r="E420" s="59"/>
      <c r="F420" s="59"/>
      <c r="G420" s="59"/>
      <c r="H420" s="61"/>
      <c r="I420" s="61"/>
      <c r="J420" s="61"/>
      <c r="K420" s="62"/>
      <c r="L420" s="10" t="str">
        <f t="shared" si="126"/>
        <v/>
      </c>
      <c r="M420" s="10" t="str">
        <f t="shared" si="127"/>
        <v/>
      </c>
      <c r="N420" s="11" t="str">
        <f t="shared" si="128"/>
        <v/>
      </c>
      <c r="O420" s="10" t="str">
        <f t="shared" si="129"/>
        <v/>
      </c>
      <c r="P420" s="12" t="str">
        <f t="shared" si="130"/>
        <v/>
      </c>
      <c r="Q420" s="10" t="str">
        <f t="shared" si="131"/>
        <v/>
      </c>
      <c r="R420" s="13" t="str">
        <f t="shared" si="132"/>
        <v/>
      </c>
      <c r="S420" s="13" t="str">
        <f t="shared" si="133"/>
        <v/>
      </c>
      <c r="T420" s="22" t="str">
        <f>IF(R420&lt;&gt;"",VLOOKUP(P420,Constants!$D$3:$E$10,2),"")</f>
        <v/>
      </c>
    </row>
    <row r="421" spans="2:20" x14ac:dyDescent="0.25">
      <c r="B421" s="59"/>
      <c r="C421" s="59"/>
      <c r="D421" s="60"/>
      <c r="E421" s="59"/>
      <c r="F421" s="59"/>
      <c r="G421" s="59"/>
      <c r="H421" s="61"/>
      <c r="I421" s="61"/>
      <c r="J421" s="61"/>
      <c r="K421" s="62"/>
      <c r="L421" s="10" t="str">
        <f t="shared" si="126"/>
        <v/>
      </c>
      <c r="M421" s="10" t="str">
        <f t="shared" si="127"/>
        <v/>
      </c>
      <c r="N421" s="11" t="str">
        <f t="shared" si="128"/>
        <v/>
      </c>
      <c r="O421" s="10" t="str">
        <f t="shared" si="129"/>
        <v/>
      </c>
      <c r="P421" s="12" t="str">
        <f t="shared" si="130"/>
        <v/>
      </c>
      <c r="Q421" s="10" t="str">
        <f t="shared" si="131"/>
        <v/>
      </c>
      <c r="R421" s="13" t="str">
        <f t="shared" si="132"/>
        <v/>
      </c>
      <c r="S421" s="13" t="str">
        <f t="shared" si="133"/>
        <v/>
      </c>
      <c r="T421" s="22" t="str">
        <f>IF(R421&lt;&gt;"",VLOOKUP(P421,Constants!$D$3:$E$10,2),"")</f>
        <v/>
      </c>
    </row>
    <row r="422" spans="2:20" x14ac:dyDescent="0.25">
      <c r="B422" s="59"/>
      <c r="C422" s="59"/>
      <c r="D422" s="60"/>
      <c r="E422" s="59"/>
      <c r="F422" s="59"/>
      <c r="G422" s="59"/>
      <c r="H422" s="61"/>
      <c r="I422" s="61"/>
      <c r="J422" s="61"/>
      <c r="K422" s="62"/>
      <c r="L422" s="10" t="str">
        <f t="shared" si="126"/>
        <v/>
      </c>
      <c r="M422" s="10" t="str">
        <f t="shared" si="127"/>
        <v/>
      </c>
      <c r="N422" s="11" t="str">
        <f t="shared" si="128"/>
        <v/>
      </c>
      <c r="O422" s="10" t="str">
        <f t="shared" si="129"/>
        <v/>
      </c>
      <c r="P422" s="12" t="str">
        <f t="shared" si="130"/>
        <v/>
      </c>
      <c r="Q422" s="10" t="str">
        <f t="shared" si="131"/>
        <v/>
      </c>
      <c r="R422" s="13" t="str">
        <f t="shared" si="132"/>
        <v/>
      </c>
      <c r="S422" s="13" t="str">
        <f t="shared" si="133"/>
        <v/>
      </c>
      <c r="T422" s="22" t="str">
        <f>IF(R422&lt;&gt;"",VLOOKUP(P422,Constants!$D$3:$E$10,2),"")</f>
        <v/>
      </c>
    </row>
    <row r="423" spans="2:20" x14ac:dyDescent="0.25">
      <c r="B423" s="59"/>
      <c r="C423" s="59"/>
      <c r="D423" s="60"/>
      <c r="E423" s="59"/>
      <c r="F423" s="59"/>
      <c r="G423" s="59"/>
      <c r="H423" s="61"/>
      <c r="I423" s="61"/>
      <c r="J423" s="61"/>
      <c r="K423" s="62"/>
      <c r="L423" s="10" t="str">
        <f t="shared" si="126"/>
        <v/>
      </c>
      <c r="M423" s="10" t="str">
        <f t="shared" si="127"/>
        <v/>
      </c>
      <c r="N423" s="11" t="str">
        <f t="shared" si="128"/>
        <v/>
      </c>
      <c r="O423" s="10" t="str">
        <f t="shared" si="129"/>
        <v/>
      </c>
      <c r="P423" s="12" t="str">
        <f t="shared" si="130"/>
        <v/>
      </c>
      <c r="Q423" s="10" t="str">
        <f t="shared" si="131"/>
        <v/>
      </c>
      <c r="R423" s="13" t="str">
        <f t="shared" si="132"/>
        <v/>
      </c>
      <c r="S423" s="13" t="str">
        <f t="shared" si="133"/>
        <v/>
      </c>
      <c r="T423" s="22" t="str">
        <f>IF(R423&lt;&gt;"",VLOOKUP(P423,Constants!$D$3:$E$10,2),"")</f>
        <v/>
      </c>
    </row>
    <row r="424" spans="2:20" x14ac:dyDescent="0.25">
      <c r="B424" s="59"/>
      <c r="C424" s="59"/>
      <c r="D424" s="60"/>
      <c r="E424" s="59"/>
      <c r="F424" s="59"/>
      <c r="G424" s="59"/>
      <c r="H424" s="61"/>
      <c r="I424" s="61"/>
      <c r="J424" s="61"/>
      <c r="K424" s="62"/>
      <c r="L424" s="10" t="str">
        <f t="shared" si="126"/>
        <v/>
      </c>
      <c r="M424" s="10" t="str">
        <f t="shared" si="127"/>
        <v/>
      </c>
      <c r="N424" s="11" t="str">
        <f t="shared" si="128"/>
        <v/>
      </c>
      <c r="O424" s="10" t="str">
        <f t="shared" si="129"/>
        <v/>
      </c>
      <c r="P424" s="12" t="str">
        <f t="shared" si="130"/>
        <v/>
      </c>
      <c r="Q424" s="10" t="str">
        <f t="shared" si="131"/>
        <v/>
      </c>
      <c r="R424" s="13" t="str">
        <f t="shared" si="132"/>
        <v/>
      </c>
      <c r="S424" s="13" t="str">
        <f t="shared" si="133"/>
        <v/>
      </c>
      <c r="T424" s="22" t="str">
        <f>IF(R424&lt;&gt;"",VLOOKUP(P424,Constants!$D$3:$E$10,2),"")</f>
        <v/>
      </c>
    </row>
    <row r="425" spans="2:20" x14ac:dyDescent="0.25">
      <c r="B425" s="59"/>
      <c r="C425" s="59"/>
      <c r="D425" s="60"/>
      <c r="E425" s="59"/>
      <c r="F425" s="59"/>
      <c r="G425" s="59"/>
      <c r="H425" s="61"/>
      <c r="I425" s="61"/>
      <c r="J425" s="61"/>
      <c r="K425" s="62"/>
      <c r="L425" s="10" t="str">
        <f t="shared" si="126"/>
        <v/>
      </c>
      <c r="M425" s="10" t="str">
        <f t="shared" si="127"/>
        <v/>
      </c>
      <c r="N425" s="11" t="str">
        <f t="shared" si="128"/>
        <v/>
      </c>
      <c r="O425" s="10" t="str">
        <f t="shared" si="129"/>
        <v/>
      </c>
      <c r="P425" s="12" t="str">
        <f t="shared" si="130"/>
        <v/>
      </c>
      <c r="Q425" s="10" t="str">
        <f t="shared" si="131"/>
        <v/>
      </c>
      <c r="R425" s="13" t="str">
        <f t="shared" si="132"/>
        <v/>
      </c>
      <c r="S425" s="13" t="str">
        <f t="shared" si="133"/>
        <v/>
      </c>
      <c r="T425" s="22" t="str">
        <f>IF(R425&lt;&gt;"",VLOOKUP(P425,Constants!$D$3:$E$10,2),"")</f>
        <v/>
      </c>
    </row>
    <row r="426" spans="2:20" x14ac:dyDescent="0.25">
      <c r="B426" s="59"/>
      <c r="C426" s="59"/>
      <c r="D426" s="60"/>
      <c r="E426" s="59"/>
      <c r="F426" s="59"/>
      <c r="G426" s="59"/>
      <c r="H426" s="61"/>
      <c r="I426" s="61"/>
      <c r="J426" s="61"/>
      <c r="K426" s="62"/>
      <c r="L426" s="10" t="str">
        <f t="shared" si="126"/>
        <v/>
      </c>
      <c r="M426" s="10" t="str">
        <f t="shared" si="127"/>
        <v/>
      </c>
      <c r="N426" s="11" t="str">
        <f t="shared" si="128"/>
        <v/>
      </c>
      <c r="O426" s="10" t="str">
        <f t="shared" si="129"/>
        <v/>
      </c>
      <c r="P426" s="12" t="str">
        <f t="shared" si="130"/>
        <v/>
      </c>
      <c r="Q426" s="10" t="str">
        <f t="shared" si="131"/>
        <v/>
      </c>
      <c r="R426" s="13" t="str">
        <f t="shared" si="132"/>
        <v/>
      </c>
      <c r="S426" s="13" t="str">
        <f t="shared" si="133"/>
        <v/>
      </c>
      <c r="T426" s="22" t="str">
        <f>IF(R426&lt;&gt;"",VLOOKUP(P426,Constants!$D$3:$E$10,2),"")</f>
        <v/>
      </c>
    </row>
    <row r="427" spans="2:20" x14ac:dyDescent="0.25">
      <c r="B427" s="59"/>
      <c r="C427" s="59"/>
      <c r="D427" s="60"/>
      <c r="E427" s="59"/>
      <c r="F427" s="59"/>
      <c r="G427" s="59"/>
      <c r="H427" s="61"/>
      <c r="I427" s="61"/>
      <c r="J427" s="61"/>
      <c r="K427" s="62"/>
      <c r="L427" s="10" t="str">
        <f t="shared" si="126"/>
        <v/>
      </c>
      <c r="M427" s="10" t="str">
        <f t="shared" si="127"/>
        <v/>
      </c>
      <c r="N427" s="11" t="str">
        <f t="shared" si="128"/>
        <v/>
      </c>
      <c r="O427" s="10" t="str">
        <f t="shared" si="129"/>
        <v/>
      </c>
      <c r="P427" s="12" t="str">
        <f t="shared" si="130"/>
        <v/>
      </c>
      <c r="Q427" s="10" t="str">
        <f t="shared" si="131"/>
        <v/>
      </c>
      <c r="R427" s="13" t="str">
        <f t="shared" si="132"/>
        <v/>
      </c>
      <c r="S427" s="13" t="str">
        <f t="shared" si="133"/>
        <v/>
      </c>
      <c r="T427" s="22" t="str">
        <f>IF(R427&lt;&gt;"",VLOOKUP(P427,Constants!$D$3:$E$10,2),"")</f>
        <v/>
      </c>
    </row>
    <row r="428" spans="2:20" x14ac:dyDescent="0.25">
      <c r="B428" s="59"/>
      <c r="C428" s="59"/>
      <c r="D428" s="60"/>
      <c r="E428" s="59"/>
      <c r="F428" s="59"/>
      <c r="G428" s="59"/>
      <c r="H428" s="61"/>
      <c r="I428" s="61"/>
      <c r="J428" s="61"/>
      <c r="K428" s="62"/>
      <c r="L428" s="10" t="str">
        <f t="shared" si="126"/>
        <v/>
      </c>
      <c r="M428" s="10" t="str">
        <f t="shared" si="127"/>
        <v/>
      </c>
      <c r="N428" s="11" t="str">
        <f t="shared" si="128"/>
        <v/>
      </c>
      <c r="O428" s="10" t="str">
        <f t="shared" si="129"/>
        <v/>
      </c>
      <c r="P428" s="12" t="str">
        <f t="shared" si="130"/>
        <v/>
      </c>
      <c r="Q428" s="10" t="str">
        <f t="shared" si="131"/>
        <v/>
      </c>
      <c r="R428" s="13" t="str">
        <f t="shared" si="132"/>
        <v/>
      </c>
      <c r="S428" s="13" t="str">
        <f t="shared" si="133"/>
        <v/>
      </c>
      <c r="T428" s="22" t="str">
        <f>IF(R428&lt;&gt;"",VLOOKUP(P428,Constants!$D$3:$E$10,2),"")</f>
        <v/>
      </c>
    </row>
    <row r="429" spans="2:20" x14ac:dyDescent="0.25">
      <c r="B429" s="59"/>
      <c r="C429" s="59"/>
      <c r="D429" s="60"/>
      <c r="E429" s="59"/>
      <c r="F429" s="59"/>
      <c r="G429" s="59"/>
      <c r="H429" s="61"/>
      <c r="I429" s="61"/>
      <c r="J429" s="61"/>
      <c r="K429" s="62"/>
      <c r="L429" s="10" t="str">
        <f t="shared" si="126"/>
        <v/>
      </c>
      <c r="M429" s="10" t="str">
        <f t="shared" si="127"/>
        <v/>
      </c>
      <c r="N429" s="11" t="str">
        <f t="shared" si="128"/>
        <v/>
      </c>
      <c r="O429" s="10" t="str">
        <f t="shared" si="129"/>
        <v/>
      </c>
      <c r="P429" s="12" t="str">
        <f t="shared" si="130"/>
        <v/>
      </c>
      <c r="Q429" s="10" t="str">
        <f t="shared" si="131"/>
        <v/>
      </c>
      <c r="R429" s="13" t="str">
        <f t="shared" si="132"/>
        <v/>
      </c>
      <c r="S429" s="13" t="str">
        <f t="shared" si="133"/>
        <v/>
      </c>
      <c r="T429" s="22" t="str">
        <f>IF(R429&lt;&gt;"",VLOOKUP(P429,Constants!$D$3:$E$10,2),"")</f>
        <v/>
      </c>
    </row>
    <row r="430" spans="2:20" x14ac:dyDescent="0.25">
      <c r="B430" s="59"/>
      <c r="C430" s="59"/>
      <c r="D430" s="60"/>
      <c r="E430" s="59"/>
      <c r="F430" s="59"/>
      <c r="G430" s="59"/>
      <c r="H430" s="61"/>
      <c r="I430" s="61"/>
      <c r="J430" s="61"/>
      <c r="K430" s="62"/>
      <c r="L430" s="10" t="str">
        <f t="shared" si="126"/>
        <v/>
      </c>
      <c r="M430" s="10" t="str">
        <f t="shared" si="127"/>
        <v/>
      </c>
      <c r="N430" s="11" t="str">
        <f t="shared" si="128"/>
        <v/>
      </c>
      <c r="O430" s="10" t="str">
        <f t="shared" si="129"/>
        <v/>
      </c>
      <c r="P430" s="12" t="str">
        <f t="shared" si="130"/>
        <v/>
      </c>
      <c r="Q430" s="10" t="str">
        <f t="shared" si="131"/>
        <v/>
      </c>
      <c r="R430" s="13" t="str">
        <f t="shared" si="132"/>
        <v/>
      </c>
      <c r="S430" s="13" t="str">
        <f t="shared" si="133"/>
        <v/>
      </c>
      <c r="T430" s="22" t="str">
        <f>IF(R430&lt;&gt;"",VLOOKUP(P430,Constants!$D$3:$E$10,2),"")</f>
        <v/>
      </c>
    </row>
    <row r="431" spans="2:20" x14ac:dyDescent="0.25">
      <c r="B431" s="59"/>
      <c r="C431" s="59"/>
      <c r="D431" s="60"/>
      <c r="E431" s="59"/>
      <c r="F431" s="59"/>
      <c r="G431" s="59"/>
      <c r="H431" s="61"/>
      <c r="I431" s="61"/>
      <c r="J431" s="61"/>
      <c r="K431" s="62"/>
      <c r="L431" s="10" t="str">
        <f t="shared" si="126"/>
        <v/>
      </c>
      <c r="M431" s="10" t="str">
        <f t="shared" si="127"/>
        <v/>
      </c>
      <c r="N431" s="11" t="str">
        <f t="shared" si="128"/>
        <v/>
      </c>
      <c r="O431" s="10" t="str">
        <f t="shared" si="129"/>
        <v/>
      </c>
      <c r="P431" s="12" t="str">
        <f t="shared" si="130"/>
        <v/>
      </c>
      <c r="Q431" s="10" t="str">
        <f t="shared" si="131"/>
        <v/>
      </c>
      <c r="R431" s="13" t="str">
        <f t="shared" si="132"/>
        <v/>
      </c>
      <c r="S431" s="13" t="str">
        <f t="shared" si="133"/>
        <v/>
      </c>
      <c r="T431" s="22" t="str">
        <f>IF(R431&lt;&gt;"",VLOOKUP(P431,Constants!$D$3:$E$10,2),"")</f>
        <v/>
      </c>
    </row>
    <row r="432" spans="2:20" x14ac:dyDescent="0.25">
      <c r="B432" s="59"/>
      <c r="C432" s="59"/>
      <c r="D432" s="60"/>
      <c r="E432" s="59"/>
      <c r="F432" s="59"/>
      <c r="G432" s="59"/>
      <c r="H432" s="61"/>
      <c r="I432" s="61"/>
      <c r="J432" s="61"/>
      <c r="K432" s="62"/>
      <c r="L432" s="10" t="str">
        <f t="shared" si="126"/>
        <v/>
      </c>
      <c r="M432" s="10" t="str">
        <f t="shared" si="127"/>
        <v/>
      </c>
      <c r="N432" s="11" t="str">
        <f t="shared" si="128"/>
        <v/>
      </c>
      <c r="O432" s="10" t="str">
        <f t="shared" si="129"/>
        <v/>
      </c>
      <c r="P432" s="12" t="str">
        <f t="shared" si="130"/>
        <v/>
      </c>
      <c r="Q432" s="10" t="str">
        <f t="shared" si="131"/>
        <v/>
      </c>
      <c r="R432" s="13" t="str">
        <f t="shared" si="132"/>
        <v/>
      </c>
      <c r="S432" s="13" t="str">
        <f t="shared" si="133"/>
        <v/>
      </c>
      <c r="T432" s="22" t="str">
        <f>IF(R432&lt;&gt;"",VLOOKUP(P432,Constants!$D$3:$E$10,2),"")</f>
        <v/>
      </c>
    </row>
    <row r="433" spans="2:20" x14ac:dyDescent="0.25">
      <c r="B433" s="59"/>
      <c r="C433" s="59"/>
      <c r="D433" s="60"/>
      <c r="E433" s="59"/>
      <c r="F433" s="59"/>
      <c r="G433" s="59"/>
      <c r="H433" s="61"/>
      <c r="I433" s="61"/>
      <c r="J433" s="61"/>
      <c r="K433" s="62"/>
      <c r="L433" s="10" t="str">
        <f t="shared" si="126"/>
        <v/>
      </c>
      <c r="M433" s="10" t="str">
        <f t="shared" si="127"/>
        <v/>
      </c>
      <c r="N433" s="11" t="str">
        <f t="shared" si="128"/>
        <v/>
      </c>
      <c r="O433" s="10" t="str">
        <f t="shared" si="129"/>
        <v/>
      </c>
      <c r="P433" s="12" t="str">
        <f t="shared" si="130"/>
        <v/>
      </c>
      <c r="Q433" s="10" t="str">
        <f t="shared" si="131"/>
        <v/>
      </c>
      <c r="R433" s="13" t="str">
        <f t="shared" si="132"/>
        <v/>
      </c>
      <c r="S433" s="13" t="str">
        <f t="shared" si="133"/>
        <v/>
      </c>
      <c r="T433" s="22" t="str">
        <f>IF(R433&lt;&gt;"",VLOOKUP(P433,Constants!$D$3:$E$10,2),"")</f>
        <v/>
      </c>
    </row>
    <row r="434" spans="2:20" x14ac:dyDescent="0.25">
      <c r="B434" s="59"/>
      <c r="C434" s="59"/>
      <c r="D434" s="60"/>
      <c r="E434" s="59"/>
      <c r="F434" s="59"/>
      <c r="G434" s="59"/>
      <c r="H434" s="61"/>
      <c r="I434" s="61"/>
      <c r="J434" s="61"/>
      <c r="K434" s="62"/>
      <c r="L434" s="10" t="str">
        <f t="shared" si="126"/>
        <v/>
      </c>
      <c r="M434" s="10" t="str">
        <f t="shared" si="127"/>
        <v/>
      </c>
      <c r="N434" s="11" t="str">
        <f t="shared" si="128"/>
        <v/>
      </c>
      <c r="O434" s="10" t="str">
        <f t="shared" si="129"/>
        <v/>
      </c>
      <c r="P434" s="12" t="str">
        <f t="shared" si="130"/>
        <v/>
      </c>
      <c r="Q434" s="10" t="str">
        <f t="shared" si="131"/>
        <v/>
      </c>
      <c r="R434" s="13" t="str">
        <f t="shared" si="132"/>
        <v/>
      </c>
      <c r="S434" s="13" t="str">
        <f t="shared" si="133"/>
        <v/>
      </c>
      <c r="T434" s="22" t="str">
        <f>IF(R434&lt;&gt;"",VLOOKUP(P434,Constants!$D$3:$E$10,2),"")</f>
        <v/>
      </c>
    </row>
    <row r="435" spans="2:20" x14ac:dyDescent="0.25">
      <c r="B435" s="59"/>
      <c r="C435" s="59"/>
      <c r="D435" s="60"/>
      <c r="E435" s="59"/>
      <c r="F435" s="59"/>
      <c r="G435" s="59"/>
      <c r="H435" s="61"/>
      <c r="I435" s="61"/>
      <c r="J435" s="61"/>
      <c r="K435" s="62"/>
      <c r="L435" s="10" t="str">
        <f t="shared" si="126"/>
        <v/>
      </c>
      <c r="M435" s="10" t="str">
        <f t="shared" si="127"/>
        <v/>
      </c>
      <c r="N435" s="11" t="str">
        <f t="shared" si="128"/>
        <v/>
      </c>
      <c r="O435" s="10" t="str">
        <f t="shared" si="129"/>
        <v/>
      </c>
      <c r="P435" s="12" t="str">
        <f t="shared" si="130"/>
        <v/>
      </c>
      <c r="Q435" s="10" t="str">
        <f t="shared" si="131"/>
        <v/>
      </c>
      <c r="R435" s="13" t="str">
        <f t="shared" si="132"/>
        <v/>
      </c>
      <c r="S435" s="13" t="str">
        <f t="shared" si="133"/>
        <v/>
      </c>
      <c r="T435" s="22" t="str">
        <f>IF(R435&lt;&gt;"",VLOOKUP(P435,Constants!$D$3:$E$10,2),"")</f>
        <v/>
      </c>
    </row>
    <row r="436" spans="2:20" x14ac:dyDescent="0.25">
      <c r="B436" s="59"/>
      <c r="C436" s="59"/>
      <c r="D436" s="60"/>
      <c r="E436" s="59"/>
      <c r="F436" s="59"/>
      <c r="G436" s="59"/>
      <c r="H436" s="61"/>
      <c r="I436" s="61"/>
      <c r="J436" s="61"/>
      <c r="K436" s="62"/>
      <c r="L436" s="10" t="str">
        <f t="shared" si="126"/>
        <v/>
      </c>
      <c r="M436" s="10" t="str">
        <f t="shared" si="127"/>
        <v/>
      </c>
      <c r="N436" s="11" t="str">
        <f t="shared" si="128"/>
        <v/>
      </c>
      <c r="O436" s="10" t="str">
        <f t="shared" si="129"/>
        <v/>
      </c>
      <c r="P436" s="12" t="str">
        <f t="shared" si="130"/>
        <v/>
      </c>
      <c r="Q436" s="10" t="str">
        <f t="shared" si="131"/>
        <v/>
      </c>
      <c r="R436" s="13" t="str">
        <f t="shared" si="132"/>
        <v/>
      </c>
      <c r="S436" s="13" t="str">
        <f t="shared" si="133"/>
        <v/>
      </c>
      <c r="T436" s="22" t="str">
        <f>IF(R436&lt;&gt;"",VLOOKUP(P436,Constants!$D$3:$E$10,2),"")</f>
        <v/>
      </c>
    </row>
    <row r="437" spans="2:20" x14ac:dyDescent="0.25">
      <c r="B437" s="59"/>
      <c r="C437" s="59"/>
      <c r="D437" s="60"/>
      <c r="E437" s="59"/>
      <c r="F437" s="59"/>
      <c r="G437" s="59"/>
      <c r="H437" s="61"/>
      <c r="I437" s="61"/>
      <c r="J437" s="61"/>
      <c r="K437" s="62"/>
      <c r="L437" s="10" t="str">
        <f t="shared" si="126"/>
        <v/>
      </c>
      <c r="M437" s="10" t="str">
        <f t="shared" si="127"/>
        <v/>
      </c>
      <c r="N437" s="11" t="str">
        <f t="shared" si="128"/>
        <v/>
      </c>
      <c r="O437" s="10" t="str">
        <f t="shared" si="129"/>
        <v/>
      </c>
      <c r="P437" s="12" t="str">
        <f t="shared" si="130"/>
        <v/>
      </c>
      <c r="Q437" s="10" t="str">
        <f t="shared" si="131"/>
        <v/>
      </c>
      <c r="R437" s="13" t="str">
        <f t="shared" si="132"/>
        <v/>
      </c>
      <c r="S437" s="13" t="str">
        <f t="shared" si="133"/>
        <v/>
      </c>
      <c r="T437" s="22" t="str">
        <f>IF(R437&lt;&gt;"",VLOOKUP(P437,Constants!$D$3:$E$10,2),"")</f>
        <v/>
      </c>
    </row>
    <row r="438" spans="2:20" x14ac:dyDescent="0.25">
      <c r="B438" s="59"/>
      <c r="C438" s="59"/>
      <c r="D438" s="60"/>
      <c r="E438" s="59"/>
      <c r="F438" s="59"/>
      <c r="G438" s="59"/>
      <c r="H438" s="61"/>
      <c r="I438" s="61"/>
      <c r="J438" s="61"/>
      <c r="K438" s="62"/>
      <c r="L438" s="10" t="str">
        <f t="shared" si="126"/>
        <v/>
      </c>
      <c r="M438" s="10" t="str">
        <f t="shared" si="127"/>
        <v/>
      </c>
      <c r="N438" s="11" t="str">
        <f t="shared" si="128"/>
        <v/>
      </c>
      <c r="O438" s="10" t="str">
        <f t="shared" si="129"/>
        <v/>
      </c>
      <c r="P438" s="12" t="str">
        <f t="shared" si="130"/>
        <v/>
      </c>
      <c r="Q438" s="10" t="str">
        <f t="shared" si="131"/>
        <v/>
      </c>
      <c r="R438" s="13" t="str">
        <f t="shared" si="132"/>
        <v/>
      </c>
      <c r="S438" s="13" t="str">
        <f t="shared" si="133"/>
        <v/>
      </c>
      <c r="T438" s="22" t="str">
        <f>IF(R438&lt;&gt;"",VLOOKUP(P438,Constants!$D$3:$E$10,2),"")</f>
        <v/>
      </c>
    </row>
    <row r="439" spans="2:20" x14ac:dyDescent="0.25">
      <c r="B439" s="59"/>
      <c r="C439" s="59"/>
      <c r="D439" s="60"/>
      <c r="E439" s="59"/>
      <c r="F439" s="59"/>
      <c r="G439" s="59"/>
      <c r="H439" s="61"/>
      <c r="I439" s="61"/>
      <c r="J439" s="61"/>
      <c r="K439" s="62"/>
      <c r="L439" s="10" t="str">
        <f t="shared" si="126"/>
        <v/>
      </c>
      <c r="M439" s="10" t="str">
        <f t="shared" si="127"/>
        <v/>
      </c>
      <c r="N439" s="11" t="str">
        <f t="shared" si="128"/>
        <v/>
      </c>
      <c r="O439" s="10" t="str">
        <f t="shared" si="129"/>
        <v/>
      </c>
      <c r="P439" s="12" t="str">
        <f t="shared" si="130"/>
        <v/>
      </c>
      <c r="Q439" s="10" t="str">
        <f t="shared" si="131"/>
        <v/>
      </c>
      <c r="R439" s="13" t="str">
        <f t="shared" si="132"/>
        <v/>
      </c>
      <c r="S439" s="13" t="str">
        <f t="shared" si="133"/>
        <v/>
      </c>
      <c r="T439" s="22" t="str">
        <f>IF(R439&lt;&gt;"",VLOOKUP(P439,Constants!$D$3:$E$10,2),"")</f>
        <v/>
      </c>
    </row>
    <row r="440" spans="2:20" x14ac:dyDescent="0.25">
      <c r="B440" s="59"/>
      <c r="C440" s="59"/>
      <c r="D440" s="60"/>
      <c r="E440" s="59"/>
      <c r="F440" s="59"/>
      <c r="G440" s="59"/>
      <c r="H440" s="61"/>
      <c r="I440" s="61"/>
      <c r="J440" s="61"/>
      <c r="K440" s="62"/>
      <c r="L440" s="10" t="str">
        <f t="shared" si="126"/>
        <v/>
      </c>
      <c r="M440" s="10" t="str">
        <f t="shared" si="127"/>
        <v/>
      </c>
      <c r="N440" s="11" t="str">
        <f t="shared" si="128"/>
        <v/>
      </c>
      <c r="O440" s="10" t="str">
        <f t="shared" si="129"/>
        <v/>
      </c>
      <c r="P440" s="12" t="str">
        <f t="shared" si="130"/>
        <v/>
      </c>
      <c r="Q440" s="10" t="str">
        <f t="shared" si="131"/>
        <v/>
      </c>
      <c r="R440" s="13" t="str">
        <f t="shared" si="132"/>
        <v/>
      </c>
      <c r="S440" s="13" t="str">
        <f t="shared" si="133"/>
        <v/>
      </c>
      <c r="T440" s="22" t="str">
        <f>IF(R440&lt;&gt;"",VLOOKUP(P440,Constants!$D$3:$E$10,2),"")</f>
        <v/>
      </c>
    </row>
    <row r="441" spans="2:20" x14ac:dyDescent="0.25">
      <c r="B441" s="59"/>
      <c r="C441" s="59"/>
      <c r="D441" s="60"/>
      <c r="E441" s="59"/>
      <c r="F441" s="59"/>
      <c r="G441" s="59"/>
      <c r="H441" s="61"/>
      <c r="I441" s="61"/>
      <c r="J441" s="61"/>
      <c r="K441" s="62"/>
      <c r="L441" s="10" t="str">
        <f t="shared" si="126"/>
        <v/>
      </c>
      <c r="M441" s="10" t="str">
        <f t="shared" si="127"/>
        <v/>
      </c>
      <c r="N441" s="11" t="str">
        <f t="shared" si="128"/>
        <v/>
      </c>
      <c r="O441" s="10" t="str">
        <f t="shared" si="129"/>
        <v/>
      </c>
      <c r="P441" s="12" t="str">
        <f t="shared" si="130"/>
        <v/>
      </c>
      <c r="Q441" s="10" t="str">
        <f t="shared" si="131"/>
        <v/>
      </c>
      <c r="R441" s="13" t="str">
        <f t="shared" si="132"/>
        <v/>
      </c>
      <c r="S441" s="13" t="str">
        <f t="shared" si="133"/>
        <v/>
      </c>
      <c r="T441" s="22" t="str">
        <f>IF(R441&lt;&gt;"",VLOOKUP(P441,Constants!$D$3:$E$10,2),"")</f>
        <v/>
      </c>
    </row>
    <row r="442" spans="2:20" x14ac:dyDescent="0.25">
      <c r="B442" s="59"/>
      <c r="C442" s="59"/>
      <c r="D442" s="60"/>
      <c r="E442" s="59"/>
      <c r="F442" s="59"/>
      <c r="G442" s="59"/>
      <c r="H442" s="61"/>
      <c r="I442" s="61"/>
      <c r="J442" s="61"/>
      <c r="K442" s="62"/>
      <c r="L442" s="10" t="str">
        <f t="shared" si="126"/>
        <v/>
      </c>
      <c r="M442" s="10" t="str">
        <f t="shared" si="127"/>
        <v/>
      </c>
      <c r="N442" s="11" t="str">
        <f t="shared" si="128"/>
        <v/>
      </c>
      <c r="O442" s="10" t="str">
        <f t="shared" si="129"/>
        <v/>
      </c>
      <c r="P442" s="12" t="str">
        <f t="shared" si="130"/>
        <v/>
      </c>
      <c r="Q442" s="10" t="str">
        <f t="shared" si="131"/>
        <v/>
      </c>
      <c r="R442" s="13" t="str">
        <f t="shared" si="132"/>
        <v/>
      </c>
      <c r="S442" s="13" t="str">
        <f t="shared" si="133"/>
        <v/>
      </c>
      <c r="T442" s="22" t="str">
        <f>IF(R442&lt;&gt;"",VLOOKUP(P442,Constants!$D$3:$E$10,2),"")</f>
        <v/>
      </c>
    </row>
    <row r="443" spans="2:20" x14ac:dyDescent="0.25">
      <c r="B443" s="59"/>
      <c r="C443" s="59"/>
      <c r="D443" s="60"/>
      <c r="E443" s="59"/>
      <c r="F443" s="59"/>
      <c r="G443" s="59"/>
      <c r="H443" s="61"/>
      <c r="I443" s="61"/>
      <c r="J443" s="61"/>
      <c r="K443" s="62"/>
      <c r="L443" s="10" t="str">
        <f t="shared" si="126"/>
        <v/>
      </c>
      <c r="M443" s="10" t="str">
        <f t="shared" si="127"/>
        <v/>
      </c>
      <c r="N443" s="11" t="str">
        <f t="shared" si="128"/>
        <v/>
      </c>
      <c r="O443" s="10" t="str">
        <f t="shared" si="129"/>
        <v/>
      </c>
      <c r="P443" s="12" t="str">
        <f t="shared" si="130"/>
        <v/>
      </c>
      <c r="Q443" s="10" t="str">
        <f t="shared" si="131"/>
        <v/>
      </c>
      <c r="R443" s="13" t="str">
        <f t="shared" si="132"/>
        <v/>
      </c>
      <c r="S443" s="13" t="str">
        <f t="shared" si="133"/>
        <v/>
      </c>
      <c r="T443" s="22" t="str">
        <f>IF(R443&lt;&gt;"",VLOOKUP(P443,Constants!$D$3:$E$10,2),"")</f>
        <v/>
      </c>
    </row>
    <row r="444" spans="2:20" x14ac:dyDescent="0.25">
      <c r="B444" s="59"/>
      <c r="C444" s="59"/>
      <c r="D444" s="60"/>
      <c r="E444" s="59"/>
      <c r="F444" s="59"/>
      <c r="G444" s="59"/>
      <c r="H444" s="61"/>
      <c r="I444" s="61"/>
      <c r="J444" s="61"/>
      <c r="K444" s="62"/>
      <c r="L444" s="10" t="str">
        <f t="shared" si="126"/>
        <v/>
      </c>
      <c r="M444" s="10" t="str">
        <f t="shared" si="127"/>
        <v/>
      </c>
      <c r="N444" s="11" t="str">
        <f t="shared" si="128"/>
        <v/>
      </c>
      <c r="O444" s="10" t="str">
        <f t="shared" si="129"/>
        <v/>
      </c>
      <c r="P444" s="12" t="str">
        <f t="shared" si="130"/>
        <v/>
      </c>
      <c r="Q444" s="10" t="str">
        <f t="shared" si="131"/>
        <v/>
      </c>
      <c r="R444" s="13" t="str">
        <f t="shared" si="132"/>
        <v/>
      </c>
      <c r="S444" s="13" t="str">
        <f t="shared" si="133"/>
        <v/>
      </c>
      <c r="T444" s="22" t="str">
        <f>IF(R444&lt;&gt;"",VLOOKUP(P444,Constants!$D$3:$E$10,2),"")</f>
        <v/>
      </c>
    </row>
    <row r="445" spans="2:20" x14ac:dyDescent="0.25">
      <c r="B445" s="59"/>
      <c r="C445" s="59"/>
      <c r="D445" s="60"/>
      <c r="E445" s="59"/>
      <c r="F445" s="59"/>
      <c r="G445" s="59"/>
      <c r="H445" s="61"/>
      <c r="I445" s="61"/>
      <c r="J445" s="61"/>
      <c r="K445" s="62"/>
      <c r="L445" s="10" t="str">
        <f t="shared" si="126"/>
        <v/>
      </c>
      <c r="M445" s="10" t="str">
        <f t="shared" si="127"/>
        <v/>
      </c>
      <c r="N445" s="11" t="str">
        <f t="shared" si="128"/>
        <v/>
      </c>
      <c r="O445" s="10" t="str">
        <f t="shared" si="129"/>
        <v/>
      </c>
      <c r="P445" s="12" t="str">
        <f t="shared" si="130"/>
        <v/>
      </c>
      <c r="Q445" s="10" t="str">
        <f t="shared" si="131"/>
        <v/>
      </c>
      <c r="R445" s="13" t="str">
        <f t="shared" si="132"/>
        <v/>
      </c>
      <c r="S445" s="13" t="str">
        <f t="shared" si="133"/>
        <v/>
      </c>
      <c r="T445" s="22" t="str">
        <f>IF(R445&lt;&gt;"",VLOOKUP(P445,Constants!$D$3:$E$10,2),"")</f>
        <v/>
      </c>
    </row>
    <row r="446" spans="2:20" x14ac:dyDescent="0.25">
      <c r="B446" s="59"/>
      <c r="C446" s="59"/>
      <c r="D446" s="60"/>
      <c r="E446" s="59"/>
      <c r="F446" s="59"/>
      <c r="G446" s="59"/>
      <c r="H446" s="61"/>
      <c r="I446" s="61"/>
      <c r="J446" s="61"/>
      <c r="K446" s="62"/>
      <c r="L446" s="10" t="str">
        <f t="shared" si="126"/>
        <v/>
      </c>
      <c r="M446" s="10" t="str">
        <f t="shared" si="127"/>
        <v/>
      </c>
      <c r="N446" s="11" t="str">
        <f t="shared" si="128"/>
        <v/>
      </c>
      <c r="O446" s="10" t="str">
        <f t="shared" si="129"/>
        <v/>
      </c>
      <c r="P446" s="12" t="str">
        <f t="shared" si="130"/>
        <v/>
      </c>
      <c r="Q446" s="10" t="str">
        <f t="shared" si="131"/>
        <v/>
      </c>
      <c r="R446" s="13" t="str">
        <f t="shared" si="132"/>
        <v/>
      </c>
      <c r="S446" s="13" t="str">
        <f t="shared" si="133"/>
        <v/>
      </c>
      <c r="T446" s="22" t="str">
        <f>IF(R446&lt;&gt;"",VLOOKUP(P446,Constants!$D$3:$E$10,2),"")</f>
        <v/>
      </c>
    </row>
    <row r="447" spans="2:20" x14ac:dyDescent="0.25">
      <c r="B447" s="59"/>
      <c r="C447" s="59"/>
      <c r="D447" s="60"/>
      <c r="E447" s="59"/>
      <c r="F447" s="59"/>
      <c r="G447" s="59"/>
      <c r="H447" s="61"/>
      <c r="I447" s="61"/>
      <c r="J447" s="61"/>
      <c r="K447" s="62"/>
      <c r="L447" s="10" t="str">
        <f t="shared" si="126"/>
        <v/>
      </c>
      <c r="M447" s="10" t="str">
        <f t="shared" si="127"/>
        <v/>
      </c>
      <c r="N447" s="11" t="str">
        <f t="shared" si="128"/>
        <v/>
      </c>
      <c r="O447" s="10" t="str">
        <f t="shared" si="129"/>
        <v/>
      </c>
      <c r="P447" s="12" t="str">
        <f t="shared" si="130"/>
        <v/>
      </c>
      <c r="Q447" s="10" t="str">
        <f t="shared" si="131"/>
        <v/>
      </c>
      <c r="R447" s="13" t="str">
        <f t="shared" si="132"/>
        <v/>
      </c>
      <c r="S447" s="13" t="str">
        <f t="shared" si="133"/>
        <v/>
      </c>
      <c r="T447" s="22" t="str">
        <f>IF(R447&lt;&gt;"",VLOOKUP(P447,Constants!$D$3:$E$10,2),"")</f>
        <v/>
      </c>
    </row>
    <row r="448" spans="2:20" x14ac:dyDescent="0.25">
      <c r="B448" s="59"/>
      <c r="C448" s="59"/>
      <c r="D448" s="60"/>
      <c r="E448" s="59"/>
      <c r="F448" s="59"/>
      <c r="G448" s="59"/>
      <c r="H448" s="61"/>
      <c r="I448" s="61"/>
      <c r="J448" s="61"/>
      <c r="K448" s="62"/>
      <c r="L448" s="10" t="str">
        <f t="shared" si="126"/>
        <v/>
      </c>
      <c r="M448" s="10" t="str">
        <f t="shared" si="127"/>
        <v/>
      </c>
      <c r="N448" s="11" t="str">
        <f t="shared" si="128"/>
        <v/>
      </c>
      <c r="O448" s="10" t="str">
        <f t="shared" si="129"/>
        <v/>
      </c>
      <c r="P448" s="12" t="str">
        <f t="shared" si="130"/>
        <v/>
      </c>
      <c r="Q448" s="10" t="str">
        <f t="shared" si="131"/>
        <v/>
      </c>
      <c r="R448" s="13" t="str">
        <f t="shared" si="132"/>
        <v/>
      </c>
      <c r="S448" s="13" t="str">
        <f t="shared" si="133"/>
        <v/>
      </c>
      <c r="T448" s="22" t="str">
        <f>IF(R448&lt;&gt;"",VLOOKUP(P448,Constants!$D$3:$E$10,2),"")</f>
        <v/>
      </c>
    </row>
    <row r="449" spans="2:20" x14ac:dyDescent="0.25">
      <c r="B449" s="59"/>
      <c r="C449" s="59"/>
      <c r="D449" s="60"/>
      <c r="E449" s="59"/>
      <c r="F449" s="59"/>
      <c r="G449" s="59"/>
      <c r="H449" s="61"/>
      <c r="I449" s="61"/>
      <c r="J449" s="61"/>
      <c r="K449" s="62"/>
      <c r="L449" s="10" t="str">
        <f t="shared" si="126"/>
        <v/>
      </c>
      <c r="M449" s="10" t="str">
        <f t="shared" si="127"/>
        <v/>
      </c>
      <c r="N449" s="11" t="str">
        <f t="shared" si="128"/>
        <v/>
      </c>
      <c r="O449" s="10" t="str">
        <f t="shared" si="129"/>
        <v/>
      </c>
      <c r="P449" s="12" t="str">
        <f t="shared" si="130"/>
        <v/>
      </c>
      <c r="Q449" s="10" t="str">
        <f t="shared" si="131"/>
        <v/>
      </c>
      <c r="R449" s="13" t="str">
        <f t="shared" si="132"/>
        <v/>
      </c>
      <c r="S449" s="13" t="str">
        <f t="shared" si="133"/>
        <v/>
      </c>
      <c r="T449" s="22" t="str">
        <f>IF(R449&lt;&gt;"",VLOOKUP(P449,Constants!$D$3:$E$10,2),"")</f>
        <v/>
      </c>
    </row>
    <row r="450" spans="2:20" x14ac:dyDescent="0.25">
      <c r="B450" s="59"/>
      <c r="C450" s="59"/>
      <c r="D450" s="60"/>
      <c r="E450" s="59"/>
      <c r="F450" s="59"/>
      <c r="G450" s="59"/>
      <c r="H450" s="61"/>
      <c r="I450" s="61"/>
      <c r="J450" s="61"/>
      <c r="K450" s="62"/>
      <c r="L450" s="10" t="str">
        <f t="shared" si="126"/>
        <v/>
      </c>
      <c r="M450" s="10" t="str">
        <f t="shared" si="127"/>
        <v/>
      </c>
      <c r="N450" s="11" t="str">
        <f t="shared" si="128"/>
        <v/>
      </c>
      <c r="O450" s="10" t="str">
        <f t="shared" si="129"/>
        <v/>
      </c>
      <c r="P450" s="12" t="str">
        <f t="shared" si="130"/>
        <v/>
      </c>
      <c r="Q450" s="10" t="str">
        <f t="shared" si="131"/>
        <v/>
      </c>
      <c r="R450" s="13" t="str">
        <f t="shared" si="132"/>
        <v/>
      </c>
      <c r="S450" s="13" t="str">
        <f t="shared" si="133"/>
        <v/>
      </c>
      <c r="T450" s="22" t="str">
        <f>IF(R450&lt;&gt;"",VLOOKUP(P450,Constants!$D$3:$E$10,2),"")</f>
        <v/>
      </c>
    </row>
    <row r="451" spans="2:20" x14ac:dyDescent="0.25">
      <c r="B451" s="59"/>
      <c r="C451" s="59"/>
      <c r="D451" s="60"/>
      <c r="E451" s="59"/>
      <c r="F451" s="59"/>
      <c r="G451" s="59"/>
      <c r="H451" s="61"/>
      <c r="I451" s="61"/>
      <c r="J451" s="61"/>
      <c r="K451" s="62"/>
      <c r="L451" s="10" t="str">
        <f t="shared" si="126"/>
        <v/>
      </c>
      <c r="M451" s="10" t="str">
        <f t="shared" si="127"/>
        <v/>
      </c>
      <c r="N451" s="11" t="str">
        <f t="shared" si="128"/>
        <v/>
      </c>
      <c r="O451" s="10" t="str">
        <f t="shared" si="129"/>
        <v/>
      </c>
      <c r="P451" s="12" t="str">
        <f t="shared" si="130"/>
        <v/>
      </c>
      <c r="Q451" s="10" t="str">
        <f t="shared" si="131"/>
        <v/>
      </c>
      <c r="R451" s="13" t="str">
        <f t="shared" si="132"/>
        <v/>
      </c>
      <c r="S451" s="13" t="str">
        <f t="shared" si="133"/>
        <v/>
      </c>
      <c r="T451" s="22" t="str">
        <f>IF(R451&lt;&gt;"",VLOOKUP(P451,Constants!$D$3:$E$10,2),"")</f>
        <v/>
      </c>
    </row>
    <row r="452" spans="2:20" x14ac:dyDescent="0.25">
      <c r="B452" s="59"/>
      <c r="C452" s="59"/>
      <c r="D452" s="60"/>
      <c r="E452" s="59"/>
      <c r="F452" s="59"/>
      <c r="G452" s="59"/>
      <c r="H452" s="61"/>
      <c r="I452" s="61"/>
      <c r="J452" s="61"/>
      <c r="K452" s="62"/>
      <c r="L452" s="10" t="str">
        <f t="shared" si="126"/>
        <v/>
      </c>
      <c r="M452" s="10" t="str">
        <f t="shared" si="127"/>
        <v/>
      </c>
      <c r="N452" s="11" t="str">
        <f t="shared" si="128"/>
        <v/>
      </c>
      <c r="O452" s="10" t="str">
        <f t="shared" si="129"/>
        <v/>
      </c>
      <c r="P452" s="12" t="str">
        <f t="shared" si="130"/>
        <v/>
      </c>
      <c r="Q452" s="10" t="str">
        <f t="shared" si="131"/>
        <v/>
      </c>
      <c r="R452" s="13" t="str">
        <f t="shared" si="132"/>
        <v/>
      </c>
      <c r="S452" s="13" t="str">
        <f t="shared" si="133"/>
        <v/>
      </c>
      <c r="T452" s="22" t="str">
        <f>IF(R452&lt;&gt;"",VLOOKUP(P452,Constants!$D$3:$E$10,2),"")</f>
        <v/>
      </c>
    </row>
    <row r="453" spans="2:20" x14ac:dyDescent="0.25">
      <c r="B453" s="59"/>
      <c r="C453" s="59"/>
      <c r="D453" s="60"/>
      <c r="E453" s="59"/>
      <c r="F453" s="59"/>
      <c r="G453" s="59"/>
      <c r="H453" s="61"/>
      <c r="I453" s="61"/>
      <c r="J453" s="61"/>
      <c r="K453" s="62"/>
      <c r="L453" s="10" t="str">
        <f t="shared" si="126"/>
        <v/>
      </c>
      <c r="M453" s="10" t="str">
        <f t="shared" si="127"/>
        <v/>
      </c>
      <c r="N453" s="11" t="str">
        <f t="shared" si="128"/>
        <v/>
      </c>
      <c r="O453" s="10" t="str">
        <f t="shared" si="129"/>
        <v/>
      </c>
      <c r="P453" s="12" t="str">
        <f t="shared" si="130"/>
        <v/>
      </c>
      <c r="Q453" s="10" t="str">
        <f t="shared" si="131"/>
        <v/>
      </c>
      <c r="R453" s="13" t="str">
        <f t="shared" si="132"/>
        <v/>
      </c>
      <c r="S453" s="13" t="str">
        <f t="shared" si="133"/>
        <v/>
      </c>
      <c r="T453" s="22" t="str">
        <f>IF(R453&lt;&gt;"",VLOOKUP(P453,Constants!$D$3:$E$10,2),"")</f>
        <v/>
      </c>
    </row>
    <row r="454" spans="2:20" x14ac:dyDescent="0.25">
      <c r="B454" s="59"/>
      <c r="C454" s="59"/>
      <c r="D454" s="60"/>
      <c r="E454" s="59"/>
      <c r="F454" s="59"/>
      <c r="G454" s="59"/>
      <c r="H454" s="61"/>
      <c r="I454" s="61"/>
      <c r="J454" s="61"/>
      <c r="K454" s="62"/>
      <c r="L454" s="10" t="str">
        <f t="shared" si="126"/>
        <v/>
      </c>
      <c r="M454" s="10" t="str">
        <f t="shared" si="127"/>
        <v/>
      </c>
      <c r="N454" s="11" t="str">
        <f t="shared" si="128"/>
        <v/>
      </c>
      <c r="O454" s="10" t="str">
        <f t="shared" si="129"/>
        <v/>
      </c>
      <c r="P454" s="12" t="str">
        <f t="shared" si="130"/>
        <v/>
      </c>
      <c r="Q454" s="10" t="str">
        <f t="shared" si="131"/>
        <v/>
      </c>
      <c r="R454" s="13" t="str">
        <f t="shared" si="132"/>
        <v/>
      </c>
      <c r="S454" s="13" t="str">
        <f t="shared" si="133"/>
        <v/>
      </c>
      <c r="T454" s="22" t="str">
        <f>IF(R454&lt;&gt;"",VLOOKUP(P454,Constants!$D$3:$E$10,2),"")</f>
        <v/>
      </c>
    </row>
    <row r="455" spans="2:20" x14ac:dyDescent="0.25">
      <c r="B455" s="59"/>
      <c r="C455" s="59"/>
      <c r="D455" s="60"/>
      <c r="E455" s="59"/>
      <c r="F455" s="59"/>
      <c r="G455" s="59"/>
      <c r="H455" s="61"/>
      <c r="I455" s="61"/>
      <c r="J455" s="61"/>
      <c r="K455" s="62"/>
      <c r="L455" s="10" t="str">
        <f t="shared" si="126"/>
        <v/>
      </c>
      <c r="M455" s="10" t="str">
        <f t="shared" si="127"/>
        <v/>
      </c>
      <c r="N455" s="11" t="str">
        <f t="shared" si="128"/>
        <v/>
      </c>
      <c r="O455" s="10" t="str">
        <f t="shared" si="129"/>
        <v/>
      </c>
      <c r="P455" s="12" t="str">
        <f t="shared" si="130"/>
        <v/>
      </c>
      <c r="Q455" s="10" t="str">
        <f t="shared" si="131"/>
        <v/>
      </c>
      <c r="R455" s="13" t="str">
        <f t="shared" si="132"/>
        <v/>
      </c>
      <c r="S455" s="13" t="str">
        <f t="shared" si="133"/>
        <v/>
      </c>
      <c r="T455" s="22" t="str">
        <f>IF(R455&lt;&gt;"",VLOOKUP(P455,Constants!$D$3:$E$10,2),"")</f>
        <v/>
      </c>
    </row>
    <row r="456" spans="2:20" x14ac:dyDescent="0.25">
      <c r="B456" s="59"/>
      <c r="C456" s="59"/>
      <c r="D456" s="60"/>
      <c r="E456" s="59"/>
      <c r="F456" s="59"/>
      <c r="G456" s="59"/>
      <c r="H456" s="61"/>
      <c r="I456" s="61"/>
      <c r="J456" s="61"/>
      <c r="K456" s="62"/>
      <c r="L456" s="10" t="str">
        <f t="shared" si="126"/>
        <v/>
      </c>
      <c r="M456" s="10" t="str">
        <f t="shared" si="127"/>
        <v/>
      </c>
      <c r="N456" s="11" t="str">
        <f t="shared" si="128"/>
        <v/>
      </c>
      <c r="O456" s="10" t="str">
        <f t="shared" si="129"/>
        <v/>
      </c>
      <c r="P456" s="12" t="str">
        <f t="shared" si="130"/>
        <v/>
      </c>
      <c r="Q456" s="10" t="str">
        <f t="shared" si="131"/>
        <v/>
      </c>
      <c r="R456" s="13" t="str">
        <f t="shared" si="132"/>
        <v/>
      </c>
      <c r="S456" s="13" t="str">
        <f t="shared" si="133"/>
        <v/>
      </c>
      <c r="T456" s="22" t="str">
        <f>IF(R456&lt;&gt;"",VLOOKUP(P456,Constants!$D$3:$E$10,2),"")</f>
        <v/>
      </c>
    </row>
    <row r="457" spans="2:20" x14ac:dyDescent="0.25">
      <c r="B457" s="59"/>
      <c r="C457" s="59"/>
      <c r="D457" s="60"/>
      <c r="E457" s="59"/>
      <c r="F457" s="59"/>
      <c r="G457" s="59"/>
      <c r="H457" s="61"/>
      <c r="I457" s="61"/>
      <c r="J457" s="61"/>
      <c r="K457" s="62"/>
      <c r="L457" s="10" t="str">
        <f t="shared" si="126"/>
        <v/>
      </c>
      <c r="M457" s="10" t="str">
        <f t="shared" si="127"/>
        <v/>
      </c>
      <c r="N457" s="11" t="str">
        <f t="shared" si="128"/>
        <v/>
      </c>
      <c r="O457" s="10" t="str">
        <f t="shared" si="129"/>
        <v/>
      </c>
      <c r="P457" s="12" t="str">
        <f t="shared" si="130"/>
        <v/>
      </c>
      <c r="Q457" s="10" t="str">
        <f t="shared" si="131"/>
        <v/>
      </c>
      <c r="R457" s="13" t="str">
        <f t="shared" si="132"/>
        <v/>
      </c>
      <c r="S457" s="13" t="str">
        <f t="shared" si="133"/>
        <v/>
      </c>
      <c r="T457" s="22" t="str">
        <f>IF(R457&lt;&gt;"",VLOOKUP(P457,Constants!$D$3:$E$10,2),"")</f>
        <v/>
      </c>
    </row>
    <row r="458" spans="2:20" x14ac:dyDescent="0.25">
      <c r="B458" s="59"/>
      <c r="C458" s="59"/>
      <c r="D458" s="60"/>
      <c r="E458" s="59"/>
      <c r="F458" s="59"/>
      <c r="G458" s="59"/>
      <c r="H458" s="61"/>
      <c r="I458" s="61"/>
      <c r="J458" s="61"/>
      <c r="K458" s="62"/>
      <c r="L458" s="10" t="str">
        <f t="shared" si="126"/>
        <v/>
      </c>
      <c r="M458" s="10" t="str">
        <f t="shared" si="127"/>
        <v/>
      </c>
      <c r="N458" s="11" t="str">
        <f t="shared" si="128"/>
        <v/>
      </c>
      <c r="O458" s="10" t="str">
        <f t="shared" si="129"/>
        <v/>
      </c>
      <c r="P458" s="12" t="str">
        <f t="shared" si="130"/>
        <v/>
      </c>
      <c r="Q458" s="10" t="str">
        <f t="shared" si="131"/>
        <v/>
      </c>
      <c r="R458" s="13" t="str">
        <f t="shared" si="132"/>
        <v/>
      </c>
      <c r="S458" s="13" t="str">
        <f t="shared" si="133"/>
        <v/>
      </c>
      <c r="T458" s="22" t="str">
        <f>IF(R458&lt;&gt;"",VLOOKUP(P458,Constants!$D$3:$E$10,2),"")</f>
        <v/>
      </c>
    </row>
    <row r="459" spans="2:20" x14ac:dyDescent="0.25">
      <c r="B459" s="59"/>
      <c r="C459" s="59"/>
      <c r="D459" s="60"/>
      <c r="E459" s="59"/>
      <c r="F459" s="59"/>
      <c r="G459" s="59"/>
      <c r="H459" s="61"/>
      <c r="I459" s="61"/>
      <c r="J459" s="61"/>
      <c r="K459" s="62"/>
      <c r="L459" s="10" t="str">
        <f t="shared" si="126"/>
        <v/>
      </c>
      <c r="M459" s="10" t="str">
        <f t="shared" si="127"/>
        <v/>
      </c>
      <c r="N459" s="11" t="str">
        <f t="shared" si="128"/>
        <v/>
      </c>
      <c r="O459" s="10" t="str">
        <f t="shared" si="129"/>
        <v/>
      </c>
      <c r="P459" s="12" t="str">
        <f t="shared" si="130"/>
        <v/>
      </c>
      <c r="Q459" s="10" t="str">
        <f t="shared" si="131"/>
        <v/>
      </c>
      <c r="R459" s="13" t="str">
        <f t="shared" si="132"/>
        <v/>
      </c>
      <c r="S459" s="13" t="str">
        <f t="shared" si="133"/>
        <v/>
      </c>
      <c r="T459" s="22" t="str">
        <f>IF(R459&lt;&gt;"",VLOOKUP(P459,Constants!$D$3:$E$10,2),"")</f>
        <v/>
      </c>
    </row>
    <row r="460" spans="2:20" x14ac:dyDescent="0.25">
      <c r="B460" s="59"/>
      <c r="C460" s="59"/>
      <c r="D460" s="60"/>
      <c r="E460" s="59"/>
      <c r="F460" s="59"/>
      <c r="G460" s="59"/>
      <c r="H460" s="61"/>
      <c r="I460" s="61"/>
      <c r="J460" s="61"/>
      <c r="K460" s="62"/>
      <c r="L460" s="10" t="str">
        <f t="shared" si="126"/>
        <v/>
      </c>
      <c r="M460" s="10" t="str">
        <f t="shared" si="127"/>
        <v/>
      </c>
      <c r="N460" s="11" t="str">
        <f t="shared" si="128"/>
        <v/>
      </c>
      <c r="O460" s="10" t="str">
        <f t="shared" si="129"/>
        <v/>
      </c>
      <c r="P460" s="12" t="str">
        <f t="shared" si="130"/>
        <v/>
      </c>
      <c r="Q460" s="10" t="str">
        <f t="shared" si="131"/>
        <v/>
      </c>
      <c r="R460" s="13" t="str">
        <f t="shared" si="132"/>
        <v/>
      </c>
      <c r="S460" s="13" t="str">
        <f t="shared" si="133"/>
        <v/>
      </c>
      <c r="T460" s="22" t="str">
        <f>IF(R460&lt;&gt;"",VLOOKUP(P460,Constants!$D$3:$E$10,2),"")</f>
        <v/>
      </c>
    </row>
    <row r="461" spans="2:20" x14ac:dyDescent="0.25">
      <c r="B461" s="59"/>
      <c r="C461" s="59"/>
      <c r="D461" s="60"/>
      <c r="E461" s="59"/>
      <c r="F461" s="59"/>
      <c r="G461" s="59"/>
      <c r="H461" s="61"/>
      <c r="I461" s="61"/>
      <c r="J461" s="61"/>
      <c r="K461" s="62"/>
      <c r="L461" s="10" t="str">
        <f t="shared" si="126"/>
        <v/>
      </c>
      <c r="M461" s="10" t="str">
        <f t="shared" si="127"/>
        <v/>
      </c>
      <c r="N461" s="11" t="str">
        <f t="shared" si="128"/>
        <v/>
      </c>
      <c r="O461" s="10" t="str">
        <f t="shared" si="129"/>
        <v/>
      </c>
      <c r="P461" s="12" t="str">
        <f t="shared" si="130"/>
        <v/>
      </c>
      <c r="Q461" s="10" t="str">
        <f t="shared" si="131"/>
        <v/>
      </c>
      <c r="R461" s="13" t="str">
        <f t="shared" si="132"/>
        <v/>
      </c>
      <c r="S461" s="13" t="str">
        <f t="shared" si="133"/>
        <v/>
      </c>
      <c r="T461" s="22" t="str">
        <f>IF(R461&lt;&gt;"",VLOOKUP(P461,Constants!$D$3:$E$10,2),"")</f>
        <v/>
      </c>
    </row>
    <row r="462" spans="2:20" x14ac:dyDescent="0.25">
      <c r="B462" s="59"/>
      <c r="C462" s="59"/>
      <c r="D462" s="60"/>
      <c r="E462" s="59"/>
      <c r="F462" s="59"/>
      <c r="G462" s="59"/>
      <c r="H462" s="61"/>
      <c r="I462" s="61"/>
      <c r="J462" s="61"/>
      <c r="K462" s="62"/>
      <c r="L462" s="10" t="str">
        <f t="shared" si="126"/>
        <v/>
      </c>
      <c r="M462" s="10" t="str">
        <f t="shared" si="127"/>
        <v/>
      </c>
      <c r="N462" s="11" t="str">
        <f t="shared" si="128"/>
        <v/>
      </c>
      <c r="O462" s="10" t="str">
        <f t="shared" si="129"/>
        <v/>
      </c>
      <c r="P462" s="12" t="str">
        <f t="shared" si="130"/>
        <v/>
      </c>
      <c r="Q462" s="10" t="str">
        <f t="shared" si="131"/>
        <v/>
      </c>
      <c r="R462" s="13" t="str">
        <f t="shared" si="132"/>
        <v/>
      </c>
      <c r="S462" s="13" t="str">
        <f t="shared" si="133"/>
        <v/>
      </c>
      <c r="T462" s="22" t="str">
        <f>IF(R462&lt;&gt;"",VLOOKUP(P462,Constants!$D$3:$E$10,2),"")</f>
        <v/>
      </c>
    </row>
    <row r="463" spans="2:20" x14ac:dyDescent="0.25">
      <c r="B463" s="59"/>
      <c r="C463" s="59"/>
      <c r="D463" s="60"/>
      <c r="E463" s="59"/>
      <c r="F463" s="59"/>
      <c r="G463" s="59"/>
      <c r="H463" s="61"/>
      <c r="I463" s="61"/>
      <c r="J463" s="61"/>
      <c r="K463" s="62"/>
      <c r="L463" s="10" t="str">
        <f t="shared" si="126"/>
        <v/>
      </c>
      <c r="M463" s="10" t="str">
        <f t="shared" si="127"/>
        <v/>
      </c>
      <c r="N463" s="11" t="str">
        <f t="shared" si="128"/>
        <v/>
      </c>
      <c r="O463" s="10" t="str">
        <f t="shared" si="129"/>
        <v/>
      </c>
      <c r="P463" s="12" t="str">
        <f t="shared" si="130"/>
        <v/>
      </c>
      <c r="Q463" s="10" t="str">
        <f t="shared" si="131"/>
        <v/>
      </c>
      <c r="R463" s="13" t="str">
        <f t="shared" si="132"/>
        <v/>
      </c>
      <c r="S463" s="13" t="str">
        <f t="shared" si="133"/>
        <v/>
      </c>
      <c r="T463" s="22" t="str">
        <f>IF(R463&lt;&gt;"",VLOOKUP(P463,Constants!$D$3:$E$10,2),"")</f>
        <v/>
      </c>
    </row>
    <row r="464" spans="2:20" x14ac:dyDescent="0.25">
      <c r="B464" s="59"/>
      <c r="C464" s="59"/>
      <c r="D464" s="60"/>
      <c r="E464" s="59"/>
      <c r="F464" s="59"/>
      <c r="G464" s="59"/>
      <c r="H464" s="61"/>
      <c r="I464" s="61"/>
      <c r="J464" s="61"/>
      <c r="K464" s="62"/>
      <c r="L464" s="10" t="str">
        <f t="shared" si="126"/>
        <v/>
      </c>
      <c r="M464" s="10" t="str">
        <f t="shared" si="127"/>
        <v/>
      </c>
      <c r="N464" s="11" t="str">
        <f t="shared" si="128"/>
        <v/>
      </c>
      <c r="O464" s="10" t="str">
        <f t="shared" si="129"/>
        <v/>
      </c>
      <c r="P464" s="12" t="str">
        <f t="shared" si="130"/>
        <v/>
      </c>
      <c r="Q464" s="10" t="str">
        <f t="shared" si="131"/>
        <v/>
      </c>
      <c r="R464" s="13" t="str">
        <f t="shared" si="132"/>
        <v/>
      </c>
      <c r="S464" s="13" t="str">
        <f t="shared" si="133"/>
        <v/>
      </c>
      <c r="T464" s="22" t="str">
        <f>IF(R464&lt;&gt;"",VLOOKUP(P464,Constants!$D$3:$E$10,2),"")</f>
        <v/>
      </c>
    </row>
    <row r="465" spans="2:20" x14ac:dyDescent="0.25">
      <c r="B465" s="59"/>
      <c r="C465" s="59"/>
      <c r="D465" s="60"/>
      <c r="E465" s="59"/>
      <c r="F465" s="59"/>
      <c r="G465" s="59"/>
      <c r="H465" s="61"/>
      <c r="I465" s="61"/>
      <c r="J465" s="61"/>
      <c r="K465" s="62"/>
      <c r="L465" s="10" t="str">
        <f t="shared" si="126"/>
        <v/>
      </c>
      <c r="M465" s="10" t="str">
        <f t="shared" si="127"/>
        <v/>
      </c>
      <c r="N465" s="11" t="str">
        <f t="shared" si="128"/>
        <v/>
      </c>
      <c r="O465" s="10" t="str">
        <f t="shared" si="129"/>
        <v/>
      </c>
      <c r="P465" s="12" t="str">
        <f t="shared" si="130"/>
        <v/>
      </c>
      <c r="Q465" s="10" t="str">
        <f t="shared" si="131"/>
        <v/>
      </c>
      <c r="R465" s="13" t="str">
        <f t="shared" si="132"/>
        <v/>
      </c>
      <c r="S465" s="13" t="str">
        <f t="shared" si="133"/>
        <v/>
      </c>
      <c r="T465" s="22" t="str">
        <f>IF(R465&lt;&gt;"",VLOOKUP(P465,Constants!$D$3:$E$10,2),"")</f>
        <v/>
      </c>
    </row>
    <row r="466" spans="2:20" x14ac:dyDescent="0.25">
      <c r="B466" s="59"/>
      <c r="C466" s="59"/>
      <c r="D466" s="60"/>
      <c r="E466" s="59"/>
      <c r="F466" s="59"/>
      <c r="G466" s="59"/>
      <c r="H466" s="61"/>
      <c r="I466" s="61"/>
      <c r="J466" s="61"/>
      <c r="K466" s="62"/>
      <c r="L466" s="10" t="str">
        <f t="shared" ref="L466:L529" si="134">IF($D466&lt;&gt;"",$D466*$E466/1000,"")</f>
        <v/>
      </c>
      <c r="M466" s="10" t="str">
        <f t="shared" ref="M466:M529" si="135">IF($D466&lt;&gt;"",$D466*$F466/1000,"")</f>
        <v/>
      </c>
      <c r="N466" s="11" t="str">
        <f t="shared" ref="N466:N529" si="136">IF($L466&lt;&gt;"",SQRT($L466*$L466+$M466*$M466),"")</f>
        <v/>
      </c>
      <c r="O466" s="10" t="str">
        <f t="shared" si="129"/>
        <v/>
      </c>
      <c r="P466" s="12" t="str">
        <f t="shared" si="130"/>
        <v/>
      </c>
      <c r="Q466" s="10" t="str">
        <f t="shared" si="131"/>
        <v/>
      </c>
      <c r="R466" s="13" t="str">
        <f t="shared" si="132"/>
        <v/>
      </c>
      <c r="S466" s="13" t="str">
        <f t="shared" si="133"/>
        <v/>
      </c>
      <c r="T466" s="22" t="str">
        <f>IF(R466&lt;&gt;"",VLOOKUP(P466,Constants!$D$3:$E$10,2),"")</f>
        <v/>
      </c>
    </row>
    <row r="467" spans="2:20" x14ac:dyDescent="0.25">
      <c r="B467" s="59"/>
      <c r="C467" s="59"/>
      <c r="D467" s="60"/>
      <c r="E467" s="59"/>
      <c r="F467" s="59"/>
      <c r="G467" s="59"/>
      <c r="H467" s="61"/>
      <c r="I467" s="61"/>
      <c r="J467" s="61"/>
      <c r="K467" s="62"/>
      <c r="L467" s="10" t="str">
        <f t="shared" si="134"/>
        <v/>
      </c>
      <c r="M467" s="10" t="str">
        <f t="shared" si="135"/>
        <v/>
      </c>
      <c r="N467" s="11" t="str">
        <f t="shared" si="136"/>
        <v/>
      </c>
      <c r="O467" s="10" t="str">
        <f t="shared" si="129"/>
        <v/>
      </c>
      <c r="P467" s="12" t="str">
        <f t="shared" si="130"/>
        <v/>
      </c>
      <c r="Q467" s="10" t="str">
        <f t="shared" si="131"/>
        <v/>
      </c>
      <c r="R467" s="13" t="str">
        <f t="shared" si="132"/>
        <v/>
      </c>
      <c r="S467" s="13" t="str">
        <f t="shared" si="133"/>
        <v/>
      </c>
      <c r="T467" s="22" t="str">
        <f>IF(R467&lt;&gt;"",VLOOKUP(P467,Constants!$D$3:$E$10,2),"")</f>
        <v/>
      </c>
    </row>
    <row r="468" spans="2:20" x14ac:dyDescent="0.25">
      <c r="B468" s="59"/>
      <c r="C468" s="59"/>
      <c r="D468" s="60"/>
      <c r="E468" s="59"/>
      <c r="F468" s="59"/>
      <c r="G468" s="59"/>
      <c r="H468" s="61"/>
      <c r="I468" s="61"/>
      <c r="J468" s="61"/>
      <c r="K468" s="62"/>
      <c r="L468" s="10" t="str">
        <f t="shared" si="134"/>
        <v/>
      </c>
      <c r="M468" s="10" t="str">
        <f t="shared" si="135"/>
        <v/>
      </c>
      <c r="N468" s="11" t="str">
        <f t="shared" si="136"/>
        <v/>
      </c>
      <c r="O468" s="10" t="str">
        <f t="shared" ref="O468:O531" si="137">IF(D468&lt;&gt;"",1000/(2*D468),"")</f>
        <v/>
      </c>
      <c r="P468" s="12" t="str">
        <f t="shared" ref="P468:P531" si="138">IF($N468&lt;&gt;"",D468*SQRT(E468*E468+F468*F468)/16000,"")</f>
        <v/>
      </c>
      <c r="Q468" s="10" t="str">
        <f t="shared" ref="Q468:Q531" si="139">IF(F468&lt;&gt;"",F468*E468/1000000,"")</f>
        <v/>
      </c>
      <c r="R468" s="13" t="str">
        <f t="shared" ref="R468:R531" si="140">IF(G468&lt;&gt;"",1000/G468,"")</f>
        <v/>
      </c>
      <c r="S468" s="13" t="str">
        <f t="shared" ref="S468:S531" si="141">IF(R468&lt;&gt;"",Q468/R468*1000,"")</f>
        <v/>
      </c>
      <c r="T468" s="22" t="str">
        <f>IF(R468&lt;&gt;"",VLOOKUP(P468,Constants!$D$3:$E$10,2),"")</f>
        <v/>
      </c>
    </row>
    <row r="469" spans="2:20" x14ac:dyDescent="0.25">
      <c r="B469" s="59"/>
      <c r="C469" s="59"/>
      <c r="D469" s="60"/>
      <c r="E469" s="59"/>
      <c r="F469" s="59"/>
      <c r="G469" s="59"/>
      <c r="H469" s="61"/>
      <c r="I469" s="61"/>
      <c r="J469" s="61"/>
      <c r="K469" s="62"/>
      <c r="L469" s="10" t="str">
        <f t="shared" si="134"/>
        <v/>
      </c>
      <c r="M469" s="10" t="str">
        <f t="shared" si="135"/>
        <v/>
      </c>
      <c r="N469" s="11" t="str">
        <f t="shared" si="136"/>
        <v/>
      </c>
      <c r="O469" s="10" t="str">
        <f t="shared" si="137"/>
        <v/>
      </c>
      <c r="P469" s="12" t="str">
        <f t="shared" si="138"/>
        <v/>
      </c>
      <c r="Q469" s="10" t="str">
        <f t="shared" si="139"/>
        <v/>
      </c>
      <c r="R469" s="13" t="str">
        <f t="shared" si="140"/>
        <v/>
      </c>
      <c r="S469" s="13" t="str">
        <f t="shared" si="141"/>
        <v/>
      </c>
      <c r="T469" s="22" t="str">
        <f>IF(R469&lt;&gt;"",VLOOKUP(P469,Constants!$D$3:$E$10,2),"")</f>
        <v/>
      </c>
    </row>
    <row r="470" spans="2:20" x14ac:dyDescent="0.25">
      <c r="B470" s="59"/>
      <c r="C470" s="59"/>
      <c r="D470" s="60"/>
      <c r="E470" s="59"/>
      <c r="F470" s="59"/>
      <c r="G470" s="59"/>
      <c r="H470" s="61"/>
      <c r="I470" s="61"/>
      <c r="J470" s="61"/>
      <c r="K470" s="62"/>
      <c r="L470" s="10" t="str">
        <f t="shared" si="134"/>
        <v/>
      </c>
      <c r="M470" s="10" t="str">
        <f t="shared" si="135"/>
        <v/>
      </c>
      <c r="N470" s="11" t="str">
        <f t="shared" si="136"/>
        <v/>
      </c>
      <c r="O470" s="10" t="str">
        <f t="shared" si="137"/>
        <v/>
      </c>
      <c r="P470" s="12" t="str">
        <f t="shared" si="138"/>
        <v/>
      </c>
      <c r="Q470" s="10" t="str">
        <f t="shared" si="139"/>
        <v/>
      </c>
      <c r="R470" s="13" t="str">
        <f t="shared" si="140"/>
        <v/>
      </c>
      <c r="S470" s="13" t="str">
        <f t="shared" si="141"/>
        <v/>
      </c>
      <c r="T470" s="22" t="str">
        <f>IF(R470&lt;&gt;"",VLOOKUP(P470,Constants!$D$3:$E$10,2),"")</f>
        <v/>
      </c>
    </row>
    <row r="471" spans="2:20" x14ac:dyDescent="0.25">
      <c r="B471" s="59"/>
      <c r="C471" s="59"/>
      <c r="D471" s="60"/>
      <c r="E471" s="59"/>
      <c r="F471" s="59"/>
      <c r="G471" s="59"/>
      <c r="H471" s="61"/>
      <c r="I471" s="61"/>
      <c r="J471" s="61"/>
      <c r="K471" s="62"/>
      <c r="L471" s="10" t="str">
        <f t="shared" si="134"/>
        <v/>
      </c>
      <c r="M471" s="10" t="str">
        <f t="shared" si="135"/>
        <v/>
      </c>
      <c r="N471" s="11" t="str">
        <f t="shared" si="136"/>
        <v/>
      </c>
      <c r="O471" s="10" t="str">
        <f t="shared" si="137"/>
        <v/>
      </c>
      <c r="P471" s="12" t="str">
        <f t="shared" si="138"/>
        <v/>
      </c>
      <c r="Q471" s="10" t="str">
        <f t="shared" si="139"/>
        <v/>
      </c>
      <c r="R471" s="13" t="str">
        <f t="shared" si="140"/>
        <v/>
      </c>
      <c r="S471" s="13" t="str">
        <f t="shared" si="141"/>
        <v/>
      </c>
      <c r="T471" s="22" t="str">
        <f>IF(R471&lt;&gt;"",VLOOKUP(P471,Constants!$D$3:$E$10,2),"")</f>
        <v/>
      </c>
    </row>
    <row r="472" spans="2:20" x14ac:dyDescent="0.25">
      <c r="B472" s="59"/>
      <c r="C472" s="59"/>
      <c r="D472" s="60"/>
      <c r="E472" s="59"/>
      <c r="F472" s="59"/>
      <c r="G472" s="59"/>
      <c r="H472" s="61"/>
      <c r="I472" s="61"/>
      <c r="J472" s="61"/>
      <c r="K472" s="62"/>
      <c r="L472" s="10" t="str">
        <f t="shared" si="134"/>
        <v/>
      </c>
      <c r="M472" s="10" t="str">
        <f t="shared" si="135"/>
        <v/>
      </c>
      <c r="N472" s="11" t="str">
        <f t="shared" si="136"/>
        <v/>
      </c>
      <c r="O472" s="10" t="str">
        <f t="shared" si="137"/>
        <v/>
      </c>
      <c r="P472" s="12" t="str">
        <f t="shared" si="138"/>
        <v/>
      </c>
      <c r="Q472" s="10" t="str">
        <f t="shared" si="139"/>
        <v/>
      </c>
      <c r="R472" s="13" t="str">
        <f t="shared" si="140"/>
        <v/>
      </c>
      <c r="S472" s="13" t="str">
        <f t="shared" si="141"/>
        <v/>
      </c>
      <c r="T472" s="22" t="str">
        <f>IF(R472&lt;&gt;"",VLOOKUP(P472,Constants!$D$3:$E$10,2),"")</f>
        <v/>
      </c>
    </row>
    <row r="473" spans="2:20" x14ac:dyDescent="0.25">
      <c r="B473" s="59"/>
      <c r="C473" s="59"/>
      <c r="D473" s="60"/>
      <c r="E473" s="59"/>
      <c r="F473" s="59"/>
      <c r="G473" s="59"/>
      <c r="H473" s="61"/>
      <c r="I473" s="61"/>
      <c r="J473" s="61"/>
      <c r="K473" s="62"/>
      <c r="L473" s="10" t="str">
        <f t="shared" si="134"/>
        <v/>
      </c>
      <c r="M473" s="10" t="str">
        <f t="shared" si="135"/>
        <v/>
      </c>
      <c r="N473" s="11" t="str">
        <f t="shared" si="136"/>
        <v/>
      </c>
      <c r="O473" s="10" t="str">
        <f t="shared" si="137"/>
        <v/>
      </c>
      <c r="P473" s="12" t="str">
        <f t="shared" si="138"/>
        <v/>
      </c>
      <c r="Q473" s="10" t="str">
        <f t="shared" si="139"/>
        <v/>
      </c>
      <c r="R473" s="13" t="str">
        <f t="shared" si="140"/>
        <v/>
      </c>
      <c r="S473" s="13" t="str">
        <f t="shared" si="141"/>
        <v/>
      </c>
      <c r="T473" s="22" t="str">
        <f>IF(R473&lt;&gt;"",VLOOKUP(P473,Constants!$D$3:$E$10,2),"")</f>
        <v/>
      </c>
    </row>
    <row r="474" spans="2:20" x14ac:dyDescent="0.25">
      <c r="B474" s="59"/>
      <c r="C474" s="59"/>
      <c r="D474" s="60"/>
      <c r="E474" s="59"/>
      <c r="F474" s="59"/>
      <c r="G474" s="59"/>
      <c r="H474" s="61"/>
      <c r="I474" s="61"/>
      <c r="J474" s="61"/>
      <c r="K474" s="62"/>
      <c r="L474" s="10" t="str">
        <f t="shared" si="134"/>
        <v/>
      </c>
      <c r="M474" s="10" t="str">
        <f t="shared" si="135"/>
        <v/>
      </c>
      <c r="N474" s="11" t="str">
        <f t="shared" si="136"/>
        <v/>
      </c>
      <c r="O474" s="10" t="str">
        <f t="shared" si="137"/>
        <v/>
      </c>
      <c r="P474" s="12" t="str">
        <f t="shared" si="138"/>
        <v/>
      </c>
      <c r="Q474" s="10" t="str">
        <f t="shared" si="139"/>
        <v/>
      </c>
      <c r="R474" s="13" t="str">
        <f t="shared" si="140"/>
        <v/>
      </c>
      <c r="S474" s="13" t="str">
        <f t="shared" si="141"/>
        <v/>
      </c>
      <c r="T474" s="22" t="str">
        <f>IF(R474&lt;&gt;"",VLOOKUP(P474,Constants!$D$3:$E$10,2),"")</f>
        <v/>
      </c>
    </row>
    <row r="475" spans="2:20" x14ac:dyDescent="0.25">
      <c r="B475" s="59"/>
      <c r="C475" s="59"/>
      <c r="D475" s="60"/>
      <c r="E475" s="59"/>
      <c r="F475" s="59"/>
      <c r="G475" s="59"/>
      <c r="H475" s="61"/>
      <c r="I475" s="61"/>
      <c r="J475" s="61"/>
      <c r="K475" s="62"/>
      <c r="L475" s="10" t="str">
        <f t="shared" si="134"/>
        <v/>
      </c>
      <c r="M475" s="10" t="str">
        <f t="shared" si="135"/>
        <v/>
      </c>
      <c r="N475" s="11" t="str">
        <f t="shared" si="136"/>
        <v/>
      </c>
      <c r="O475" s="10" t="str">
        <f t="shared" si="137"/>
        <v/>
      </c>
      <c r="P475" s="12" t="str">
        <f t="shared" si="138"/>
        <v/>
      </c>
      <c r="Q475" s="10" t="str">
        <f t="shared" si="139"/>
        <v/>
      </c>
      <c r="R475" s="13" t="str">
        <f t="shared" si="140"/>
        <v/>
      </c>
      <c r="S475" s="13" t="str">
        <f t="shared" si="141"/>
        <v/>
      </c>
      <c r="T475" s="22" t="str">
        <f>IF(R475&lt;&gt;"",VLOOKUP(P475,Constants!$D$3:$E$10,2),"")</f>
        <v/>
      </c>
    </row>
    <row r="476" spans="2:20" x14ac:dyDescent="0.25">
      <c r="B476" s="59"/>
      <c r="C476" s="59"/>
      <c r="D476" s="60"/>
      <c r="E476" s="59"/>
      <c r="F476" s="59"/>
      <c r="G476" s="59"/>
      <c r="H476" s="61"/>
      <c r="I476" s="61"/>
      <c r="J476" s="61"/>
      <c r="K476" s="62"/>
      <c r="L476" s="10" t="str">
        <f t="shared" si="134"/>
        <v/>
      </c>
      <c r="M476" s="10" t="str">
        <f t="shared" si="135"/>
        <v/>
      </c>
      <c r="N476" s="11" t="str">
        <f t="shared" si="136"/>
        <v/>
      </c>
      <c r="O476" s="10" t="str">
        <f t="shared" si="137"/>
        <v/>
      </c>
      <c r="P476" s="12" t="str">
        <f t="shared" si="138"/>
        <v/>
      </c>
      <c r="Q476" s="10" t="str">
        <f t="shared" si="139"/>
        <v/>
      </c>
      <c r="R476" s="13" t="str">
        <f t="shared" si="140"/>
        <v/>
      </c>
      <c r="S476" s="13" t="str">
        <f t="shared" si="141"/>
        <v/>
      </c>
      <c r="T476" s="22" t="str">
        <f>IF(R476&lt;&gt;"",VLOOKUP(P476,Constants!$D$3:$E$10,2),"")</f>
        <v/>
      </c>
    </row>
    <row r="477" spans="2:20" x14ac:dyDescent="0.25">
      <c r="B477" s="59"/>
      <c r="C477" s="59"/>
      <c r="D477" s="60"/>
      <c r="E477" s="59"/>
      <c r="F477" s="59"/>
      <c r="G477" s="59"/>
      <c r="H477" s="61"/>
      <c r="I477" s="61"/>
      <c r="J477" s="61"/>
      <c r="K477" s="62"/>
      <c r="L477" s="10" t="str">
        <f t="shared" si="134"/>
        <v/>
      </c>
      <c r="M477" s="10" t="str">
        <f t="shared" si="135"/>
        <v/>
      </c>
      <c r="N477" s="11" t="str">
        <f t="shared" si="136"/>
        <v/>
      </c>
      <c r="O477" s="10" t="str">
        <f t="shared" si="137"/>
        <v/>
      </c>
      <c r="P477" s="12" t="str">
        <f t="shared" si="138"/>
        <v/>
      </c>
      <c r="Q477" s="10" t="str">
        <f t="shared" si="139"/>
        <v/>
      </c>
      <c r="R477" s="13" t="str">
        <f t="shared" si="140"/>
        <v/>
      </c>
      <c r="S477" s="13" t="str">
        <f t="shared" si="141"/>
        <v/>
      </c>
      <c r="T477" s="22" t="str">
        <f>IF(R477&lt;&gt;"",VLOOKUP(P477,Constants!$D$3:$E$10,2),"")</f>
        <v/>
      </c>
    </row>
    <row r="478" spans="2:20" x14ac:dyDescent="0.25">
      <c r="B478" s="59"/>
      <c r="C478" s="59"/>
      <c r="D478" s="60"/>
      <c r="E478" s="59"/>
      <c r="F478" s="59"/>
      <c r="G478" s="59"/>
      <c r="H478" s="61"/>
      <c r="I478" s="61"/>
      <c r="J478" s="61"/>
      <c r="K478" s="62"/>
      <c r="L478" s="10" t="str">
        <f t="shared" si="134"/>
        <v/>
      </c>
      <c r="M478" s="10" t="str">
        <f t="shared" si="135"/>
        <v/>
      </c>
      <c r="N478" s="11" t="str">
        <f t="shared" si="136"/>
        <v/>
      </c>
      <c r="O478" s="10" t="str">
        <f t="shared" si="137"/>
        <v/>
      </c>
      <c r="P478" s="12" t="str">
        <f t="shared" si="138"/>
        <v/>
      </c>
      <c r="Q478" s="10" t="str">
        <f t="shared" si="139"/>
        <v/>
      </c>
      <c r="R478" s="13" t="str">
        <f t="shared" si="140"/>
        <v/>
      </c>
      <c r="S478" s="13" t="str">
        <f t="shared" si="141"/>
        <v/>
      </c>
      <c r="T478" s="22" t="str">
        <f>IF(R478&lt;&gt;"",VLOOKUP(P478,Constants!$D$3:$E$10,2),"")</f>
        <v/>
      </c>
    </row>
    <row r="479" spans="2:20" x14ac:dyDescent="0.25">
      <c r="B479" s="59"/>
      <c r="C479" s="59"/>
      <c r="D479" s="60"/>
      <c r="E479" s="59"/>
      <c r="F479" s="59"/>
      <c r="G479" s="59"/>
      <c r="H479" s="61"/>
      <c r="I479" s="61"/>
      <c r="J479" s="61"/>
      <c r="K479" s="62"/>
      <c r="L479" s="10" t="str">
        <f t="shared" si="134"/>
        <v/>
      </c>
      <c r="M479" s="10" t="str">
        <f t="shared" si="135"/>
        <v/>
      </c>
      <c r="N479" s="11" t="str">
        <f t="shared" si="136"/>
        <v/>
      </c>
      <c r="O479" s="10" t="str">
        <f t="shared" si="137"/>
        <v/>
      </c>
      <c r="P479" s="12" t="str">
        <f t="shared" si="138"/>
        <v/>
      </c>
      <c r="Q479" s="10" t="str">
        <f t="shared" si="139"/>
        <v/>
      </c>
      <c r="R479" s="13" t="str">
        <f t="shared" si="140"/>
        <v/>
      </c>
      <c r="S479" s="13" t="str">
        <f t="shared" si="141"/>
        <v/>
      </c>
      <c r="T479" s="22" t="str">
        <f>IF(R479&lt;&gt;"",VLOOKUP(P479,Constants!$D$3:$E$10,2),"")</f>
        <v/>
      </c>
    </row>
    <row r="480" spans="2:20" x14ac:dyDescent="0.25">
      <c r="B480" s="59"/>
      <c r="C480" s="59"/>
      <c r="D480" s="60"/>
      <c r="E480" s="59"/>
      <c r="F480" s="59"/>
      <c r="G480" s="59"/>
      <c r="H480" s="61"/>
      <c r="I480" s="61"/>
      <c r="J480" s="61"/>
      <c r="K480" s="62"/>
      <c r="L480" s="10" t="str">
        <f t="shared" si="134"/>
        <v/>
      </c>
      <c r="M480" s="10" t="str">
        <f t="shared" si="135"/>
        <v/>
      </c>
      <c r="N480" s="11" t="str">
        <f t="shared" si="136"/>
        <v/>
      </c>
      <c r="O480" s="10" t="str">
        <f t="shared" si="137"/>
        <v/>
      </c>
      <c r="P480" s="12" t="str">
        <f t="shared" si="138"/>
        <v/>
      </c>
      <c r="Q480" s="10" t="str">
        <f t="shared" si="139"/>
        <v/>
      </c>
      <c r="R480" s="13" t="str">
        <f t="shared" si="140"/>
        <v/>
      </c>
      <c r="S480" s="13" t="str">
        <f t="shared" si="141"/>
        <v/>
      </c>
      <c r="T480" s="22" t="str">
        <f>IF(R480&lt;&gt;"",VLOOKUP(P480,Constants!$D$3:$E$10,2),"")</f>
        <v/>
      </c>
    </row>
    <row r="481" spans="2:20" x14ac:dyDescent="0.25">
      <c r="B481" s="59"/>
      <c r="C481" s="59"/>
      <c r="D481" s="60"/>
      <c r="E481" s="59"/>
      <c r="F481" s="59"/>
      <c r="G481" s="59"/>
      <c r="H481" s="61"/>
      <c r="I481" s="61"/>
      <c r="J481" s="61"/>
      <c r="K481" s="62"/>
      <c r="L481" s="10" t="str">
        <f t="shared" si="134"/>
        <v/>
      </c>
      <c r="M481" s="10" t="str">
        <f t="shared" si="135"/>
        <v/>
      </c>
      <c r="N481" s="11" t="str">
        <f t="shared" si="136"/>
        <v/>
      </c>
      <c r="O481" s="10" t="str">
        <f t="shared" si="137"/>
        <v/>
      </c>
      <c r="P481" s="12" t="str">
        <f t="shared" si="138"/>
        <v/>
      </c>
      <c r="Q481" s="10" t="str">
        <f t="shared" si="139"/>
        <v/>
      </c>
      <c r="R481" s="13" t="str">
        <f t="shared" si="140"/>
        <v/>
      </c>
      <c r="S481" s="13" t="str">
        <f t="shared" si="141"/>
        <v/>
      </c>
      <c r="T481" s="22" t="str">
        <f>IF(R481&lt;&gt;"",VLOOKUP(P481,Constants!$D$3:$E$10,2),"")</f>
        <v/>
      </c>
    </row>
    <row r="482" spans="2:20" x14ac:dyDescent="0.25">
      <c r="B482" s="59"/>
      <c r="C482" s="59"/>
      <c r="D482" s="60"/>
      <c r="E482" s="59"/>
      <c r="F482" s="59"/>
      <c r="G482" s="59"/>
      <c r="H482" s="61"/>
      <c r="I482" s="61"/>
      <c r="J482" s="61"/>
      <c r="K482" s="62"/>
      <c r="L482" s="10" t="str">
        <f t="shared" si="134"/>
        <v/>
      </c>
      <c r="M482" s="10" t="str">
        <f t="shared" si="135"/>
        <v/>
      </c>
      <c r="N482" s="11" t="str">
        <f t="shared" si="136"/>
        <v/>
      </c>
      <c r="O482" s="10" t="str">
        <f t="shared" si="137"/>
        <v/>
      </c>
      <c r="P482" s="12" t="str">
        <f t="shared" si="138"/>
        <v/>
      </c>
      <c r="Q482" s="10" t="str">
        <f t="shared" si="139"/>
        <v/>
      </c>
      <c r="R482" s="13" t="str">
        <f t="shared" si="140"/>
        <v/>
      </c>
      <c r="S482" s="13" t="str">
        <f t="shared" si="141"/>
        <v/>
      </c>
      <c r="T482" s="22" t="str">
        <f>IF(R482&lt;&gt;"",VLOOKUP(P482,Constants!$D$3:$E$10,2),"")</f>
        <v/>
      </c>
    </row>
    <row r="483" spans="2:20" x14ac:dyDescent="0.25">
      <c r="B483" s="59"/>
      <c r="C483" s="59"/>
      <c r="D483" s="60"/>
      <c r="E483" s="59"/>
      <c r="F483" s="59"/>
      <c r="G483" s="59"/>
      <c r="H483" s="61"/>
      <c r="I483" s="61"/>
      <c r="J483" s="61"/>
      <c r="K483" s="62"/>
      <c r="L483" s="10" t="str">
        <f t="shared" si="134"/>
        <v/>
      </c>
      <c r="M483" s="10" t="str">
        <f t="shared" si="135"/>
        <v/>
      </c>
      <c r="N483" s="11" t="str">
        <f t="shared" si="136"/>
        <v/>
      </c>
      <c r="O483" s="10" t="str">
        <f t="shared" si="137"/>
        <v/>
      </c>
      <c r="P483" s="12" t="str">
        <f t="shared" si="138"/>
        <v/>
      </c>
      <c r="Q483" s="10" t="str">
        <f t="shared" si="139"/>
        <v/>
      </c>
      <c r="R483" s="13" t="str">
        <f t="shared" si="140"/>
        <v/>
      </c>
      <c r="S483" s="13" t="str">
        <f t="shared" si="141"/>
        <v/>
      </c>
      <c r="T483" s="22" t="str">
        <f>IF(R483&lt;&gt;"",VLOOKUP(P483,Constants!$D$3:$E$10,2),"")</f>
        <v/>
      </c>
    </row>
    <row r="484" spans="2:20" x14ac:dyDescent="0.25">
      <c r="B484" s="59"/>
      <c r="C484" s="59"/>
      <c r="D484" s="60"/>
      <c r="E484" s="59"/>
      <c r="F484" s="59"/>
      <c r="G484" s="59"/>
      <c r="H484" s="61"/>
      <c r="I484" s="61"/>
      <c r="J484" s="61"/>
      <c r="K484" s="62"/>
      <c r="L484" s="10" t="str">
        <f t="shared" si="134"/>
        <v/>
      </c>
      <c r="M484" s="10" t="str">
        <f t="shared" si="135"/>
        <v/>
      </c>
      <c r="N484" s="11" t="str">
        <f t="shared" si="136"/>
        <v/>
      </c>
      <c r="O484" s="10" t="str">
        <f t="shared" si="137"/>
        <v/>
      </c>
      <c r="P484" s="12" t="str">
        <f t="shared" si="138"/>
        <v/>
      </c>
      <c r="Q484" s="10" t="str">
        <f t="shared" si="139"/>
        <v/>
      </c>
      <c r="R484" s="13" t="str">
        <f t="shared" si="140"/>
        <v/>
      </c>
      <c r="S484" s="13" t="str">
        <f t="shared" si="141"/>
        <v/>
      </c>
      <c r="T484" s="22" t="str">
        <f>IF(R484&lt;&gt;"",VLOOKUP(P484,Constants!$D$3:$E$10,2),"")</f>
        <v/>
      </c>
    </row>
    <row r="485" spans="2:20" x14ac:dyDescent="0.25">
      <c r="B485" s="59"/>
      <c r="C485" s="59"/>
      <c r="D485" s="60"/>
      <c r="E485" s="59"/>
      <c r="F485" s="59"/>
      <c r="G485" s="59"/>
      <c r="H485" s="61"/>
      <c r="I485" s="61"/>
      <c r="J485" s="61"/>
      <c r="K485" s="62"/>
      <c r="L485" s="10" t="str">
        <f t="shared" si="134"/>
        <v/>
      </c>
      <c r="M485" s="10" t="str">
        <f t="shared" si="135"/>
        <v/>
      </c>
      <c r="N485" s="11" t="str">
        <f t="shared" si="136"/>
        <v/>
      </c>
      <c r="O485" s="10" t="str">
        <f t="shared" si="137"/>
        <v/>
      </c>
      <c r="P485" s="12" t="str">
        <f t="shared" si="138"/>
        <v/>
      </c>
      <c r="Q485" s="10" t="str">
        <f t="shared" si="139"/>
        <v/>
      </c>
      <c r="R485" s="13" t="str">
        <f t="shared" si="140"/>
        <v/>
      </c>
      <c r="S485" s="13" t="str">
        <f t="shared" si="141"/>
        <v/>
      </c>
      <c r="T485" s="22" t="str">
        <f>IF(R485&lt;&gt;"",VLOOKUP(P485,Constants!$D$3:$E$10,2),"")</f>
        <v/>
      </c>
    </row>
    <row r="486" spans="2:20" x14ac:dyDescent="0.25">
      <c r="B486" s="59"/>
      <c r="C486" s="59"/>
      <c r="D486" s="60"/>
      <c r="E486" s="59"/>
      <c r="F486" s="59"/>
      <c r="G486" s="59"/>
      <c r="H486" s="61"/>
      <c r="I486" s="61"/>
      <c r="J486" s="61"/>
      <c r="K486" s="62"/>
      <c r="L486" s="10" t="str">
        <f t="shared" si="134"/>
        <v/>
      </c>
      <c r="M486" s="10" t="str">
        <f t="shared" si="135"/>
        <v/>
      </c>
      <c r="N486" s="11" t="str">
        <f t="shared" si="136"/>
        <v/>
      </c>
      <c r="O486" s="10" t="str">
        <f t="shared" si="137"/>
        <v/>
      </c>
      <c r="P486" s="12" t="str">
        <f t="shared" si="138"/>
        <v/>
      </c>
      <c r="Q486" s="10" t="str">
        <f t="shared" si="139"/>
        <v/>
      </c>
      <c r="R486" s="13" t="str">
        <f t="shared" si="140"/>
        <v/>
      </c>
      <c r="S486" s="13" t="str">
        <f t="shared" si="141"/>
        <v/>
      </c>
      <c r="T486" s="22" t="str">
        <f>IF(R486&lt;&gt;"",VLOOKUP(P486,Constants!$D$3:$E$10,2),"")</f>
        <v/>
      </c>
    </row>
    <row r="487" spans="2:20" x14ac:dyDescent="0.25">
      <c r="B487" s="59"/>
      <c r="C487" s="59"/>
      <c r="D487" s="60"/>
      <c r="E487" s="59"/>
      <c r="F487" s="59"/>
      <c r="G487" s="59"/>
      <c r="H487" s="61"/>
      <c r="I487" s="61"/>
      <c r="J487" s="61"/>
      <c r="K487" s="62"/>
      <c r="L487" s="10" t="str">
        <f t="shared" si="134"/>
        <v/>
      </c>
      <c r="M487" s="10" t="str">
        <f t="shared" si="135"/>
        <v/>
      </c>
      <c r="N487" s="11" t="str">
        <f t="shared" si="136"/>
        <v/>
      </c>
      <c r="O487" s="10" t="str">
        <f t="shared" si="137"/>
        <v/>
      </c>
      <c r="P487" s="12" t="str">
        <f t="shared" si="138"/>
        <v/>
      </c>
      <c r="Q487" s="10" t="str">
        <f t="shared" si="139"/>
        <v/>
      </c>
      <c r="R487" s="13" t="str">
        <f t="shared" si="140"/>
        <v/>
      </c>
      <c r="S487" s="13" t="str">
        <f t="shared" si="141"/>
        <v/>
      </c>
      <c r="T487" s="22" t="str">
        <f>IF(R487&lt;&gt;"",VLOOKUP(P487,Constants!$D$3:$E$10,2),"")</f>
        <v/>
      </c>
    </row>
    <row r="488" spans="2:20" x14ac:dyDescent="0.25">
      <c r="B488" s="59"/>
      <c r="C488" s="59"/>
      <c r="D488" s="60"/>
      <c r="E488" s="59"/>
      <c r="F488" s="59"/>
      <c r="G488" s="59"/>
      <c r="H488" s="61"/>
      <c r="I488" s="61"/>
      <c r="J488" s="61"/>
      <c r="K488" s="62"/>
      <c r="L488" s="10" t="str">
        <f t="shared" si="134"/>
        <v/>
      </c>
      <c r="M488" s="10" t="str">
        <f t="shared" si="135"/>
        <v/>
      </c>
      <c r="N488" s="11" t="str">
        <f t="shared" si="136"/>
        <v/>
      </c>
      <c r="O488" s="10" t="str">
        <f t="shared" si="137"/>
        <v/>
      </c>
      <c r="P488" s="12" t="str">
        <f t="shared" si="138"/>
        <v/>
      </c>
      <c r="Q488" s="10" t="str">
        <f t="shared" si="139"/>
        <v/>
      </c>
      <c r="R488" s="13" t="str">
        <f t="shared" si="140"/>
        <v/>
      </c>
      <c r="S488" s="13" t="str">
        <f t="shared" si="141"/>
        <v/>
      </c>
      <c r="T488" s="22" t="str">
        <f>IF(R488&lt;&gt;"",VLOOKUP(P488,Constants!$D$3:$E$10,2),"")</f>
        <v/>
      </c>
    </row>
    <row r="489" spans="2:20" x14ac:dyDescent="0.25">
      <c r="B489" s="59"/>
      <c r="C489" s="59"/>
      <c r="D489" s="60"/>
      <c r="E489" s="59"/>
      <c r="F489" s="59"/>
      <c r="G489" s="59"/>
      <c r="H489" s="61"/>
      <c r="I489" s="61"/>
      <c r="J489" s="61"/>
      <c r="K489" s="62"/>
      <c r="L489" s="10" t="str">
        <f t="shared" si="134"/>
        <v/>
      </c>
      <c r="M489" s="10" t="str">
        <f t="shared" si="135"/>
        <v/>
      </c>
      <c r="N489" s="11" t="str">
        <f t="shared" si="136"/>
        <v/>
      </c>
      <c r="O489" s="10" t="str">
        <f t="shared" si="137"/>
        <v/>
      </c>
      <c r="P489" s="12" t="str">
        <f t="shared" si="138"/>
        <v/>
      </c>
      <c r="Q489" s="10" t="str">
        <f t="shared" si="139"/>
        <v/>
      </c>
      <c r="R489" s="13" t="str">
        <f t="shared" si="140"/>
        <v/>
      </c>
      <c r="S489" s="13" t="str">
        <f t="shared" si="141"/>
        <v/>
      </c>
      <c r="T489" s="22" t="str">
        <f>IF(R489&lt;&gt;"",VLOOKUP(P489,Constants!$D$3:$E$10,2),"")</f>
        <v/>
      </c>
    </row>
    <row r="490" spans="2:20" x14ac:dyDescent="0.25">
      <c r="B490" s="59"/>
      <c r="C490" s="59"/>
      <c r="D490" s="60"/>
      <c r="E490" s="59"/>
      <c r="F490" s="59"/>
      <c r="G490" s="59"/>
      <c r="H490" s="61"/>
      <c r="I490" s="61"/>
      <c r="J490" s="61"/>
      <c r="K490" s="62"/>
      <c r="L490" s="10" t="str">
        <f t="shared" si="134"/>
        <v/>
      </c>
      <c r="M490" s="10" t="str">
        <f t="shared" si="135"/>
        <v/>
      </c>
      <c r="N490" s="11" t="str">
        <f t="shared" si="136"/>
        <v/>
      </c>
      <c r="O490" s="10" t="str">
        <f t="shared" si="137"/>
        <v/>
      </c>
      <c r="P490" s="12" t="str">
        <f t="shared" si="138"/>
        <v/>
      </c>
      <c r="Q490" s="10" t="str">
        <f t="shared" si="139"/>
        <v/>
      </c>
      <c r="R490" s="13" t="str">
        <f t="shared" si="140"/>
        <v/>
      </c>
      <c r="S490" s="13" t="str">
        <f t="shared" si="141"/>
        <v/>
      </c>
      <c r="T490" s="22" t="str">
        <f>IF(R490&lt;&gt;"",VLOOKUP(P490,Constants!$D$3:$E$10,2),"")</f>
        <v/>
      </c>
    </row>
    <row r="491" spans="2:20" x14ac:dyDescent="0.25">
      <c r="B491" s="59"/>
      <c r="C491" s="59"/>
      <c r="D491" s="60"/>
      <c r="E491" s="59"/>
      <c r="F491" s="59"/>
      <c r="G491" s="59"/>
      <c r="H491" s="61"/>
      <c r="I491" s="61"/>
      <c r="J491" s="61"/>
      <c r="K491" s="62"/>
      <c r="L491" s="10" t="str">
        <f t="shared" si="134"/>
        <v/>
      </c>
      <c r="M491" s="10" t="str">
        <f t="shared" si="135"/>
        <v/>
      </c>
      <c r="N491" s="11" t="str">
        <f t="shared" si="136"/>
        <v/>
      </c>
      <c r="O491" s="10" t="str">
        <f t="shared" si="137"/>
        <v/>
      </c>
      <c r="P491" s="12" t="str">
        <f t="shared" si="138"/>
        <v/>
      </c>
      <c r="Q491" s="10" t="str">
        <f t="shared" si="139"/>
        <v/>
      </c>
      <c r="R491" s="13" t="str">
        <f t="shared" si="140"/>
        <v/>
      </c>
      <c r="S491" s="13" t="str">
        <f t="shared" si="141"/>
        <v/>
      </c>
      <c r="T491" s="22" t="str">
        <f>IF(R491&lt;&gt;"",VLOOKUP(P491,Constants!$D$3:$E$10,2),"")</f>
        <v/>
      </c>
    </row>
    <row r="492" spans="2:20" x14ac:dyDescent="0.25">
      <c r="B492" s="59"/>
      <c r="C492" s="59"/>
      <c r="D492" s="60"/>
      <c r="E492" s="59"/>
      <c r="F492" s="59"/>
      <c r="G492" s="59"/>
      <c r="H492" s="61"/>
      <c r="I492" s="61"/>
      <c r="J492" s="61"/>
      <c r="K492" s="62"/>
      <c r="L492" s="10" t="str">
        <f t="shared" si="134"/>
        <v/>
      </c>
      <c r="M492" s="10" t="str">
        <f t="shared" si="135"/>
        <v/>
      </c>
      <c r="N492" s="11" t="str">
        <f t="shared" si="136"/>
        <v/>
      </c>
      <c r="O492" s="10" t="str">
        <f t="shared" si="137"/>
        <v/>
      </c>
      <c r="P492" s="12" t="str">
        <f t="shared" si="138"/>
        <v/>
      </c>
      <c r="Q492" s="10" t="str">
        <f t="shared" si="139"/>
        <v/>
      </c>
      <c r="R492" s="13" t="str">
        <f t="shared" si="140"/>
        <v/>
      </c>
      <c r="S492" s="13" t="str">
        <f t="shared" si="141"/>
        <v/>
      </c>
      <c r="T492" s="22" t="str">
        <f>IF(R492&lt;&gt;"",VLOOKUP(P492,Constants!$D$3:$E$10,2),"")</f>
        <v/>
      </c>
    </row>
    <row r="493" spans="2:20" x14ac:dyDescent="0.25">
      <c r="B493" s="59"/>
      <c r="C493" s="59"/>
      <c r="D493" s="60"/>
      <c r="E493" s="59"/>
      <c r="F493" s="59"/>
      <c r="G493" s="59"/>
      <c r="H493" s="61"/>
      <c r="I493" s="61"/>
      <c r="J493" s="61"/>
      <c r="K493" s="62"/>
      <c r="L493" s="10" t="str">
        <f t="shared" si="134"/>
        <v/>
      </c>
      <c r="M493" s="10" t="str">
        <f t="shared" si="135"/>
        <v/>
      </c>
      <c r="N493" s="11" t="str">
        <f t="shared" si="136"/>
        <v/>
      </c>
      <c r="O493" s="10" t="str">
        <f t="shared" si="137"/>
        <v/>
      </c>
      <c r="P493" s="12" t="str">
        <f t="shared" si="138"/>
        <v/>
      </c>
      <c r="Q493" s="10" t="str">
        <f t="shared" si="139"/>
        <v/>
      </c>
      <c r="R493" s="13" t="str">
        <f t="shared" si="140"/>
        <v/>
      </c>
      <c r="S493" s="13" t="str">
        <f t="shared" si="141"/>
        <v/>
      </c>
      <c r="T493" s="22" t="str">
        <f>IF(R493&lt;&gt;"",VLOOKUP(P493,Constants!$D$3:$E$10,2),"")</f>
        <v/>
      </c>
    </row>
    <row r="494" spans="2:20" x14ac:dyDescent="0.25">
      <c r="B494" s="59"/>
      <c r="C494" s="59"/>
      <c r="D494" s="60"/>
      <c r="E494" s="59"/>
      <c r="F494" s="59"/>
      <c r="G494" s="59"/>
      <c r="H494" s="61"/>
      <c r="I494" s="61"/>
      <c r="J494" s="61"/>
      <c r="K494" s="62"/>
      <c r="L494" s="10" t="str">
        <f t="shared" si="134"/>
        <v/>
      </c>
      <c r="M494" s="10" t="str">
        <f t="shared" si="135"/>
        <v/>
      </c>
      <c r="N494" s="11" t="str">
        <f t="shared" si="136"/>
        <v/>
      </c>
      <c r="O494" s="10" t="str">
        <f t="shared" si="137"/>
        <v/>
      </c>
      <c r="P494" s="12" t="str">
        <f t="shared" si="138"/>
        <v/>
      </c>
      <c r="Q494" s="10" t="str">
        <f t="shared" si="139"/>
        <v/>
      </c>
      <c r="R494" s="13" t="str">
        <f t="shared" si="140"/>
        <v/>
      </c>
      <c r="S494" s="13" t="str">
        <f t="shared" si="141"/>
        <v/>
      </c>
      <c r="T494" s="22" t="str">
        <f>IF(R494&lt;&gt;"",VLOOKUP(P494,Constants!$D$3:$E$10,2),"")</f>
        <v/>
      </c>
    </row>
    <row r="495" spans="2:20" x14ac:dyDescent="0.25">
      <c r="B495" s="59"/>
      <c r="C495" s="59"/>
      <c r="D495" s="60"/>
      <c r="E495" s="59"/>
      <c r="F495" s="59"/>
      <c r="G495" s="59"/>
      <c r="H495" s="61"/>
      <c r="I495" s="61"/>
      <c r="J495" s="61"/>
      <c r="K495" s="62"/>
      <c r="L495" s="10" t="str">
        <f t="shared" si="134"/>
        <v/>
      </c>
      <c r="M495" s="10" t="str">
        <f t="shared" si="135"/>
        <v/>
      </c>
      <c r="N495" s="11" t="str">
        <f t="shared" si="136"/>
        <v/>
      </c>
      <c r="O495" s="10" t="str">
        <f t="shared" si="137"/>
        <v/>
      </c>
      <c r="P495" s="12" t="str">
        <f t="shared" si="138"/>
        <v/>
      </c>
      <c r="Q495" s="10" t="str">
        <f t="shared" si="139"/>
        <v/>
      </c>
      <c r="R495" s="13" t="str">
        <f t="shared" si="140"/>
        <v/>
      </c>
      <c r="S495" s="13" t="str">
        <f t="shared" si="141"/>
        <v/>
      </c>
      <c r="T495" s="22" t="str">
        <f>IF(R495&lt;&gt;"",VLOOKUP(P495,Constants!$D$3:$E$10,2),"")</f>
        <v/>
      </c>
    </row>
    <row r="496" spans="2:20" x14ac:dyDescent="0.25">
      <c r="B496" s="59"/>
      <c r="C496" s="59"/>
      <c r="D496" s="60"/>
      <c r="E496" s="59"/>
      <c r="F496" s="59"/>
      <c r="G496" s="59"/>
      <c r="H496" s="61"/>
      <c r="I496" s="61"/>
      <c r="J496" s="61"/>
      <c r="K496" s="62"/>
      <c r="L496" s="10" t="str">
        <f t="shared" si="134"/>
        <v/>
      </c>
      <c r="M496" s="10" t="str">
        <f t="shared" si="135"/>
        <v/>
      </c>
      <c r="N496" s="11" t="str">
        <f t="shared" si="136"/>
        <v/>
      </c>
      <c r="O496" s="10" t="str">
        <f t="shared" si="137"/>
        <v/>
      </c>
      <c r="P496" s="12" t="str">
        <f t="shared" si="138"/>
        <v/>
      </c>
      <c r="Q496" s="10" t="str">
        <f t="shared" si="139"/>
        <v/>
      </c>
      <c r="R496" s="13" t="str">
        <f t="shared" si="140"/>
        <v/>
      </c>
      <c r="S496" s="13" t="str">
        <f t="shared" si="141"/>
        <v/>
      </c>
      <c r="T496" s="22" t="str">
        <f>IF(R496&lt;&gt;"",VLOOKUP(P496,Constants!$D$3:$E$10,2),"")</f>
        <v/>
      </c>
    </row>
    <row r="497" spans="2:20" x14ac:dyDescent="0.25">
      <c r="B497" s="59"/>
      <c r="C497" s="59"/>
      <c r="D497" s="60"/>
      <c r="E497" s="59"/>
      <c r="F497" s="59"/>
      <c r="G497" s="59"/>
      <c r="H497" s="61"/>
      <c r="I497" s="61"/>
      <c r="J497" s="61"/>
      <c r="K497" s="62"/>
      <c r="L497" s="10" t="str">
        <f t="shared" si="134"/>
        <v/>
      </c>
      <c r="M497" s="10" t="str">
        <f t="shared" si="135"/>
        <v/>
      </c>
      <c r="N497" s="11" t="str">
        <f t="shared" si="136"/>
        <v/>
      </c>
      <c r="O497" s="10" t="str">
        <f t="shared" si="137"/>
        <v/>
      </c>
      <c r="P497" s="12" t="str">
        <f t="shared" si="138"/>
        <v/>
      </c>
      <c r="Q497" s="10" t="str">
        <f t="shared" si="139"/>
        <v/>
      </c>
      <c r="R497" s="13" t="str">
        <f t="shared" si="140"/>
        <v/>
      </c>
      <c r="S497" s="13" t="str">
        <f t="shared" si="141"/>
        <v/>
      </c>
      <c r="T497" s="22" t="str">
        <f>IF(R497&lt;&gt;"",VLOOKUP(P497,Constants!$D$3:$E$10,2),"")</f>
        <v/>
      </c>
    </row>
    <row r="498" spans="2:20" x14ac:dyDescent="0.25">
      <c r="B498" s="59"/>
      <c r="C498" s="59"/>
      <c r="D498" s="60"/>
      <c r="E498" s="59"/>
      <c r="F498" s="59"/>
      <c r="G498" s="59"/>
      <c r="H498" s="61"/>
      <c r="I498" s="61"/>
      <c r="J498" s="61"/>
      <c r="K498" s="62"/>
      <c r="L498" s="10" t="str">
        <f t="shared" si="134"/>
        <v/>
      </c>
      <c r="M498" s="10" t="str">
        <f t="shared" si="135"/>
        <v/>
      </c>
      <c r="N498" s="11" t="str">
        <f t="shared" si="136"/>
        <v/>
      </c>
      <c r="O498" s="10" t="str">
        <f t="shared" si="137"/>
        <v/>
      </c>
      <c r="P498" s="12" t="str">
        <f t="shared" si="138"/>
        <v/>
      </c>
      <c r="Q498" s="10" t="str">
        <f t="shared" si="139"/>
        <v/>
      </c>
      <c r="R498" s="13" t="str">
        <f t="shared" si="140"/>
        <v/>
      </c>
      <c r="S498" s="13" t="str">
        <f t="shared" si="141"/>
        <v/>
      </c>
      <c r="T498" s="22" t="str">
        <f>IF(R498&lt;&gt;"",VLOOKUP(P498,Constants!$D$3:$E$10,2),"")</f>
        <v/>
      </c>
    </row>
    <row r="499" spans="2:20" x14ac:dyDescent="0.25">
      <c r="B499" s="59"/>
      <c r="C499" s="59"/>
      <c r="D499" s="60"/>
      <c r="E499" s="59"/>
      <c r="F499" s="59"/>
      <c r="G499" s="59"/>
      <c r="H499" s="61"/>
      <c r="I499" s="61"/>
      <c r="J499" s="61"/>
      <c r="K499" s="62"/>
      <c r="L499" s="10" t="str">
        <f t="shared" si="134"/>
        <v/>
      </c>
      <c r="M499" s="10" t="str">
        <f t="shared" si="135"/>
        <v/>
      </c>
      <c r="N499" s="11" t="str">
        <f t="shared" si="136"/>
        <v/>
      </c>
      <c r="O499" s="10" t="str">
        <f t="shared" si="137"/>
        <v/>
      </c>
      <c r="P499" s="12" t="str">
        <f t="shared" si="138"/>
        <v/>
      </c>
      <c r="Q499" s="10" t="str">
        <f t="shared" si="139"/>
        <v/>
      </c>
      <c r="R499" s="13" t="str">
        <f t="shared" si="140"/>
        <v/>
      </c>
      <c r="S499" s="13" t="str">
        <f t="shared" si="141"/>
        <v/>
      </c>
      <c r="T499" s="22" t="str">
        <f>IF(R499&lt;&gt;"",VLOOKUP(P499,Constants!$D$3:$E$10,2),"")</f>
        <v/>
      </c>
    </row>
    <row r="500" spans="2:20" x14ac:dyDescent="0.25">
      <c r="B500" s="59"/>
      <c r="C500" s="59"/>
      <c r="D500" s="60"/>
      <c r="E500" s="59"/>
      <c r="F500" s="59"/>
      <c r="G500" s="59"/>
      <c r="H500" s="61"/>
      <c r="I500" s="61"/>
      <c r="J500" s="61"/>
      <c r="K500" s="62"/>
      <c r="L500" s="10" t="str">
        <f t="shared" si="134"/>
        <v/>
      </c>
      <c r="M500" s="10" t="str">
        <f t="shared" si="135"/>
        <v/>
      </c>
      <c r="N500" s="11" t="str">
        <f t="shared" si="136"/>
        <v/>
      </c>
      <c r="O500" s="10" t="str">
        <f t="shared" si="137"/>
        <v/>
      </c>
      <c r="P500" s="12" t="str">
        <f t="shared" si="138"/>
        <v/>
      </c>
      <c r="Q500" s="10" t="str">
        <f t="shared" si="139"/>
        <v/>
      </c>
      <c r="R500" s="13" t="str">
        <f t="shared" si="140"/>
        <v/>
      </c>
      <c r="S500" s="13" t="str">
        <f t="shared" si="141"/>
        <v/>
      </c>
      <c r="T500" s="22" t="str">
        <f>IF(R500&lt;&gt;"",VLOOKUP(P500,Constants!$D$3:$E$10,2),"")</f>
        <v/>
      </c>
    </row>
    <row r="501" spans="2:20" x14ac:dyDescent="0.25">
      <c r="B501" s="59"/>
      <c r="C501" s="59"/>
      <c r="D501" s="60"/>
      <c r="E501" s="59"/>
      <c r="F501" s="59"/>
      <c r="G501" s="59"/>
      <c r="H501" s="61"/>
      <c r="I501" s="61"/>
      <c r="J501" s="61"/>
      <c r="K501" s="62"/>
      <c r="L501" s="10" t="str">
        <f t="shared" si="134"/>
        <v/>
      </c>
      <c r="M501" s="10" t="str">
        <f t="shared" si="135"/>
        <v/>
      </c>
      <c r="N501" s="11" t="str">
        <f t="shared" si="136"/>
        <v/>
      </c>
      <c r="O501" s="10" t="str">
        <f t="shared" si="137"/>
        <v/>
      </c>
      <c r="P501" s="12" t="str">
        <f t="shared" si="138"/>
        <v/>
      </c>
      <c r="Q501" s="10" t="str">
        <f t="shared" si="139"/>
        <v/>
      </c>
      <c r="R501" s="13" t="str">
        <f t="shared" si="140"/>
        <v/>
      </c>
      <c r="S501" s="13" t="str">
        <f t="shared" si="141"/>
        <v/>
      </c>
      <c r="T501" s="22" t="str">
        <f>IF(R501&lt;&gt;"",VLOOKUP(P501,Constants!$D$3:$E$10,2),"")</f>
        <v/>
      </c>
    </row>
    <row r="502" spans="2:20" x14ac:dyDescent="0.25">
      <c r="B502" s="59"/>
      <c r="C502" s="59"/>
      <c r="D502" s="60"/>
      <c r="E502" s="59"/>
      <c r="F502" s="59"/>
      <c r="G502" s="59"/>
      <c r="H502" s="61"/>
      <c r="I502" s="61"/>
      <c r="J502" s="61"/>
      <c r="K502" s="62"/>
      <c r="L502" s="10" t="str">
        <f t="shared" si="134"/>
        <v/>
      </c>
      <c r="M502" s="10" t="str">
        <f t="shared" si="135"/>
        <v/>
      </c>
      <c r="N502" s="11" t="str">
        <f t="shared" si="136"/>
        <v/>
      </c>
      <c r="O502" s="10" t="str">
        <f t="shared" si="137"/>
        <v/>
      </c>
      <c r="P502" s="12" t="str">
        <f t="shared" si="138"/>
        <v/>
      </c>
      <c r="Q502" s="10" t="str">
        <f t="shared" si="139"/>
        <v/>
      </c>
      <c r="R502" s="13" t="str">
        <f t="shared" si="140"/>
        <v/>
      </c>
      <c r="S502" s="13" t="str">
        <f t="shared" si="141"/>
        <v/>
      </c>
      <c r="T502" s="22" t="str">
        <f>IF(R502&lt;&gt;"",VLOOKUP(P502,Constants!$D$3:$E$10,2),"")</f>
        <v/>
      </c>
    </row>
    <row r="503" spans="2:20" x14ac:dyDescent="0.25">
      <c r="B503" s="59"/>
      <c r="C503" s="59"/>
      <c r="D503" s="60"/>
      <c r="E503" s="59"/>
      <c r="F503" s="59"/>
      <c r="G503" s="59"/>
      <c r="H503" s="61"/>
      <c r="I503" s="61"/>
      <c r="J503" s="61"/>
      <c r="K503" s="62"/>
      <c r="L503" s="10" t="str">
        <f t="shared" si="134"/>
        <v/>
      </c>
      <c r="M503" s="10" t="str">
        <f t="shared" si="135"/>
        <v/>
      </c>
      <c r="N503" s="11" t="str">
        <f t="shared" si="136"/>
        <v/>
      </c>
      <c r="O503" s="10" t="str">
        <f t="shared" si="137"/>
        <v/>
      </c>
      <c r="P503" s="12" t="str">
        <f t="shared" si="138"/>
        <v/>
      </c>
      <c r="Q503" s="10" t="str">
        <f t="shared" si="139"/>
        <v/>
      </c>
      <c r="R503" s="13" t="str">
        <f t="shared" si="140"/>
        <v/>
      </c>
      <c r="S503" s="13" t="str">
        <f t="shared" si="141"/>
        <v/>
      </c>
      <c r="T503" s="22" t="str">
        <f>IF(R503&lt;&gt;"",VLOOKUP(P503,Constants!$D$3:$E$10,2),"")</f>
        <v/>
      </c>
    </row>
    <row r="504" spans="2:20" x14ac:dyDescent="0.25">
      <c r="B504" s="59"/>
      <c r="C504" s="59"/>
      <c r="D504" s="60"/>
      <c r="E504" s="59"/>
      <c r="F504" s="59"/>
      <c r="G504" s="59"/>
      <c r="H504" s="61"/>
      <c r="I504" s="61"/>
      <c r="J504" s="61"/>
      <c r="K504" s="62"/>
      <c r="L504" s="10" t="str">
        <f t="shared" si="134"/>
        <v/>
      </c>
      <c r="M504" s="10" t="str">
        <f t="shared" si="135"/>
        <v/>
      </c>
      <c r="N504" s="11" t="str">
        <f t="shared" si="136"/>
        <v/>
      </c>
      <c r="O504" s="10" t="str">
        <f t="shared" si="137"/>
        <v/>
      </c>
      <c r="P504" s="12" t="str">
        <f t="shared" si="138"/>
        <v/>
      </c>
      <c r="Q504" s="10" t="str">
        <f t="shared" si="139"/>
        <v/>
      </c>
      <c r="R504" s="13" t="str">
        <f t="shared" si="140"/>
        <v/>
      </c>
      <c r="S504" s="13" t="str">
        <f t="shared" si="141"/>
        <v/>
      </c>
      <c r="T504" s="22" t="str">
        <f>IF(R504&lt;&gt;"",VLOOKUP(P504,Constants!$D$3:$E$10,2),"")</f>
        <v/>
      </c>
    </row>
    <row r="505" spans="2:20" x14ac:dyDescent="0.25">
      <c r="B505" s="59"/>
      <c r="C505" s="59"/>
      <c r="D505" s="60"/>
      <c r="E505" s="59"/>
      <c r="F505" s="59"/>
      <c r="G505" s="59"/>
      <c r="H505" s="61"/>
      <c r="I505" s="61"/>
      <c r="J505" s="61"/>
      <c r="K505" s="62"/>
      <c r="L505" s="10" t="str">
        <f t="shared" si="134"/>
        <v/>
      </c>
      <c r="M505" s="10" t="str">
        <f t="shared" si="135"/>
        <v/>
      </c>
      <c r="N505" s="11" t="str">
        <f t="shared" si="136"/>
        <v/>
      </c>
      <c r="O505" s="10" t="str">
        <f t="shared" si="137"/>
        <v/>
      </c>
      <c r="P505" s="12" t="str">
        <f t="shared" si="138"/>
        <v/>
      </c>
      <c r="Q505" s="10" t="str">
        <f t="shared" si="139"/>
        <v/>
      </c>
      <c r="R505" s="13" t="str">
        <f t="shared" si="140"/>
        <v/>
      </c>
      <c r="S505" s="13" t="str">
        <f t="shared" si="141"/>
        <v/>
      </c>
      <c r="T505" s="22" t="str">
        <f>IF(R505&lt;&gt;"",VLOOKUP(P505,Constants!$D$3:$E$10,2),"")</f>
        <v/>
      </c>
    </row>
    <row r="506" spans="2:20" x14ac:dyDescent="0.25">
      <c r="B506" s="59"/>
      <c r="C506" s="59"/>
      <c r="D506" s="60"/>
      <c r="E506" s="59"/>
      <c r="F506" s="59"/>
      <c r="G506" s="59"/>
      <c r="H506" s="61"/>
      <c r="I506" s="61"/>
      <c r="J506" s="61"/>
      <c r="K506" s="62"/>
      <c r="L506" s="10" t="str">
        <f t="shared" si="134"/>
        <v/>
      </c>
      <c r="M506" s="10" t="str">
        <f t="shared" si="135"/>
        <v/>
      </c>
      <c r="N506" s="11" t="str">
        <f t="shared" si="136"/>
        <v/>
      </c>
      <c r="O506" s="10" t="str">
        <f t="shared" si="137"/>
        <v/>
      </c>
      <c r="P506" s="12" t="str">
        <f t="shared" si="138"/>
        <v/>
      </c>
      <c r="Q506" s="10" t="str">
        <f t="shared" si="139"/>
        <v/>
      </c>
      <c r="R506" s="13" t="str">
        <f t="shared" si="140"/>
        <v/>
      </c>
      <c r="S506" s="13" t="str">
        <f t="shared" si="141"/>
        <v/>
      </c>
      <c r="T506" s="22" t="str">
        <f>IF(R506&lt;&gt;"",VLOOKUP(P506,Constants!$D$3:$E$10,2),"")</f>
        <v/>
      </c>
    </row>
    <row r="507" spans="2:20" x14ac:dyDescent="0.25">
      <c r="B507" s="59"/>
      <c r="C507" s="59"/>
      <c r="D507" s="60"/>
      <c r="E507" s="59"/>
      <c r="F507" s="59"/>
      <c r="G507" s="59"/>
      <c r="H507" s="61"/>
      <c r="I507" s="61"/>
      <c r="J507" s="61"/>
      <c r="K507" s="62"/>
      <c r="L507" s="10" t="str">
        <f t="shared" si="134"/>
        <v/>
      </c>
      <c r="M507" s="10" t="str">
        <f t="shared" si="135"/>
        <v/>
      </c>
      <c r="N507" s="11" t="str">
        <f t="shared" si="136"/>
        <v/>
      </c>
      <c r="O507" s="10" t="str">
        <f t="shared" si="137"/>
        <v/>
      </c>
      <c r="P507" s="12" t="str">
        <f t="shared" si="138"/>
        <v/>
      </c>
      <c r="Q507" s="10" t="str">
        <f t="shared" si="139"/>
        <v/>
      </c>
      <c r="R507" s="13" t="str">
        <f t="shared" si="140"/>
        <v/>
      </c>
      <c r="S507" s="13" t="str">
        <f t="shared" si="141"/>
        <v/>
      </c>
      <c r="T507" s="22" t="str">
        <f>IF(R507&lt;&gt;"",VLOOKUP(P507,Constants!$D$3:$E$10,2),"")</f>
        <v/>
      </c>
    </row>
    <row r="508" spans="2:20" x14ac:dyDescent="0.25">
      <c r="B508" s="59"/>
      <c r="C508" s="59"/>
      <c r="D508" s="60"/>
      <c r="E508" s="59"/>
      <c r="F508" s="59"/>
      <c r="G508" s="59"/>
      <c r="H508" s="61"/>
      <c r="I508" s="61"/>
      <c r="J508" s="61"/>
      <c r="K508" s="62"/>
      <c r="L508" s="10" t="str">
        <f t="shared" si="134"/>
        <v/>
      </c>
      <c r="M508" s="10" t="str">
        <f t="shared" si="135"/>
        <v/>
      </c>
      <c r="N508" s="11" t="str">
        <f t="shared" si="136"/>
        <v/>
      </c>
      <c r="O508" s="10" t="str">
        <f t="shared" si="137"/>
        <v/>
      </c>
      <c r="P508" s="12" t="str">
        <f t="shared" si="138"/>
        <v/>
      </c>
      <c r="Q508" s="10" t="str">
        <f t="shared" si="139"/>
        <v/>
      </c>
      <c r="R508" s="13" t="str">
        <f t="shared" si="140"/>
        <v/>
      </c>
      <c r="S508" s="13" t="str">
        <f t="shared" si="141"/>
        <v/>
      </c>
      <c r="T508" s="22" t="str">
        <f>IF(R508&lt;&gt;"",VLOOKUP(P508,Constants!$D$3:$E$10,2),"")</f>
        <v/>
      </c>
    </row>
    <row r="509" spans="2:20" x14ac:dyDescent="0.25">
      <c r="B509" s="59"/>
      <c r="C509" s="59"/>
      <c r="D509" s="60"/>
      <c r="E509" s="59"/>
      <c r="F509" s="59"/>
      <c r="G509" s="59"/>
      <c r="H509" s="61"/>
      <c r="I509" s="61"/>
      <c r="J509" s="61"/>
      <c r="K509" s="62"/>
      <c r="L509" s="10" t="str">
        <f t="shared" si="134"/>
        <v/>
      </c>
      <c r="M509" s="10" t="str">
        <f t="shared" si="135"/>
        <v/>
      </c>
      <c r="N509" s="11" t="str">
        <f t="shared" si="136"/>
        <v/>
      </c>
      <c r="O509" s="10" t="str">
        <f t="shared" si="137"/>
        <v/>
      </c>
      <c r="P509" s="12" t="str">
        <f t="shared" si="138"/>
        <v/>
      </c>
      <c r="Q509" s="10" t="str">
        <f t="shared" si="139"/>
        <v/>
      </c>
      <c r="R509" s="13" t="str">
        <f t="shared" si="140"/>
        <v/>
      </c>
      <c r="S509" s="13" t="str">
        <f t="shared" si="141"/>
        <v/>
      </c>
      <c r="T509" s="22" t="str">
        <f>IF(R509&lt;&gt;"",VLOOKUP(P509,Constants!$D$3:$E$10,2),"")</f>
        <v/>
      </c>
    </row>
    <row r="510" spans="2:20" x14ac:dyDescent="0.25">
      <c r="B510" s="59"/>
      <c r="C510" s="59"/>
      <c r="D510" s="60"/>
      <c r="E510" s="59"/>
      <c r="F510" s="59"/>
      <c r="G510" s="59"/>
      <c r="H510" s="61"/>
      <c r="I510" s="61"/>
      <c r="J510" s="61"/>
      <c r="K510" s="62"/>
      <c r="L510" s="10" t="str">
        <f t="shared" si="134"/>
        <v/>
      </c>
      <c r="M510" s="10" t="str">
        <f t="shared" si="135"/>
        <v/>
      </c>
      <c r="N510" s="11" t="str">
        <f t="shared" si="136"/>
        <v/>
      </c>
      <c r="O510" s="10" t="str">
        <f t="shared" si="137"/>
        <v/>
      </c>
      <c r="P510" s="12" t="str">
        <f t="shared" si="138"/>
        <v/>
      </c>
      <c r="Q510" s="10" t="str">
        <f t="shared" si="139"/>
        <v/>
      </c>
      <c r="R510" s="13" t="str">
        <f t="shared" si="140"/>
        <v/>
      </c>
      <c r="S510" s="13" t="str">
        <f t="shared" si="141"/>
        <v/>
      </c>
      <c r="T510" s="22" t="str">
        <f>IF(R510&lt;&gt;"",VLOOKUP(P510,Constants!$D$3:$E$10,2),"")</f>
        <v/>
      </c>
    </row>
    <row r="511" spans="2:20" x14ac:dyDescent="0.25">
      <c r="B511" s="59"/>
      <c r="C511" s="59"/>
      <c r="D511" s="60"/>
      <c r="E511" s="59"/>
      <c r="F511" s="59"/>
      <c r="G511" s="59"/>
      <c r="H511" s="61"/>
      <c r="I511" s="61"/>
      <c r="J511" s="61"/>
      <c r="K511" s="62"/>
      <c r="L511" s="10" t="str">
        <f t="shared" si="134"/>
        <v/>
      </c>
      <c r="M511" s="10" t="str">
        <f t="shared" si="135"/>
        <v/>
      </c>
      <c r="N511" s="11" t="str">
        <f t="shared" si="136"/>
        <v/>
      </c>
      <c r="O511" s="10" t="str">
        <f t="shared" si="137"/>
        <v/>
      </c>
      <c r="P511" s="12" t="str">
        <f t="shared" si="138"/>
        <v/>
      </c>
      <c r="Q511" s="10" t="str">
        <f t="shared" si="139"/>
        <v/>
      </c>
      <c r="R511" s="13" t="str">
        <f t="shared" si="140"/>
        <v/>
      </c>
      <c r="S511" s="13" t="str">
        <f t="shared" si="141"/>
        <v/>
      </c>
      <c r="T511" s="22" t="str">
        <f>IF(R511&lt;&gt;"",VLOOKUP(P511,Constants!$D$3:$E$10,2),"")</f>
        <v/>
      </c>
    </row>
    <row r="512" spans="2:20" x14ac:dyDescent="0.25">
      <c r="B512" s="59"/>
      <c r="C512" s="59"/>
      <c r="D512" s="60"/>
      <c r="E512" s="59"/>
      <c r="F512" s="59"/>
      <c r="G512" s="59"/>
      <c r="H512" s="61"/>
      <c r="I512" s="61"/>
      <c r="J512" s="61"/>
      <c r="K512" s="62"/>
      <c r="L512" s="10" t="str">
        <f t="shared" si="134"/>
        <v/>
      </c>
      <c r="M512" s="10" t="str">
        <f t="shared" si="135"/>
        <v/>
      </c>
      <c r="N512" s="11" t="str">
        <f t="shared" si="136"/>
        <v/>
      </c>
      <c r="O512" s="10" t="str">
        <f t="shared" si="137"/>
        <v/>
      </c>
      <c r="P512" s="12" t="str">
        <f t="shared" si="138"/>
        <v/>
      </c>
      <c r="Q512" s="10" t="str">
        <f t="shared" si="139"/>
        <v/>
      </c>
      <c r="R512" s="13" t="str">
        <f t="shared" si="140"/>
        <v/>
      </c>
      <c r="S512" s="13" t="str">
        <f t="shared" si="141"/>
        <v/>
      </c>
      <c r="T512" s="22" t="str">
        <f>IF(R512&lt;&gt;"",VLOOKUP(P512,Constants!$D$3:$E$10,2),"")</f>
        <v/>
      </c>
    </row>
    <row r="513" spans="2:20" x14ac:dyDescent="0.25">
      <c r="B513" s="59"/>
      <c r="C513" s="59"/>
      <c r="D513" s="60"/>
      <c r="E513" s="59"/>
      <c r="F513" s="59"/>
      <c r="G513" s="59"/>
      <c r="H513" s="61"/>
      <c r="I513" s="61"/>
      <c r="J513" s="61"/>
      <c r="K513" s="62"/>
      <c r="L513" s="10" t="str">
        <f t="shared" si="134"/>
        <v/>
      </c>
      <c r="M513" s="10" t="str">
        <f t="shared" si="135"/>
        <v/>
      </c>
      <c r="N513" s="11" t="str">
        <f t="shared" si="136"/>
        <v/>
      </c>
      <c r="O513" s="10" t="str">
        <f t="shared" si="137"/>
        <v/>
      </c>
      <c r="P513" s="12" t="str">
        <f t="shared" si="138"/>
        <v/>
      </c>
      <c r="Q513" s="10" t="str">
        <f t="shared" si="139"/>
        <v/>
      </c>
      <c r="R513" s="13" t="str">
        <f t="shared" si="140"/>
        <v/>
      </c>
      <c r="S513" s="13" t="str">
        <f t="shared" si="141"/>
        <v/>
      </c>
      <c r="T513" s="22" t="str">
        <f>IF(R513&lt;&gt;"",VLOOKUP(P513,Constants!$D$3:$E$10,2),"")</f>
        <v/>
      </c>
    </row>
    <row r="514" spans="2:20" x14ac:dyDescent="0.25">
      <c r="B514" s="59"/>
      <c r="C514" s="59"/>
      <c r="D514" s="60"/>
      <c r="E514" s="59"/>
      <c r="F514" s="59"/>
      <c r="G514" s="59"/>
      <c r="H514" s="61"/>
      <c r="I514" s="61"/>
      <c r="J514" s="61"/>
      <c r="K514" s="62"/>
      <c r="L514" s="10" t="str">
        <f t="shared" si="134"/>
        <v/>
      </c>
      <c r="M514" s="10" t="str">
        <f t="shared" si="135"/>
        <v/>
      </c>
      <c r="N514" s="11" t="str">
        <f t="shared" si="136"/>
        <v/>
      </c>
      <c r="O514" s="10" t="str">
        <f t="shared" si="137"/>
        <v/>
      </c>
      <c r="P514" s="12" t="str">
        <f t="shared" si="138"/>
        <v/>
      </c>
      <c r="Q514" s="10" t="str">
        <f t="shared" si="139"/>
        <v/>
      </c>
      <c r="R514" s="13" t="str">
        <f t="shared" si="140"/>
        <v/>
      </c>
      <c r="S514" s="13" t="str">
        <f t="shared" si="141"/>
        <v/>
      </c>
      <c r="T514" s="22" t="str">
        <f>IF(R514&lt;&gt;"",VLOOKUP(P514,Constants!$D$3:$E$10,2),"")</f>
        <v/>
      </c>
    </row>
    <row r="515" spans="2:20" x14ac:dyDescent="0.25">
      <c r="B515" s="59"/>
      <c r="C515" s="59"/>
      <c r="D515" s="60"/>
      <c r="E515" s="59"/>
      <c r="F515" s="59"/>
      <c r="G515" s="59"/>
      <c r="H515" s="61"/>
      <c r="I515" s="61"/>
      <c r="J515" s="61"/>
      <c r="K515" s="62"/>
      <c r="L515" s="10" t="str">
        <f t="shared" si="134"/>
        <v/>
      </c>
      <c r="M515" s="10" t="str">
        <f t="shared" si="135"/>
        <v/>
      </c>
      <c r="N515" s="11" t="str">
        <f t="shared" si="136"/>
        <v/>
      </c>
      <c r="O515" s="10" t="str">
        <f t="shared" si="137"/>
        <v/>
      </c>
      <c r="P515" s="12" t="str">
        <f t="shared" si="138"/>
        <v/>
      </c>
      <c r="Q515" s="10" t="str">
        <f t="shared" si="139"/>
        <v/>
      </c>
      <c r="R515" s="13" t="str">
        <f t="shared" si="140"/>
        <v/>
      </c>
      <c r="S515" s="13" t="str">
        <f t="shared" si="141"/>
        <v/>
      </c>
      <c r="T515" s="22" t="str">
        <f>IF(R515&lt;&gt;"",VLOOKUP(P515,Constants!$D$3:$E$10,2),"")</f>
        <v/>
      </c>
    </row>
    <row r="516" spans="2:20" x14ac:dyDescent="0.25">
      <c r="B516" s="59"/>
      <c r="C516" s="59"/>
      <c r="D516" s="60"/>
      <c r="E516" s="59"/>
      <c r="F516" s="59"/>
      <c r="G516" s="59"/>
      <c r="H516" s="61"/>
      <c r="I516" s="61"/>
      <c r="J516" s="61"/>
      <c r="K516" s="62"/>
      <c r="L516" s="10" t="str">
        <f t="shared" si="134"/>
        <v/>
      </c>
      <c r="M516" s="10" t="str">
        <f t="shared" si="135"/>
        <v/>
      </c>
      <c r="N516" s="11" t="str">
        <f t="shared" si="136"/>
        <v/>
      </c>
      <c r="O516" s="10" t="str">
        <f t="shared" si="137"/>
        <v/>
      </c>
      <c r="P516" s="12" t="str">
        <f t="shared" si="138"/>
        <v/>
      </c>
      <c r="Q516" s="10" t="str">
        <f t="shared" si="139"/>
        <v/>
      </c>
      <c r="R516" s="13" t="str">
        <f t="shared" si="140"/>
        <v/>
      </c>
      <c r="S516" s="13" t="str">
        <f t="shared" si="141"/>
        <v/>
      </c>
      <c r="T516" s="22" t="str">
        <f>IF(R516&lt;&gt;"",VLOOKUP(P516,Constants!$D$3:$E$10,2),"")</f>
        <v/>
      </c>
    </row>
    <row r="517" spans="2:20" x14ac:dyDescent="0.25">
      <c r="B517" s="59"/>
      <c r="C517" s="59"/>
      <c r="D517" s="60"/>
      <c r="E517" s="59"/>
      <c r="F517" s="59"/>
      <c r="G517" s="59"/>
      <c r="H517" s="61"/>
      <c r="I517" s="61"/>
      <c r="J517" s="61"/>
      <c r="K517" s="62"/>
      <c r="L517" s="10" t="str">
        <f t="shared" si="134"/>
        <v/>
      </c>
      <c r="M517" s="10" t="str">
        <f t="shared" si="135"/>
        <v/>
      </c>
      <c r="N517" s="11" t="str">
        <f t="shared" si="136"/>
        <v/>
      </c>
      <c r="O517" s="10" t="str">
        <f t="shared" si="137"/>
        <v/>
      </c>
      <c r="P517" s="12" t="str">
        <f t="shared" si="138"/>
        <v/>
      </c>
      <c r="Q517" s="10" t="str">
        <f t="shared" si="139"/>
        <v/>
      </c>
      <c r="R517" s="13" t="str">
        <f t="shared" si="140"/>
        <v/>
      </c>
      <c r="S517" s="13" t="str">
        <f t="shared" si="141"/>
        <v/>
      </c>
      <c r="T517" s="22" t="str">
        <f>IF(R517&lt;&gt;"",VLOOKUP(P517,Constants!$D$3:$E$10,2),"")</f>
        <v/>
      </c>
    </row>
    <row r="518" spans="2:20" x14ac:dyDescent="0.25">
      <c r="B518" s="59"/>
      <c r="C518" s="59"/>
      <c r="D518" s="60"/>
      <c r="E518" s="59"/>
      <c r="F518" s="59"/>
      <c r="G518" s="59"/>
      <c r="H518" s="61"/>
      <c r="I518" s="61"/>
      <c r="J518" s="61"/>
      <c r="K518" s="62"/>
      <c r="L518" s="10" t="str">
        <f t="shared" si="134"/>
        <v/>
      </c>
      <c r="M518" s="10" t="str">
        <f t="shared" si="135"/>
        <v/>
      </c>
      <c r="N518" s="11" t="str">
        <f t="shared" si="136"/>
        <v/>
      </c>
      <c r="O518" s="10" t="str">
        <f t="shared" si="137"/>
        <v/>
      </c>
      <c r="P518" s="12" t="str">
        <f t="shared" si="138"/>
        <v/>
      </c>
      <c r="Q518" s="10" t="str">
        <f t="shared" si="139"/>
        <v/>
      </c>
      <c r="R518" s="13" t="str">
        <f t="shared" si="140"/>
        <v/>
      </c>
      <c r="S518" s="13" t="str">
        <f t="shared" si="141"/>
        <v/>
      </c>
      <c r="T518" s="22" t="str">
        <f>IF(R518&lt;&gt;"",VLOOKUP(P518,Constants!$D$3:$E$10,2),"")</f>
        <v/>
      </c>
    </row>
    <row r="519" spans="2:20" x14ac:dyDescent="0.25">
      <c r="B519" s="59"/>
      <c r="C519" s="59"/>
      <c r="D519" s="60"/>
      <c r="E519" s="59"/>
      <c r="F519" s="59"/>
      <c r="G519" s="59"/>
      <c r="H519" s="61"/>
      <c r="I519" s="61"/>
      <c r="J519" s="61"/>
      <c r="K519" s="62"/>
      <c r="L519" s="10" t="str">
        <f t="shared" si="134"/>
        <v/>
      </c>
      <c r="M519" s="10" t="str">
        <f t="shared" si="135"/>
        <v/>
      </c>
      <c r="N519" s="11" t="str">
        <f t="shared" si="136"/>
        <v/>
      </c>
      <c r="O519" s="10" t="str">
        <f t="shared" si="137"/>
        <v/>
      </c>
      <c r="P519" s="12" t="str">
        <f t="shared" si="138"/>
        <v/>
      </c>
      <c r="Q519" s="10" t="str">
        <f t="shared" si="139"/>
        <v/>
      </c>
      <c r="R519" s="13" t="str">
        <f t="shared" si="140"/>
        <v/>
      </c>
      <c r="S519" s="13" t="str">
        <f t="shared" si="141"/>
        <v/>
      </c>
      <c r="T519" s="22" t="str">
        <f>IF(R519&lt;&gt;"",VLOOKUP(P519,Constants!$D$3:$E$10,2),"")</f>
        <v/>
      </c>
    </row>
    <row r="520" spans="2:20" x14ac:dyDescent="0.25">
      <c r="B520" s="59"/>
      <c r="C520" s="59"/>
      <c r="D520" s="60"/>
      <c r="E520" s="59"/>
      <c r="F520" s="59"/>
      <c r="G520" s="59"/>
      <c r="H520" s="61"/>
      <c r="I520" s="61"/>
      <c r="J520" s="61"/>
      <c r="K520" s="62"/>
      <c r="L520" s="10" t="str">
        <f t="shared" si="134"/>
        <v/>
      </c>
      <c r="M520" s="10" t="str">
        <f t="shared" si="135"/>
        <v/>
      </c>
      <c r="N520" s="11" t="str">
        <f t="shared" si="136"/>
        <v/>
      </c>
      <c r="O520" s="10" t="str">
        <f t="shared" si="137"/>
        <v/>
      </c>
      <c r="P520" s="12" t="str">
        <f t="shared" si="138"/>
        <v/>
      </c>
      <c r="Q520" s="10" t="str">
        <f t="shared" si="139"/>
        <v/>
      </c>
      <c r="R520" s="13" t="str">
        <f t="shared" si="140"/>
        <v/>
      </c>
      <c r="S520" s="13" t="str">
        <f t="shared" si="141"/>
        <v/>
      </c>
      <c r="T520" s="22" t="str">
        <f>IF(R520&lt;&gt;"",VLOOKUP(P520,Constants!$D$3:$E$10,2),"")</f>
        <v/>
      </c>
    </row>
    <row r="521" spans="2:20" x14ac:dyDescent="0.25">
      <c r="B521" s="59"/>
      <c r="C521" s="59"/>
      <c r="D521" s="60"/>
      <c r="E521" s="59"/>
      <c r="F521" s="59"/>
      <c r="G521" s="59"/>
      <c r="H521" s="61"/>
      <c r="I521" s="61"/>
      <c r="J521" s="61"/>
      <c r="K521" s="62"/>
      <c r="L521" s="10" t="str">
        <f t="shared" si="134"/>
        <v/>
      </c>
      <c r="M521" s="10" t="str">
        <f t="shared" si="135"/>
        <v/>
      </c>
      <c r="N521" s="11" t="str">
        <f t="shared" si="136"/>
        <v/>
      </c>
      <c r="O521" s="10" t="str">
        <f t="shared" si="137"/>
        <v/>
      </c>
      <c r="P521" s="12" t="str">
        <f t="shared" si="138"/>
        <v/>
      </c>
      <c r="Q521" s="10" t="str">
        <f t="shared" si="139"/>
        <v/>
      </c>
      <c r="R521" s="13" t="str">
        <f t="shared" si="140"/>
        <v/>
      </c>
      <c r="S521" s="13" t="str">
        <f t="shared" si="141"/>
        <v/>
      </c>
      <c r="T521" s="22" t="str">
        <f>IF(R521&lt;&gt;"",VLOOKUP(P521,Constants!$D$3:$E$10,2),"")</f>
        <v/>
      </c>
    </row>
    <row r="522" spans="2:20" x14ac:dyDescent="0.25">
      <c r="B522" s="59"/>
      <c r="C522" s="59"/>
      <c r="D522" s="60"/>
      <c r="E522" s="59"/>
      <c r="F522" s="59"/>
      <c r="G522" s="59"/>
      <c r="H522" s="61"/>
      <c r="I522" s="61"/>
      <c r="J522" s="61"/>
      <c r="K522" s="62"/>
      <c r="L522" s="10" t="str">
        <f t="shared" si="134"/>
        <v/>
      </c>
      <c r="M522" s="10" t="str">
        <f t="shared" si="135"/>
        <v/>
      </c>
      <c r="N522" s="11" t="str">
        <f t="shared" si="136"/>
        <v/>
      </c>
      <c r="O522" s="10" t="str">
        <f t="shared" si="137"/>
        <v/>
      </c>
      <c r="P522" s="12" t="str">
        <f t="shared" si="138"/>
        <v/>
      </c>
      <c r="Q522" s="10" t="str">
        <f t="shared" si="139"/>
        <v/>
      </c>
      <c r="R522" s="13" t="str">
        <f t="shared" si="140"/>
        <v/>
      </c>
      <c r="S522" s="13" t="str">
        <f t="shared" si="141"/>
        <v/>
      </c>
      <c r="T522" s="22" t="str">
        <f>IF(R522&lt;&gt;"",VLOOKUP(P522,Constants!$D$3:$E$10,2),"")</f>
        <v/>
      </c>
    </row>
    <row r="523" spans="2:20" x14ac:dyDescent="0.25">
      <c r="B523" s="59"/>
      <c r="C523" s="59"/>
      <c r="D523" s="60"/>
      <c r="E523" s="59"/>
      <c r="F523" s="59"/>
      <c r="G523" s="59"/>
      <c r="H523" s="61"/>
      <c r="I523" s="61"/>
      <c r="J523" s="61"/>
      <c r="K523" s="62"/>
      <c r="L523" s="10" t="str">
        <f t="shared" si="134"/>
        <v/>
      </c>
      <c r="M523" s="10" t="str">
        <f t="shared" si="135"/>
        <v/>
      </c>
      <c r="N523" s="11" t="str">
        <f t="shared" si="136"/>
        <v/>
      </c>
      <c r="O523" s="10" t="str">
        <f t="shared" si="137"/>
        <v/>
      </c>
      <c r="P523" s="12" t="str">
        <f t="shared" si="138"/>
        <v/>
      </c>
      <c r="Q523" s="10" t="str">
        <f t="shared" si="139"/>
        <v/>
      </c>
      <c r="R523" s="13" t="str">
        <f t="shared" si="140"/>
        <v/>
      </c>
      <c r="S523" s="13" t="str">
        <f t="shared" si="141"/>
        <v/>
      </c>
      <c r="T523" s="22" t="str">
        <f>IF(R523&lt;&gt;"",VLOOKUP(P523,Constants!$D$3:$E$10,2),"")</f>
        <v/>
      </c>
    </row>
    <row r="524" spans="2:20" x14ac:dyDescent="0.25">
      <c r="B524" s="59"/>
      <c r="C524" s="59"/>
      <c r="D524" s="60"/>
      <c r="E524" s="59"/>
      <c r="F524" s="59"/>
      <c r="G524" s="59"/>
      <c r="H524" s="61"/>
      <c r="I524" s="61"/>
      <c r="J524" s="61"/>
      <c r="K524" s="62"/>
      <c r="L524" s="10" t="str">
        <f t="shared" si="134"/>
        <v/>
      </c>
      <c r="M524" s="10" t="str">
        <f t="shared" si="135"/>
        <v/>
      </c>
      <c r="N524" s="11" t="str">
        <f t="shared" si="136"/>
        <v/>
      </c>
      <c r="O524" s="10" t="str">
        <f t="shared" si="137"/>
        <v/>
      </c>
      <c r="P524" s="12" t="str">
        <f t="shared" si="138"/>
        <v/>
      </c>
      <c r="Q524" s="10" t="str">
        <f t="shared" si="139"/>
        <v/>
      </c>
      <c r="R524" s="13" t="str">
        <f t="shared" si="140"/>
        <v/>
      </c>
      <c r="S524" s="13" t="str">
        <f t="shared" si="141"/>
        <v/>
      </c>
      <c r="T524" s="22" t="str">
        <f>IF(R524&lt;&gt;"",VLOOKUP(P524,Constants!$D$3:$E$10,2),"")</f>
        <v/>
      </c>
    </row>
    <row r="525" spans="2:20" x14ac:dyDescent="0.25">
      <c r="B525" s="59"/>
      <c r="C525" s="59"/>
      <c r="D525" s="60"/>
      <c r="E525" s="59"/>
      <c r="F525" s="59"/>
      <c r="G525" s="59"/>
      <c r="H525" s="61"/>
      <c r="I525" s="61"/>
      <c r="J525" s="61"/>
      <c r="K525" s="62"/>
      <c r="L525" s="10" t="str">
        <f t="shared" si="134"/>
        <v/>
      </c>
      <c r="M525" s="10" t="str">
        <f t="shared" si="135"/>
        <v/>
      </c>
      <c r="N525" s="11" t="str">
        <f t="shared" si="136"/>
        <v/>
      </c>
      <c r="O525" s="10" t="str">
        <f t="shared" si="137"/>
        <v/>
      </c>
      <c r="P525" s="12" t="str">
        <f t="shared" si="138"/>
        <v/>
      </c>
      <c r="Q525" s="10" t="str">
        <f t="shared" si="139"/>
        <v/>
      </c>
      <c r="R525" s="13" t="str">
        <f t="shared" si="140"/>
        <v/>
      </c>
      <c r="S525" s="13" t="str">
        <f t="shared" si="141"/>
        <v/>
      </c>
      <c r="T525" s="22" t="str">
        <f>IF(R525&lt;&gt;"",VLOOKUP(P525,Constants!$D$3:$E$10,2),"")</f>
        <v/>
      </c>
    </row>
    <row r="526" spans="2:20" x14ac:dyDescent="0.25">
      <c r="B526" s="59"/>
      <c r="C526" s="59"/>
      <c r="D526" s="60"/>
      <c r="E526" s="59"/>
      <c r="F526" s="59"/>
      <c r="G526" s="59"/>
      <c r="H526" s="61"/>
      <c r="I526" s="61"/>
      <c r="J526" s="61"/>
      <c r="K526" s="62"/>
      <c r="L526" s="10" t="str">
        <f t="shared" si="134"/>
        <v/>
      </c>
      <c r="M526" s="10" t="str">
        <f t="shared" si="135"/>
        <v/>
      </c>
      <c r="N526" s="11" t="str">
        <f t="shared" si="136"/>
        <v/>
      </c>
      <c r="O526" s="10" t="str">
        <f t="shared" si="137"/>
        <v/>
      </c>
      <c r="P526" s="12" t="str">
        <f t="shared" si="138"/>
        <v/>
      </c>
      <c r="Q526" s="10" t="str">
        <f t="shared" si="139"/>
        <v/>
      </c>
      <c r="R526" s="13" t="str">
        <f t="shared" si="140"/>
        <v/>
      </c>
      <c r="S526" s="13" t="str">
        <f t="shared" si="141"/>
        <v/>
      </c>
      <c r="T526" s="22" t="str">
        <f>IF(R526&lt;&gt;"",VLOOKUP(P526,Constants!$D$3:$E$10,2),"")</f>
        <v/>
      </c>
    </row>
    <row r="527" spans="2:20" x14ac:dyDescent="0.25">
      <c r="B527" s="59"/>
      <c r="C527" s="59"/>
      <c r="D527" s="60"/>
      <c r="E527" s="59"/>
      <c r="F527" s="59"/>
      <c r="G527" s="59"/>
      <c r="H527" s="61"/>
      <c r="I527" s="61"/>
      <c r="J527" s="61"/>
      <c r="K527" s="62"/>
      <c r="L527" s="10" t="str">
        <f t="shared" si="134"/>
        <v/>
      </c>
      <c r="M527" s="10" t="str">
        <f t="shared" si="135"/>
        <v/>
      </c>
      <c r="N527" s="11" t="str">
        <f t="shared" si="136"/>
        <v/>
      </c>
      <c r="O527" s="10" t="str">
        <f t="shared" si="137"/>
        <v/>
      </c>
      <c r="P527" s="12" t="str">
        <f t="shared" si="138"/>
        <v/>
      </c>
      <c r="Q527" s="10" t="str">
        <f t="shared" si="139"/>
        <v/>
      </c>
      <c r="R527" s="13" t="str">
        <f t="shared" si="140"/>
        <v/>
      </c>
      <c r="S527" s="13" t="str">
        <f t="shared" si="141"/>
        <v/>
      </c>
      <c r="T527" s="22" t="str">
        <f>IF(R527&lt;&gt;"",VLOOKUP(P527,Constants!$D$3:$E$10,2),"")</f>
        <v/>
      </c>
    </row>
    <row r="528" spans="2:20" x14ac:dyDescent="0.25">
      <c r="B528" s="59"/>
      <c r="C528" s="59"/>
      <c r="D528" s="60"/>
      <c r="E528" s="59"/>
      <c r="F528" s="59"/>
      <c r="G528" s="59"/>
      <c r="H528" s="61"/>
      <c r="I528" s="61"/>
      <c r="J528" s="61"/>
      <c r="K528" s="62"/>
      <c r="L528" s="10" t="str">
        <f t="shared" si="134"/>
        <v/>
      </c>
      <c r="M528" s="10" t="str">
        <f t="shared" si="135"/>
        <v/>
      </c>
      <c r="N528" s="11" t="str">
        <f t="shared" si="136"/>
        <v/>
      </c>
      <c r="O528" s="10" t="str">
        <f t="shared" si="137"/>
        <v/>
      </c>
      <c r="P528" s="12" t="str">
        <f t="shared" si="138"/>
        <v/>
      </c>
      <c r="Q528" s="10" t="str">
        <f t="shared" si="139"/>
        <v/>
      </c>
      <c r="R528" s="13" t="str">
        <f t="shared" si="140"/>
        <v/>
      </c>
      <c r="S528" s="13" t="str">
        <f t="shared" si="141"/>
        <v/>
      </c>
      <c r="T528" s="22" t="str">
        <f>IF(R528&lt;&gt;"",VLOOKUP(P528,Constants!$D$3:$E$10,2),"")</f>
        <v/>
      </c>
    </row>
    <row r="529" spans="2:20" x14ac:dyDescent="0.25">
      <c r="B529" s="59"/>
      <c r="C529" s="59"/>
      <c r="D529" s="60"/>
      <c r="E529" s="59"/>
      <c r="F529" s="59"/>
      <c r="G529" s="59"/>
      <c r="H529" s="61"/>
      <c r="I529" s="61"/>
      <c r="J529" s="61"/>
      <c r="K529" s="62"/>
      <c r="L529" s="10" t="str">
        <f t="shared" si="134"/>
        <v/>
      </c>
      <c r="M529" s="10" t="str">
        <f t="shared" si="135"/>
        <v/>
      </c>
      <c r="N529" s="11" t="str">
        <f t="shared" si="136"/>
        <v/>
      </c>
      <c r="O529" s="10" t="str">
        <f t="shared" si="137"/>
        <v/>
      </c>
      <c r="P529" s="12" t="str">
        <f t="shared" si="138"/>
        <v/>
      </c>
      <c r="Q529" s="10" t="str">
        <f t="shared" si="139"/>
        <v/>
      </c>
      <c r="R529" s="13" t="str">
        <f t="shared" si="140"/>
        <v/>
      </c>
      <c r="S529" s="13" t="str">
        <f t="shared" si="141"/>
        <v/>
      </c>
      <c r="T529" s="22" t="str">
        <f>IF(R529&lt;&gt;"",VLOOKUP(P529,Constants!$D$3:$E$10,2),"")</f>
        <v/>
      </c>
    </row>
    <row r="530" spans="2:20" x14ac:dyDescent="0.25">
      <c r="B530" s="59"/>
      <c r="C530" s="59"/>
      <c r="D530" s="60"/>
      <c r="E530" s="59"/>
      <c r="F530" s="59"/>
      <c r="G530" s="59"/>
      <c r="H530" s="61"/>
      <c r="I530" s="61"/>
      <c r="J530" s="61"/>
      <c r="K530" s="62"/>
      <c r="L530" s="10" t="str">
        <f t="shared" ref="L530:L593" si="142">IF($D530&lt;&gt;"",$D530*$E530/1000,"")</f>
        <v/>
      </c>
      <c r="M530" s="10" t="str">
        <f t="shared" ref="M530:M593" si="143">IF($D530&lt;&gt;"",$D530*$F530/1000,"")</f>
        <v/>
      </c>
      <c r="N530" s="11" t="str">
        <f t="shared" ref="N530:N593" si="144">IF($L530&lt;&gt;"",SQRT($L530*$L530+$M530*$M530),"")</f>
        <v/>
      </c>
      <c r="O530" s="10" t="str">
        <f t="shared" si="137"/>
        <v/>
      </c>
      <c r="P530" s="12" t="str">
        <f t="shared" si="138"/>
        <v/>
      </c>
      <c r="Q530" s="10" t="str">
        <f t="shared" si="139"/>
        <v/>
      </c>
      <c r="R530" s="13" t="str">
        <f t="shared" si="140"/>
        <v/>
      </c>
      <c r="S530" s="13" t="str">
        <f t="shared" si="141"/>
        <v/>
      </c>
      <c r="T530" s="22" t="str">
        <f>IF(R530&lt;&gt;"",VLOOKUP(P530,Constants!$D$3:$E$10,2),"")</f>
        <v/>
      </c>
    </row>
    <row r="531" spans="2:20" x14ac:dyDescent="0.25">
      <c r="B531" s="59"/>
      <c r="C531" s="59"/>
      <c r="D531" s="60"/>
      <c r="E531" s="59"/>
      <c r="F531" s="59"/>
      <c r="G531" s="59"/>
      <c r="H531" s="61"/>
      <c r="I531" s="61"/>
      <c r="J531" s="61"/>
      <c r="K531" s="62"/>
      <c r="L531" s="10" t="str">
        <f t="shared" si="142"/>
        <v/>
      </c>
      <c r="M531" s="10" t="str">
        <f t="shared" si="143"/>
        <v/>
      </c>
      <c r="N531" s="11" t="str">
        <f t="shared" si="144"/>
        <v/>
      </c>
      <c r="O531" s="10" t="str">
        <f t="shared" si="137"/>
        <v/>
      </c>
      <c r="P531" s="12" t="str">
        <f t="shared" si="138"/>
        <v/>
      </c>
      <c r="Q531" s="10" t="str">
        <f t="shared" si="139"/>
        <v/>
      </c>
      <c r="R531" s="13" t="str">
        <f t="shared" si="140"/>
        <v/>
      </c>
      <c r="S531" s="13" t="str">
        <f t="shared" si="141"/>
        <v/>
      </c>
      <c r="T531" s="22" t="str">
        <f>IF(R531&lt;&gt;"",VLOOKUP(P531,Constants!$D$3:$E$10,2),"")</f>
        <v/>
      </c>
    </row>
    <row r="532" spans="2:20" x14ac:dyDescent="0.25">
      <c r="B532" s="59"/>
      <c r="C532" s="59"/>
      <c r="D532" s="60"/>
      <c r="E532" s="59"/>
      <c r="F532" s="59"/>
      <c r="G532" s="59"/>
      <c r="H532" s="61"/>
      <c r="I532" s="61"/>
      <c r="J532" s="61"/>
      <c r="K532" s="62"/>
      <c r="L532" s="10" t="str">
        <f t="shared" si="142"/>
        <v/>
      </c>
      <c r="M532" s="10" t="str">
        <f t="shared" si="143"/>
        <v/>
      </c>
      <c r="N532" s="11" t="str">
        <f t="shared" si="144"/>
        <v/>
      </c>
      <c r="O532" s="10" t="str">
        <f t="shared" ref="O532:O595" si="145">IF(D532&lt;&gt;"",1000/(2*D532),"")</f>
        <v/>
      </c>
      <c r="P532" s="12" t="str">
        <f t="shared" ref="P532:P595" si="146">IF($N532&lt;&gt;"",D532*SQRT(E532*E532+F532*F532)/16000,"")</f>
        <v/>
      </c>
      <c r="Q532" s="10" t="str">
        <f t="shared" ref="Q532:Q595" si="147">IF(F532&lt;&gt;"",F532*E532/1000000,"")</f>
        <v/>
      </c>
      <c r="R532" s="13" t="str">
        <f t="shared" ref="R532:R595" si="148">IF(G532&lt;&gt;"",1000/G532,"")</f>
        <v/>
      </c>
      <c r="S532" s="13" t="str">
        <f t="shared" ref="S532:S595" si="149">IF(R532&lt;&gt;"",Q532/R532*1000,"")</f>
        <v/>
      </c>
      <c r="T532" s="22" t="str">
        <f>IF(R532&lt;&gt;"",VLOOKUP(P532,Constants!$D$3:$E$10,2),"")</f>
        <v/>
      </c>
    </row>
    <row r="533" spans="2:20" x14ac:dyDescent="0.25">
      <c r="B533" s="59"/>
      <c r="C533" s="59"/>
      <c r="D533" s="60"/>
      <c r="E533" s="59"/>
      <c r="F533" s="59"/>
      <c r="G533" s="59"/>
      <c r="H533" s="61"/>
      <c r="I533" s="61"/>
      <c r="J533" s="61"/>
      <c r="K533" s="62"/>
      <c r="L533" s="10" t="str">
        <f t="shared" si="142"/>
        <v/>
      </c>
      <c r="M533" s="10" t="str">
        <f t="shared" si="143"/>
        <v/>
      </c>
      <c r="N533" s="11" t="str">
        <f t="shared" si="144"/>
        <v/>
      </c>
      <c r="O533" s="10" t="str">
        <f t="shared" si="145"/>
        <v/>
      </c>
      <c r="P533" s="12" t="str">
        <f t="shared" si="146"/>
        <v/>
      </c>
      <c r="Q533" s="10" t="str">
        <f t="shared" si="147"/>
        <v/>
      </c>
      <c r="R533" s="13" t="str">
        <f t="shared" si="148"/>
        <v/>
      </c>
      <c r="S533" s="13" t="str">
        <f t="shared" si="149"/>
        <v/>
      </c>
      <c r="T533" s="22" t="str">
        <f>IF(R533&lt;&gt;"",VLOOKUP(P533,Constants!$D$3:$E$10,2),"")</f>
        <v/>
      </c>
    </row>
    <row r="534" spans="2:20" x14ac:dyDescent="0.25">
      <c r="B534" s="59"/>
      <c r="C534" s="59"/>
      <c r="D534" s="60"/>
      <c r="E534" s="59"/>
      <c r="F534" s="59"/>
      <c r="G534" s="59"/>
      <c r="H534" s="61"/>
      <c r="I534" s="61"/>
      <c r="J534" s="61"/>
      <c r="K534" s="62"/>
      <c r="L534" s="10" t="str">
        <f t="shared" si="142"/>
        <v/>
      </c>
      <c r="M534" s="10" t="str">
        <f t="shared" si="143"/>
        <v/>
      </c>
      <c r="N534" s="11" t="str">
        <f t="shared" si="144"/>
        <v/>
      </c>
      <c r="O534" s="10" t="str">
        <f t="shared" si="145"/>
        <v/>
      </c>
      <c r="P534" s="12" t="str">
        <f t="shared" si="146"/>
        <v/>
      </c>
      <c r="Q534" s="10" t="str">
        <f t="shared" si="147"/>
        <v/>
      </c>
      <c r="R534" s="13" t="str">
        <f t="shared" si="148"/>
        <v/>
      </c>
      <c r="S534" s="13" t="str">
        <f t="shared" si="149"/>
        <v/>
      </c>
      <c r="T534" s="22" t="str">
        <f>IF(R534&lt;&gt;"",VLOOKUP(P534,Constants!$D$3:$E$10,2),"")</f>
        <v/>
      </c>
    </row>
    <row r="535" spans="2:20" x14ac:dyDescent="0.25">
      <c r="B535" s="59"/>
      <c r="C535" s="59"/>
      <c r="D535" s="60"/>
      <c r="E535" s="59"/>
      <c r="F535" s="59"/>
      <c r="G535" s="59"/>
      <c r="H535" s="61"/>
      <c r="I535" s="61"/>
      <c r="J535" s="61"/>
      <c r="K535" s="62"/>
      <c r="L535" s="10" t="str">
        <f t="shared" si="142"/>
        <v/>
      </c>
      <c r="M535" s="10" t="str">
        <f t="shared" si="143"/>
        <v/>
      </c>
      <c r="N535" s="11" t="str">
        <f t="shared" si="144"/>
        <v/>
      </c>
      <c r="O535" s="10" t="str">
        <f t="shared" si="145"/>
        <v/>
      </c>
      <c r="P535" s="12" t="str">
        <f t="shared" si="146"/>
        <v/>
      </c>
      <c r="Q535" s="10" t="str">
        <f t="shared" si="147"/>
        <v/>
      </c>
      <c r="R535" s="13" t="str">
        <f t="shared" si="148"/>
        <v/>
      </c>
      <c r="S535" s="13" t="str">
        <f t="shared" si="149"/>
        <v/>
      </c>
      <c r="T535" s="22" t="str">
        <f>IF(R535&lt;&gt;"",VLOOKUP(P535,Constants!$D$3:$E$10,2),"")</f>
        <v/>
      </c>
    </row>
    <row r="536" spans="2:20" x14ac:dyDescent="0.25">
      <c r="B536" s="59"/>
      <c r="C536" s="59"/>
      <c r="D536" s="60"/>
      <c r="E536" s="59"/>
      <c r="F536" s="59"/>
      <c r="G536" s="59"/>
      <c r="H536" s="61"/>
      <c r="I536" s="61"/>
      <c r="J536" s="61"/>
      <c r="K536" s="62"/>
      <c r="L536" s="10" t="str">
        <f t="shared" si="142"/>
        <v/>
      </c>
      <c r="M536" s="10" t="str">
        <f t="shared" si="143"/>
        <v/>
      </c>
      <c r="N536" s="11" t="str">
        <f t="shared" si="144"/>
        <v/>
      </c>
      <c r="O536" s="10" t="str">
        <f t="shared" si="145"/>
        <v/>
      </c>
      <c r="P536" s="12" t="str">
        <f t="shared" si="146"/>
        <v/>
      </c>
      <c r="Q536" s="10" t="str">
        <f t="shared" si="147"/>
        <v/>
      </c>
      <c r="R536" s="13" t="str">
        <f t="shared" si="148"/>
        <v/>
      </c>
      <c r="S536" s="13" t="str">
        <f t="shared" si="149"/>
        <v/>
      </c>
      <c r="T536" s="22" t="str">
        <f>IF(R536&lt;&gt;"",VLOOKUP(P536,Constants!$D$3:$E$10,2),"")</f>
        <v/>
      </c>
    </row>
    <row r="537" spans="2:20" x14ac:dyDescent="0.25">
      <c r="B537" s="59"/>
      <c r="C537" s="59"/>
      <c r="D537" s="60"/>
      <c r="E537" s="59"/>
      <c r="F537" s="59"/>
      <c r="G537" s="59"/>
      <c r="H537" s="61"/>
      <c r="I537" s="61"/>
      <c r="J537" s="61"/>
      <c r="K537" s="62"/>
      <c r="L537" s="10" t="str">
        <f t="shared" si="142"/>
        <v/>
      </c>
      <c r="M537" s="10" t="str">
        <f t="shared" si="143"/>
        <v/>
      </c>
      <c r="N537" s="11" t="str">
        <f t="shared" si="144"/>
        <v/>
      </c>
      <c r="O537" s="10" t="str">
        <f t="shared" si="145"/>
        <v/>
      </c>
      <c r="P537" s="12" t="str">
        <f t="shared" si="146"/>
        <v/>
      </c>
      <c r="Q537" s="10" t="str">
        <f t="shared" si="147"/>
        <v/>
      </c>
      <c r="R537" s="13" t="str">
        <f t="shared" si="148"/>
        <v/>
      </c>
      <c r="S537" s="13" t="str">
        <f t="shared" si="149"/>
        <v/>
      </c>
      <c r="T537" s="22" t="str">
        <f>IF(R537&lt;&gt;"",VLOOKUP(P537,Constants!$D$3:$E$10,2),"")</f>
        <v/>
      </c>
    </row>
    <row r="538" spans="2:20" x14ac:dyDescent="0.25">
      <c r="B538" s="59"/>
      <c r="C538" s="59"/>
      <c r="D538" s="60"/>
      <c r="E538" s="59"/>
      <c r="F538" s="59"/>
      <c r="G538" s="59"/>
      <c r="H538" s="61"/>
      <c r="I538" s="61"/>
      <c r="J538" s="61"/>
      <c r="K538" s="62"/>
      <c r="L538" s="10" t="str">
        <f t="shared" si="142"/>
        <v/>
      </c>
      <c r="M538" s="10" t="str">
        <f t="shared" si="143"/>
        <v/>
      </c>
      <c r="N538" s="11" t="str">
        <f t="shared" si="144"/>
        <v/>
      </c>
      <c r="O538" s="10" t="str">
        <f t="shared" si="145"/>
        <v/>
      </c>
      <c r="P538" s="12" t="str">
        <f t="shared" si="146"/>
        <v/>
      </c>
      <c r="Q538" s="10" t="str">
        <f t="shared" si="147"/>
        <v/>
      </c>
      <c r="R538" s="13" t="str">
        <f t="shared" si="148"/>
        <v/>
      </c>
      <c r="S538" s="13" t="str">
        <f t="shared" si="149"/>
        <v/>
      </c>
      <c r="T538" s="22" t="str">
        <f>IF(R538&lt;&gt;"",VLOOKUP(P538,Constants!$D$3:$E$10,2),"")</f>
        <v/>
      </c>
    </row>
    <row r="539" spans="2:20" x14ac:dyDescent="0.25">
      <c r="B539" s="59"/>
      <c r="C539" s="59"/>
      <c r="D539" s="60"/>
      <c r="E539" s="59"/>
      <c r="F539" s="59"/>
      <c r="G539" s="59"/>
      <c r="H539" s="61"/>
      <c r="I539" s="61"/>
      <c r="J539" s="61"/>
      <c r="K539" s="62"/>
      <c r="L539" s="10" t="str">
        <f t="shared" si="142"/>
        <v/>
      </c>
      <c r="M539" s="10" t="str">
        <f t="shared" si="143"/>
        <v/>
      </c>
      <c r="N539" s="11" t="str">
        <f t="shared" si="144"/>
        <v/>
      </c>
      <c r="O539" s="10" t="str">
        <f t="shared" si="145"/>
        <v/>
      </c>
      <c r="P539" s="12" t="str">
        <f t="shared" si="146"/>
        <v/>
      </c>
      <c r="Q539" s="10" t="str">
        <f t="shared" si="147"/>
        <v/>
      </c>
      <c r="R539" s="13" t="str">
        <f t="shared" si="148"/>
        <v/>
      </c>
      <c r="S539" s="13" t="str">
        <f t="shared" si="149"/>
        <v/>
      </c>
      <c r="T539" s="22" t="str">
        <f>IF(R539&lt;&gt;"",VLOOKUP(P539,Constants!$D$3:$E$10,2),"")</f>
        <v/>
      </c>
    </row>
    <row r="540" spans="2:20" x14ac:dyDescent="0.25">
      <c r="B540" s="59"/>
      <c r="C540" s="59"/>
      <c r="D540" s="60"/>
      <c r="E540" s="59"/>
      <c r="F540" s="59"/>
      <c r="G540" s="59"/>
      <c r="H540" s="61"/>
      <c r="I540" s="61"/>
      <c r="J540" s="61"/>
      <c r="K540" s="62"/>
      <c r="L540" s="10" t="str">
        <f t="shared" si="142"/>
        <v/>
      </c>
      <c r="M540" s="10" t="str">
        <f t="shared" si="143"/>
        <v/>
      </c>
      <c r="N540" s="11" t="str">
        <f t="shared" si="144"/>
        <v/>
      </c>
      <c r="O540" s="10" t="str">
        <f t="shared" si="145"/>
        <v/>
      </c>
      <c r="P540" s="12" t="str">
        <f t="shared" si="146"/>
        <v/>
      </c>
      <c r="Q540" s="10" t="str">
        <f t="shared" si="147"/>
        <v/>
      </c>
      <c r="R540" s="13" t="str">
        <f t="shared" si="148"/>
        <v/>
      </c>
      <c r="S540" s="13" t="str">
        <f t="shared" si="149"/>
        <v/>
      </c>
      <c r="T540" s="22" t="str">
        <f>IF(R540&lt;&gt;"",VLOOKUP(P540,Constants!$D$3:$E$10,2),"")</f>
        <v/>
      </c>
    </row>
    <row r="541" spans="2:20" x14ac:dyDescent="0.25">
      <c r="B541" s="59"/>
      <c r="C541" s="59"/>
      <c r="D541" s="60"/>
      <c r="E541" s="59"/>
      <c r="F541" s="59"/>
      <c r="G541" s="59"/>
      <c r="H541" s="61"/>
      <c r="I541" s="61"/>
      <c r="J541" s="61"/>
      <c r="K541" s="62"/>
      <c r="L541" s="10" t="str">
        <f t="shared" si="142"/>
        <v/>
      </c>
      <c r="M541" s="10" t="str">
        <f t="shared" si="143"/>
        <v/>
      </c>
      <c r="N541" s="11" t="str">
        <f t="shared" si="144"/>
        <v/>
      </c>
      <c r="O541" s="10" t="str">
        <f t="shared" si="145"/>
        <v/>
      </c>
      <c r="P541" s="12" t="str">
        <f t="shared" si="146"/>
        <v/>
      </c>
      <c r="Q541" s="10" t="str">
        <f t="shared" si="147"/>
        <v/>
      </c>
      <c r="R541" s="13" t="str">
        <f t="shared" si="148"/>
        <v/>
      </c>
      <c r="S541" s="13" t="str">
        <f t="shared" si="149"/>
        <v/>
      </c>
      <c r="T541" s="22" t="str">
        <f>IF(R541&lt;&gt;"",VLOOKUP(P541,Constants!$D$3:$E$10,2),"")</f>
        <v/>
      </c>
    </row>
    <row r="542" spans="2:20" x14ac:dyDescent="0.25">
      <c r="B542" s="59"/>
      <c r="C542" s="59"/>
      <c r="D542" s="60"/>
      <c r="E542" s="59"/>
      <c r="F542" s="59"/>
      <c r="G542" s="59"/>
      <c r="H542" s="61"/>
      <c r="I542" s="61"/>
      <c r="J542" s="61"/>
      <c r="K542" s="62"/>
      <c r="L542" s="10" t="str">
        <f t="shared" si="142"/>
        <v/>
      </c>
      <c r="M542" s="10" t="str">
        <f t="shared" si="143"/>
        <v/>
      </c>
      <c r="N542" s="11" t="str">
        <f t="shared" si="144"/>
        <v/>
      </c>
      <c r="O542" s="10" t="str">
        <f t="shared" si="145"/>
        <v/>
      </c>
      <c r="P542" s="12" t="str">
        <f t="shared" si="146"/>
        <v/>
      </c>
      <c r="Q542" s="10" t="str">
        <f t="shared" si="147"/>
        <v/>
      </c>
      <c r="R542" s="13" t="str">
        <f t="shared" si="148"/>
        <v/>
      </c>
      <c r="S542" s="13" t="str">
        <f t="shared" si="149"/>
        <v/>
      </c>
      <c r="T542" s="22" t="str">
        <f>IF(R542&lt;&gt;"",VLOOKUP(P542,Constants!$D$3:$E$10,2),"")</f>
        <v/>
      </c>
    </row>
    <row r="543" spans="2:20" x14ac:dyDescent="0.25">
      <c r="B543" s="59"/>
      <c r="C543" s="59"/>
      <c r="D543" s="60"/>
      <c r="E543" s="59"/>
      <c r="F543" s="59"/>
      <c r="G543" s="59"/>
      <c r="H543" s="61"/>
      <c r="I543" s="61"/>
      <c r="J543" s="61"/>
      <c r="K543" s="62"/>
      <c r="L543" s="10" t="str">
        <f t="shared" si="142"/>
        <v/>
      </c>
      <c r="M543" s="10" t="str">
        <f t="shared" si="143"/>
        <v/>
      </c>
      <c r="N543" s="11" t="str">
        <f t="shared" si="144"/>
        <v/>
      </c>
      <c r="O543" s="10" t="str">
        <f t="shared" si="145"/>
        <v/>
      </c>
      <c r="P543" s="12" t="str">
        <f t="shared" si="146"/>
        <v/>
      </c>
      <c r="Q543" s="10" t="str">
        <f t="shared" si="147"/>
        <v/>
      </c>
      <c r="R543" s="13" t="str">
        <f t="shared" si="148"/>
        <v/>
      </c>
      <c r="S543" s="13" t="str">
        <f t="shared" si="149"/>
        <v/>
      </c>
      <c r="T543" s="22" t="str">
        <f>IF(R543&lt;&gt;"",VLOOKUP(P543,Constants!$D$3:$E$10,2),"")</f>
        <v/>
      </c>
    </row>
    <row r="544" spans="2:20" x14ac:dyDescent="0.25">
      <c r="B544" s="59"/>
      <c r="C544" s="59"/>
      <c r="D544" s="60"/>
      <c r="E544" s="59"/>
      <c r="F544" s="59"/>
      <c r="G544" s="59"/>
      <c r="H544" s="61"/>
      <c r="I544" s="61"/>
      <c r="J544" s="61"/>
      <c r="K544" s="62"/>
      <c r="L544" s="10" t="str">
        <f t="shared" si="142"/>
        <v/>
      </c>
      <c r="M544" s="10" t="str">
        <f t="shared" si="143"/>
        <v/>
      </c>
      <c r="N544" s="11" t="str">
        <f t="shared" si="144"/>
        <v/>
      </c>
      <c r="O544" s="10" t="str">
        <f t="shared" si="145"/>
        <v/>
      </c>
      <c r="P544" s="12" t="str">
        <f t="shared" si="146"/>
        <v/>
      </c>
      <c r="Q544" s="10" t="str">
        <f t="shared" si="147"/>
        <v/>
      </c>
      <c r="R544" s="13" t="str">
        <f t="shared" si="148"/>
        <v/>
      </c>
      <c r="S544" s="13" t="str">
        <f t="shared" si="149"/>
        <v/>
      </c>
      <c r="T544" s="22" t="str">
        <f>IF(R544&lt;&gt;"",VLOOKUP(P544,Constants!$D$3:$E$10,2),"")</f>
        <v/>
      </c>
    </row>
    <row r="545" spans="2:20" x14ac:dyDescent="0.25">
      <c r="B545" s="59"/>
      <c r="C545" s="59"/>
      <c r="D545" s="60"/>
      <c r="E545" s="59"/>
      <c r="F545" s="59"/>
      <c r="G545" s="59"/>
      <c r="H545" s="61"/>
      <c r="I545" s="61"/>
      <c r="J545" s="61"/>
      <c r="K545" s="62"/>
      <c r="L545" s="10" t="str">
        <f t="shared" si="142"/>
        <v/>
      </c>
      <c r="M545" s="10" t="str">
        <f t="shared" si="143"/>
        <v/>
      </c>
      <c r="N545" s="11" t="str">
        <f t="shared" si="144"/>
        <v/>
      </c>
      <c r="O545" s="10" t="str">
        <f t="shared" si="145"/>
        <v/>
      </c>
      <c r="P545" s="12" t="str">
        <f t="shared" si="146"/>
        <v/>
      </c>
      <c r="Q545" s="10" t="str">
        <f t="shared" si="147"/>
        <v/>
      </c>
      <c r="R545" s="13" t="str">
        <f t="shared" si="148"/>
        <v/>
      </c>
      <c r="S545" s="13" t="str">
        <f t="shared" si="149"/>
        <v/>
      </c>
      <c r="T545" s="22" t="str">
        <f>IF(R545&lt;&gt;"",VLOOKUP(P545,Constants!$D$3:$E$10,2),"")</f>
        <v/>
      </c>
    </row>
    <row r="546" spans="2:20" x14ac:dyDescent="0.25">
      <c r="B546" s="59"/>
      <c r="C546" s="59"/>
      <c r="D546" s="60"/>
      <c r="E546" s="59"/>
      <c r="F546" s="59"/>
      <c r="G546" s="59"/>
      <c r="H546" s="61"/>
      <c r="I546" s="61"/>
      <c r="J546" s="61"/>
      <c r="K546" s="62"/>
      <c r="L546" s="10" t="str">
        <f t="shared" si="142"/>
        <v/>
      </c>
      <c r="M546" s="10" t="str">
        <f t="shared" si="143"/>
        <v/>
      </c>
      <c r="N546" s="11" t="str">
        <f t="shared" si="144"/>
        <v/>
      </c>
      <c r="O546" s="10" t="str">
        <f t="shared" si="145"/>
        <v/>
      </c>
      <c r="P546" s="12" t="str">
        <f t="shared" si="146"/>
        <v/>
      </c>
      <c r="Q546" s="10" t="str">
        <f t="shared" si="147"/>
        <v/>
      </c>
      <c r="R546" s="13" t="str">
        <f t="shared" si="148"/>
        <v/>
      </c>
      <c r="S546" s="13" t="str">
        <f t="shared" si="149"/>
        <v/>
      </c>
      <c r="T546" s="22" t="str">
        <f>IF(R546&lt;&gt;"",VLOOKUP(P546,Constants!$D$3:$E$10,2),"")</f>
        <v/>
      </c>
    </row>
    <row r="547" spans="2:20" x14ac:dyDescent="0.25">
      <c r="B547" s="59"/>
      <c r="C547" s="59"/>
      <c r="D547" s="60"/>
      <c r="E547" s="59"/>
      <c r="F547" s="59"/>
      <c r="G547" s="59"/>
      <c r="H547" s="61"/>
      <c r="I547" s="61"/>
      <c r="J547" s="61"/>
      <c r="K547" s="62"/>
      <c r="L547" s="10" t="str">
        <f t="shared" si="142"/>
        <v/>
      </c>
      <c r="M547" s="10" t="str">
        <f t="shared" si="143"/>
        <v/>
      </c>
      <c r="N547" s="11" t="str">
        <f t="shared" si="144"/>
        <v/>
      </c>
      <c r="O547" s="10" t="str">
        <f t="shared" si="145"/>
        <v/>
      </c>
      <c r="P547" s="12" t="str">
        <f t="shared" si="146"/>
        <v/>
      </c>
      <c r="Q547" s="10" t="str">
        <f t="shared" si="147"/>
        <v/>
      </c>
      <c r="R547" s="13" t="str">
        <f t="shared" si="148"/>
        <v/>
      </c>
      <c r="S547" s="13" t="str">
        <f t="shared" si="149"/>
        <v/>
      </c>
      <c r="T547" s="22" t="str">
        <f>IF(R547&lt;&gt;"",VLOOKUP(P547,Constants!$D$3:$E$10,2),"")</f>
        <v/>
      </c>
    </row>
    <row r="548" spans="2:20" x14ac:dyDescent="0.25">
      <c r="B548" s="59"/>
      <c r="C548" s="59"/>
      <c r="D548" s="60"/>
      <c r="E548" s="59"/>
      <c r="F548" s="59"/>
      <c r="G548" s="59"/>
      <c r="H548" s="61"/>
      <c r="I548" s="61"/>
      <c r="J548" s="61"/>
      <c r="K548" s="62"/>
      <c r="L548" s="10" t="str">
        <f t="shared" si="142"/>
        <v/>
      </c>
      <c r="M548" s="10" t="str">
        <f t="shared" si="143"/>
        <v/>
      </c>
      <c r="N548" s="11" t="str">
        <f t="shared" si="144"/>
        <v/>
      </c>
      <c r="O548" s="10" t="str">
        <f t="shared" si="145"/>
        <v/>
      </c>
      <c r="P548" s="12" t="str">
        <f t="shared" si="146"/>
        <v/>
      </c>
      <c r="Q548" s="10" t="str">
        <f t="shared" si="147"/>
        <v/>
      </c>
      <c r="R548" s="13" t="str">
        <f t="shared" si="148"/>
        <v/>
      </c>
      <c r="S548" s="13" t="str">
        <f t="shared" si="149"/>
        <v/>
      </c>
      <c r="T548" s="22" t="str">
        <f>IF(R548&lt;&gt;"",VLOOKUP(P548,Constants!$D$3:$E$10,2),"")</f>
        <v/>
      </c>
    </row>
    <row r="549" spans="2:20" x14ac:dyDescent="0.25">
      <c r="B549" s="59"/>
      <c r="C549" s="59"/>
      <c r="D549" s="60"/>
      <c r="E549" s="59"/>
      <c r="F549" s="59"/>
      <c r="G549" s="59"/>
      <c r="H549" s="61"/>
      <c r="I549" s="61"/>
      <c r="J549" s="61"/>
      <c r="K549" s="62"/>
      <c r="L549" s="10" t="str">
        <f t="shared" si="142"/>
        <v/>
      </c>
      <c r="M549" s="10" t="str">
        <f t="shared" si="143"/>
        <v/>
      </c>
      <c r="N549" s="11" t="str">
        <f t="shared" si="144"/>
        <v/>
      </c>
      <c r="O549" s="10" t="str">
        <f t="shared" si="145"/>
        <v/>
      </c>
      <c r="P549" s="12" t="str">
        <f t="shared" si="146"/>
        <v/>
      </c>
      <c r="Q549" s="10" t="str">
        <f t="shared" si="147"/>
        <v/>
      </c>
      <c r="R549" s="13" t="str">
        <f t="shared" si="148"/>
        <v/>
      </c>
      <c r="S549" s="13" t="str">
        <f t="shared" si="149"/>
        <v/>
      </c>
      <c r="T549" s="22" t="str">
        <f>IF(R549&lt;&gt;"",VLOOKUP(P549,Constants!$D$3:$E$10,2),"")</f>
        <v/>
      </c>
    </row>
    <row r="550" spans="2:20" x14ac:dyDescent="0.25">
      <c r="B550" s="59"/>
      <c r="C550" s="59"/>
      <c r="D550" s="60"/>
      <c r="E550" s="59"/>
      <c r="F550" s="59"/>
      <c r="G550" s="59"/>
      <c r="H550" s="61"/>
      <c r="I550" s="61"/>
      <c r="J550" s="61"/>
      <c r="K550" s="62"/>
      <c r="L550" s="10" t="str">
        <f t="shared" si="142"/>
        <v/>
      </c>
      <c r="M550" s="10" t="str">
        <f t="shared" si="143"/>
        <v/>
      </c>
      <c r="N550" s="11" t="str">
        <f t="shared" si="144"/>
        <v/>
      </c>
      <c r="O550" s="10" t="str">
        <f t="shared" si="145"/>
        <v/>
      </c>
      <c r="P550" s="12" t="str">
        <f t="shared" si="146"/>
        <v/>
      </c>
      <c r="Q550" s="10" t="str">
        <f t="shared" si="147"/>
        <v/>
      </c>
      <c r="R550" s="13" t="str">
        <f t="shared" si="148"/>
        <v/>
      </c>
      <c r="S550" s="13" t="str">
        <f t="shared" si="149"/>
        <v/>
      </c>
      <c r="T550" s="22" t="str">
        <f>IF(R550&lt;&gt;"",VLOOKUP(P550,Constants!$D$3:$E$10,2),"")</f>
        <v/>
      </c>
    </row>
    <row r="551" spans="2:20" x14ac:dyDescent="0.25">
      <c r="B551" s="59"/>
      <c r="C551" s="59"/>
      <c r="D551" s="60"/>
      <c r="E551" s="59"/>
      <c r="F551" s="59"/>
      <c r="G551" s="59"/>
      <c r="H551" s="61"/>
      <c r="I551" s="61"/>
      <c r="J551" s="61"/>
      <c r="K551" s="62"/>
      <c r="L551" s="10" t="str">
        <f t="shared" si="142"/>
        <v/>
      </c>
      <c r="M551" s="10" t="str">
        <f t="shared" si="143"/>
        <v/>
      </c>
      <c r="N551" s="11" t="str">
        <f t="shared" si="144"/>
        <v/>
      </c>
      <c r="O551" s="10" t="str">
        <f t="shared" si="145"/>
        <v/>
      </c>
      <c r="P551" s="12" t="str">
        <f t="shared" si="146"/>
        <v/>
      </c>
      <c r="Q551" s="10" t="str">
        <f t="shared" si="147"/>
        <v/>
      </c>
      <c r="R551" s="13" t="str">
        <f t="shared" si="148"/>
        <v/>
      </c>
      <c r="S551" s="13" t="str">
        <f t="shared" si="149"/>
        <v/>
      </c>
      <c r="T551" s="22" t="str">
        <f>IF(R551&lt;&gt;"",VLOOKUP(P551,Constants!$D$3:$E$10,2),"")</f>
        <v/>
      </c>
    </row>
    <row r="552" spans="2:20" x14ac:dyDescent="0.25">
      <c r="B552" s="59"/>
      <c r="C552" s="59"/>
      <c r="D552" s="60"/>
      <c r="E552" s="59"/>
      <c r="F552" s="59"/>
      <c r="G552" s="59"/>
      <c r="H552" s="61"/>
      <c r="I552" s="61"/>
      <c r="J552" s="61"/>
      <c r="K552" s="62"/>
      <c r="L552" s="10" t="str">
        <f t="shared" si="142"/>
        <v/>
      </c>
      <c r="M552" s="10" t="str">
        <f t="shared" si="143"/>
        <v/>
      </c>
      <c r="N552" s="11" t="str">
        <f t="shared" si="144"/>
        <v/>
      </c>
      <c r="O552" s="10" t="str">
        <f t="shared" si="145"/>
        <v/>
      </c>
      <c r="P552" s="12" t="str">
        <f t="shared" si="146"/>
        <v/>
      </c>
      <c r="Q552" s="10" t="str">
        <f t="shared" si="147"/>
        <v/>
      </c>
      <c r="R552" s="13" t="str">
        <f t="shared" si="148"/>
        <v/>
      </c>
      <c r="S552" s="13" t="str">
        <f t="shared" si="149"/>
        <v/>
      </c>
      <c r="T552" s="22" t="str">
        <f>IF(R552&lt;&gt;"",VLOOKUP(P552,Constants!$D$3:$E$10,2),"")</f>
        <v/>
      </c>
    </row>
    <row r="553" spans="2:20" x14ac:dyDescent="0.25">
      <c r="B553" s="59"/>
      <c r="C553" s="59"/>
      <c r="D553" s="60"/>
      <c r="E553" s="59"/>
      <c r="F553" s="59"/>
      <c r="G553" s="59"/>
      <c r="H553" s="61"/>
      <c r="I553" s="61"/>
      <c r="J553" s="61"/>
      <c r="K553" s="62"/>
      <c r="L553" s="10" t="str">
        <f t="shared" si="142"/>
        <v/>
      </c>
      <c r="M553" s="10" t="str">
        <f t="shared" si="143"/>
        <v/>
      </c>
      <c r="N553" s="11" t="str">
        <f t="shared" si="144"/>
        <v/>
      </c>
      <c r="O553" s="10" t="str">
        <f t="shared" si="145"/>
        <v/>
      </c>
      <c r="P553" s="12" t="str">
        <f t="shared" si="146"/>
        <v/>
      </c>
      <c r="Q553" s="10" t="str">
        <f t="shared" si="147"/>
        <v/>
      </c>
      <c r="R553" s="13" t="str">
        <f t="shared" si="148"/>
        <v/>
      </c>
      <c r="S553" s="13" t="str">
        <f t="shared" si="149"/>
        <v/>
      </c>
      <c r="T553" s="22" t="str">
        <f>IF(R553&lt;&gt;"",VLOOKUP(P553,Constants!$D$3:$E$10,2),"")</f>
        <v/>
      </c>
    </row>
    <row r="554" spans="2:20" x14ac:dyDescent="0.25">
      <c r="B554" s="59"/>
      <c r="C554" s="59"/>
      <c r="D554" s="60"/>
      <c r="E554" s="59"/>
      <c r="F554" s="59"/>
      <c r="G554" s="59"/>
      <c r="H554" s="61"/>
      <c r="I554" s="61"/>
      <c r="J554" s="61"/>
      <c r="K554" s="62"/>
      <c r="L554" s="10" t="str">
        <f t="shared" si="142"/>
        <v/>
      </c>
      <c r="M554" s="10" t="str">
        <f t="shared" si="143"/>
        <v/>
      </c>
      <c r="N554" s="11" t="str">
        <f t="shared" si="144"/>
        <v/>
      </c>
      <c r="O554" s="10" t="str">
        <f t="shared" si="145"/>
        <v/>
      </c>
      <c r="P554" s="12" t="str">
        <f t="shared" si="146"/>
        <v/>
      </c>
      <c r="Q554" s="10" t="str">
        <f t="shared" si="147"/>
        <v/>
      </c>
      <c r="R554" s="13" t="str">
        <f t="shared" si="148"/>
        <v/>
      </c>
      <c r="S554" s="13" t="str">
        <f t="shared" si="149"/>
        <v/>
      </c>
      <c r="T554" s="22" t="str">
        <f>IF(R554&lt;&gt;"",VLOOKUP(P554,Constants!$D$3:$E$10,2),"")</f>
        <v/>
      </c>
    </row>
    <row r="555" spans="2:20" x14ac:dyDescent="0.25">
      <c r="B555" s="59"/>
      <c r="C555" s="59"/>
      <c r="D555" s="60"/>
      <c r="E555" s="59"/>
      <c r="F555" s="59"/>
      <c r="G555" s="59"/>
      <c r="H555" s="61"/>
      <c r="I555" s="61"/>
      <c r="J555" s="61"/>
      <c r="K555" s="62"/>
      <c r="L555" s="10" t="str">
        <f t="shared" si="142"/>
        <v/>
      </c>
      <c r="M555" s="10" t="str">
        <f t="shared" si="143"/>
        <v/>
      </c>
      <c r="N555" s="11" t="str">
        <f t="shared" si="144"/>
        <v/>
      </c>
      <c r="O555" s="10" t="str">
        <f t="shared" si="145"/>
        <v/>
      </c>
      <c r="P555" s="12" t="str">
        <f t="shared" si="146"/>
        <v/>
      </c>
      <c r="Q555" s="10" t="str">
        <f t="shared" si="147"/>
        <v/>
      </c>
      <c r="R555" s="13" t="str">
        <f t="shared" si="148"/>
        <v/>
      </c>
      <c r="S555" s="13" t="str">
        <f t="shared" si="149"/>
        <v/>
      </c>
      <c r="T555" s="22" t="str">
        <f>IF(R555&lt;&gt;"",VLOOKUP(P555,Constants!$D$3:$E$10,2),"")</f>
        <v/>
      </c>
    </row>
    <row r="556" spans="2:20" x14ac:dyDescent="0.25">
      <c r="B556" s="59"/>
      <c r="C556" s="59"/>
      <c r="D556" s="60"/>
      <c r="E556" s="59"/>
      <c r="F556" s="59"/>
      <c r="G556" s="59"/>
      <c r="H556" s="61"/>
      <c r="I556" s="61"/>
      <c r="J556" s="61"/>
      <c r="K556" s="62"/>
      <c r="L556" s="10" t="str">
        <f t="shared" si="142"/>
        <v/>
      </c>
      <c r="M556" s="10" t="str">
        <f t="shared" si="143"/>
        <v/>
      </c>
      <c r="N556" s="11" t="str">
        <f t="shared" si="144"/>
        <v/>
      </c>
      <c r="O556" s="10" t="str">
        <f t="shared" si="145"/>
        <v/>
      </c>
      <c r="P556" s="12" t="str">
        <f t="shared" si="146"/>
        <v/>
      </c>
      <c r="Q556" s="10" t="str">
        <f t="shared" si="147"/>
        <v/>
      </c>
      <c r="R556" s="13" t="str">
        <f t="shared" si="148"/>
        <v/>
      </c>
      <c r="S556" s="13" t="str">
        <f t="shared" si="149"/>
        <v/>
      </c>
      <c r="T556" s="22" t="str">
        <f>IF(R556&lt;&gt;"",VLOOKUP(P556,Constants!$D$3:$E$10,2),"")</f>
        <v/>
      </c>
    </row>
    <row r="557" spans="2:20" x14ac:dyDescent="0.25">
      <c r="B557" s="59"/>
      <c r="C557" s="59"/>
      <c r="D557" s="60"/>
      <c r="E557" s="59"/>
      <c r="F557" s="59"/>
      <c r="G557" s="59"/>
      <c r="H557" s="61"/>
      <c r="I557" s="61"/>
      <c r="J557" s="61"/>
      <c r="K557" s="62"/>
      <c r="L557" s="10" t="str">
        <f t="shared" si="142"/>
        <v/>
      </c>
      <c r="M557" s="10" t="str">
        <f t="shared" si="143"/>
        <v/>
      </c>
      <c r="N557" s="11" t="str">
        <f t="shared" si="144"/>
        <v/>
      </c>
      <c r="O557" s="10" t="str">
        <f t="shared" si="145"/>
        <v/>
      </c>
      <c r="P557" s="12" t="str">
        <f t="shared" si="146"/>
        <v/>
      </c>
      <c r="Q557" s="10" t="str">
        <f t="shared" si="147"/>
        <v/>
      </c>
      <c r="R557" s="13" t="str">
        <f t="shared" si="148"/>
        <v/>
      </c>
      <c r="S557" s="13" t="str">
        <f t="shared" si="149"/>
        <v/>
      </c>
      <c r="T557" s="22" t="str">
        <f>IF(R557&lt;&gt;"",VLOOKUP(P557,Constants!$D$3:$E$10,2),"")</f>
        <v/>
      </c>
    </row>
    <row r="558" spans="2:20" x14ac:dyDescent="0.25">
      <c r="B558" s="59"/>
      <c r="C558" s="59"/>
      <c r="D558" s="60"/>
      <c r="E558" s="59"/>
      <c r="F558" s="59"/>
      <c r="G558" s="59"/>
      <c r="H558" s="61"/>
      <c r="I558" s="61"/>
      <c r="J558" s="61"/>
      <c r="K558" s="62"/>
      <c r="L558" s="10" t="str">
        <f t="shared" si="142"/>
        <v/>
      </c>
      <c r="M558" s="10" t="str">
        <f t="shared" si="143"/>
        <v/>
      </c>
      <c r="N558" s="11" t="str">
        <f t="shared" si="144"/>
        <v/>
      </c>
      <c r="O558" s="10" t="str">
        <f t="shared" si="145"/>
        <v/>
      </c>
      <c r="P558" s="12" t="str">
        <f t="shared" si="146"/>
        <v/>
      </c>
      <c r="Q558" s="10" t="str">
        <f t="shared" si="147"/>
        <v/>
      </c>
      <c r="R558" s="13" t="str">
        <f t="shared" si="148"/>
        <v/>
      </c>
      <c r="S558" s="13" t="str">
        <f t="shared" si="149"/>
        <v/>
      </c>
      <c r="T558" s="22" t="str">
        <f>IF(R558&lt;&gt;"",VLOOKUP(P558,Constants!$D$3:$E$10,2),"")</f>
        <v/>
      </c>
    </row>
    <row r="559" spans="2:20" x14ac:dyDescent="0.25">
      <c r="B559" s="59"/>
      <c r="C559" s="59"/>
      <c r="D559" s="60"/>
      <c r="E559" s="59"/>
      <c r="F559" s="59"/>
      <c r="G559" s="59"/>
      <c r="H559" s="61"/>
      <c r="I559" s="61"/>
      <c r="J559" s="61"/>
      <c r="K559" s="62"/>
      <c r="L559" s="10" t="str">
        <f t="shared" si="142"/>
        <v/>
      </c>
      <c r="M559" s="10" t="str">
        <f t="shared" si="143"/>
        <v/>
      </c>
      <c r="N559" s="11" t="str">
        <f t="shared" si="144"/>
        <v/>
      </c>
      <c r="O559" s="10" t="str">
        <f t="shared" si="145"/>
        <v/>
      </c>
      <c r="P559" s="12" t="str">
        <f t="shared" si="146"/>
        <v/>
      </c>
      <c r="Q559" s="10" t="str">
        <f t="shared" si="147"/>
        <v/>
      </c>
      <c r="R559" s="13" t="str">
        <f t="shared" si="148"/>
        <v/>
      </c>
      <c r="S559" s="13" t="str">
        <f t="shared" si="149"/>
        <v/>
      </c>
      <c r="T559" s="22" t="str">
        <f>IF(R559&lt;&gt;"",VLOOKUP(P559,Constants!$D$3:$E$10,2),"")</f>
        <v/>
      </c>
    </row>
    <row r="560" spans="2:20" x14ac:dyDescent="0.25">
      <c r="B560" s="59"/>
      <c r="C560" s="59"/>
      <c r="D560" s="60"/>
      <c r="E560" s="59"/>
      <c r="F560" s="59"/>
      <c r="G560" s="59"/>
      <c r="H560" s="61"/>
      <c r="I560" s="61"/>
      <c r="J560" s="61"/>
      <c r="K560" s="62"/>
      <c r="L560" s="10" t="str">
        <f t="shared" si="142"/>
        <v/>
      </c>
      <c r="M560" s="10" t="str">
        <f t="shared" si="143"/>
        <v/>
      </c>
      <c r="N560" s="11" t="str">
        <f t="shared" si="144"/>
        <v/>
      </c>
      <c r="O560" s="10" t="str">
        <f t="shared" si="145"/>
        <v/>
      </c>
      <c r="P560" s="12" t="str">
        <f t="shared" si="146"/>
        <v/>
      </c>
      <c r="Q560" s="10" t="str">
        <f t="shared" si="147"/>
        <v/>
      </c>
      <c r="R560" s="13" t="str">
        <f t="shared" si="148"/>
        <v/>
      </c>
      <c r="S560" s="13" t="str">
        <f t="shared" si="149"/>
        <v/>
      </c>
      <c r="T560" s="22" t="str">
        <f>IF(R560&lt;&gt;"",VLOOKUP(P560,Constants!$D$3:$E$10,2),"")</f>
        <v/>
      </c>
    </row>
    <row r="561" spans="2:20" x14ac:dyDescent="0.25">
      <c r="B561" s="59"/>
      <c r="C561" s="59"/>
      <c r="D561" s="60"/>
      <c r="E561" s="59"/>
      <c r="F561" s="59"/>
      <c r="G561" s="59"/>
      <c r="H561" s="61"/>
      <c r="I561" s="61"/>
      <c r="J561" s="61"/>
      <c r="K561" s="62"/>
      <c r="L561" s="10" t="str">
        <f t="shared" si="142"/>
        <v/>
      </c>
      <c r="M561" s="10" t="str">
        <f t="shared" si="143"/>
        <v/>
      </c>
      <c r="N561" s="11" t="str">
        <f t="shared" si="144"/>
        <v/>
      </c>
      <c r="O561" s="10" t="str">
        <f t="shared" si="145"/>
        <v/>
      </c>
      <c r="P561" s="12" t="str">
        <f t="shared" si="146"/>
        <v/>
      </c>
      <c r="Q561" s="10" t="str">
        <f t="shared" si="147"/>
        <v/>
      </c>
      <c r="R561" s="13" t="str">
        <f t="shared" si="148"/>
        <v/>
      </c>
      <c r="S561" s="13" t="str">
        <f t="shared" si="149"/>
        <v/>
      </c>
      <c r="T561" s="22" t="str">
        <f>IF(R561&lt;&gt;"",VLOOKUP(P561,Constants!$D$3:$E$10,2),"")</f>
        <v/>
      </c>
    </row>
    <row r="562" spans="2:20" x14ac:dyDescent="0.25">
      <c r="B562" s="59"/>
      <c r="C562" s="59"/>
      <c r="D562" s="60"/>
      <c r="E562" s="59"/>
      <c r="F562" s="59"/>
      <c r="G562" s="59"/>
      <c r="H562" s="61"/>
      <c r="I562" s="61"/>
      <c r="J562" s="61"/>
      <c r="K562" s="62"/>
      <c r="L562" s="10" t="str">
        <f t="shared" si="142"/>
        <v/>
      </c>
      <c r="M562" s="10" t="str">
        <f t="shared" si="143"/>
        <v/>
      </c>
      <c r="N562" s="11" t="str">
        <f t="shared" si="144"/>
        <v/>
      </c>
      <c r="O562" s="10" t="str">
        <f t="shared" si="145"/>
        <v/>
      </c>
      <c r="P562" s="12" t="str">
        <f t="shared" si="146"/>
        <v/>
      </c>
      <c r="Q562" s="10" t="str">
        <f t="shared" si="147"/>
        <v/>
      </c>
      <c r="R562" s="13" t="str">
        <f t="shared" si="148"/>
        <v/>
      </c>
      <c r="S562" s="13" t="str">
        <f t="shared" si="149"/>
        <v/>
      </c>
      <c r="T562" s="22" t="str">
        <f>IF(R562&lt;&gt;"",VLOOKUP(P562,Constants!$D$3:$E$10,2),"")</f>
        <v/>
      </c>
    </row>
    <row r="563" spans="2:20" x14ac:dyDescent="0.25">
      <c r="B563" s="59"/>
      <c r="C563" s="59"/>
      <c r="D563" s="60"/>
      <c r="E563" s="59"/>
      <c r="F563" s="59"/>
      <c r="G563" s="59"/>
      <c r="H563" s="61"/>
      <c r="I563" s="61"/>
      <c r="J563" s="61"/>
      <c r="K563" s="62"/>
      <c r="L563" s="10" t="str">
        <f t="shared" si="142"/>
        <v/>
      </c>
      <c r="M563" s="10" t="str">
        <f t="shared" si="143"/>
        <v/>
      </c>
      <c r="N563" s="11" t="str">
        <f t="shared" si="144"/>
        <v/>
      </c>
      <c r="O563" s="10" t="str">
        <f t="shared" si="145"/>
        <v/>
      </c>
      <c r="P563" s="12" t="str">
        <f t="shared" si="146"/>
        <v/>
      </c>
      <c r="Q563" s="10" t="str">
        <f t="shared" si="147"/>
        <v/>
      </c>
      <c r="R563" s="13" t="str">
        <f t="shared" si="148"/>
        <v/>
      </c>
      <c r="S563" s="13" t="str">
        <f t="shared" si="149"/>
        <v/>
      </c>
      <c r="T563" s="22" t="str">
        <f>IF(R563&lt;&gt;"",VLOOKUP(P563,Constants!$D$3:$E$10,2),"")</f>
        <v/>
      </c>
    </row>
    <row r="564" spans="2:20" x14ac:dyDescent="0.25">
      <c r="B564" s="59"/>
      <c r="C564" s="59"/>
      <c r="D564" s="60"/>
      <c r="E564" s="59"/>
      <c r="F564" s="59"/>
      <c r="G564" s="59"/>
      <c r="H564" s="61"/>
      <c r="I564" s="61"/>
      <c r="J564" s="61"/>
      <c r="K564" s="62"/>
      <c r="L564" s="10" t="str">
        <f t="shared" si="142"/>
        <v/>
      </c>
      <c r="M564" s="10" t="str">
        <f t="shared" si="143"/>
        <v/>
      </c>
      <c r="N564" s="11" t="str">
        <f t="shared" si="144"/>
        <v/>
      </c>
      <c r="O564" s="10" t="str">
        <f t="shared" si="145"/>
        <v/>
      </c>
      <c r="P564" s="12" t="str">
        <f t="shared" si="146"/>
        <v/>
      </c>
      <c r="Q564" s="10" t="str">
        <f t="shared" si="147"/>
        <v/>
      </c>
      <c r="R564" s="13" t="str">
        <f t="shared" si="148"/>
        <v/>
      </c>
      <c r="S564" s="13" t="str">
        <f t="shared" si="149"/>
        <v/>
      </c>
      <c r="T564" s="22" t="str">
        <f>IF(R564&lt;&gt;"",VLOOKUP(P564,Constants!$D$3:$E$10,2),"")</f>
        <v/>
      </c>
    </row>
    <row r="565" spans="2:20" x14ac:dyDescent="0.25">
      <c r="B565" s="59"/>
      <c r="C565" s="59"/>
      <c r="D565" s="60"/>
      <c r="E565" s="59"/>
      <c r="F565" s="59"/>
      <c r="G565" s="59"/>
      <c r="H565" s="61"/>
      <c r="I565" s="61"/>
      <c r="J565" s="61"/>
      <c r="K565" s="62"/>
      <c r="L565" s="10" t="str">
        <f t="shared" si="142"/>
        <v/>
      </c>
      <c r="M565" s="10" t="str">
        <f t="shared" si="143"/>
        <v/>
      </c>
      <c r="N565" s="11" t="str">
        <f t="shared" si="144"/>
        <v/>
      </c>
      <c r="O565" s="10" t="str">
        <f t="shared" si="145"/>
        <v/>
      </c>
      <c r="P565" s="12" t="str">
        <f t="shared" si="146"/>
        <v/>
      </c>
      <c r="Q565" s="10" t="str">
        <f t="shared" si="147"/>
        <v/>
      </c>
      <c r="R565" s="13" t="str">
        <f t="shared" si="148"/>
        <v/>
      </c>
      <c r="S565" s="13" t="str">
        <f t="shared" si="149"/>
        <v/>
      </c>
      <c r="T565" s="22" t="str">
        <f>IF(R565&lt;&gt;"",VLOOKUP(P565,Constants!$D$3:$E$10,2),"")</f>
        <v/>
      </c>
    </row>
    <row r="566" spans="2:20" x14ac:dyDescent="0.25">
      <c r="B566" s="59"/>
      <c r="C566" s="59"/>
      <c r="D566" s="60"/>
      <c r="E566" s="59"/>
      <c r="F566" s="59"/>
      <c r="G566" s="59"/>
      <c r="H566" s="61"/>
      <c r="I566" s="61"/>
      <c r="J566" s="61"/>
      <c r="K566" s="62"/>
      <c r="L566" s="10" t="str">
        <f t="shared" si="142"/>
        <v/>
      </c>
      <c r="M566" s="10" t="str">
        <f t="shared" si="143"/>
        <v/>
      </c>
      <c r="N566" s="11" t="str">
        <f t="shared" si="144"/>
        <v/>
      </c>
      <c r="O566" s="10" t="str">
        <f t="shared" si="145"/>
        <v/>
      </c>
      <c r="P566" s="12" t="str">
        <f t="shared" si="146"/>
        <v/>
      </c>
      <c r="Q566" s="10" t="str">
        <f t="shared" si="147"/>
        <v/>
      </c>
      <c r="R566" s="13" t="str">
        <f t="shared" si="148"/>
        <v/>
      </c>
      <c r="S566" s="13" t="str">
        <f t="shared" si="149"/>
        <v/>
      </c>
      <c r="T566" s="22" t="str">
        <f>IF(R566&lt;&gt;"",VLOOKUP(P566,Constants!$D$3:$E$10,2),"")</f>
        <v/>
      </c>
    </row>
    <row r="567" spans="2:20" x14ac:dyDescent="0.25">
      <c r="B567" s="59"/>
      <c r="C567" s="59"/>
      <c r="D567" s="60"/>
      <c r="E567" s="59"/>
      <c r="F567" s="59"/>
      <c r="G567" s="59"/>
      <c r="H567" s="61"/>
      <c r="I567" s="61"/>
      <c r="J567" s="61"/>
      <c r="K567" s="62"/>
      <c r="L567" s="10" t="str">
        <f t="shared" si="142"/>
        <v/>
      </c>
      <c r="M567" s="10" t="str">
        <f t="shared" si="143"/>
        <v/>
      </c>
      <c r="N567" s="11" t="str">
        <f t="shared" si="144"/>
        <v/>
      </c>
      <c r="O567" s="10" t="str">
        <f t="shared" si="145"/>
        <v/>
      </c>
      <c r="P567" s="12" t="str">
        <f t="shared" si="146"/>
        <v/>
      </c>
      <c r="Q567" s="10" t="str">
        <f t="shared" si="147"/>
        <v/>
      </c>
      <c r="R567" s="13" t="str">
        <f t="shared" si="148"/>
        <v/>
      </c>
      <c r="S567" s="13" t="str">
        <f t="shared" si="149"/>
        <v/>
      </c>
      <c r="T567" s="22" t="str">
        <f>IF(R567&lt;&gt;"",VLOOKUP(P567,Constants!$D$3:$E$10,2),"")</f>
        <v/>
      </c>
    </row>
    <row r="568" spans="2:20" x14ac:dyDescent="0.25">
      <c r="B568" s="59"/>
      <c r="C568" s="59"/>
      <c r="D568" s="60"/>
      <c r="E568" s="59"/>
      <c r="F568" s="59"/>
      <c r="G568" s="59"/>
      <c r="H568" s="61"/>
      <c r="I568" s="61"/>
      <c r="J568" s="61"/>
      <c r="K568" s="62"/>
      <c r="L568" s="10" t="str">
        <f t="shared" si="142"/>
        <v/>
      </c>
      <c r="M568" s="10" t="str">
        <f t="shared" si="143"/>
        <v/>
      </c>
      <c r="N568" s="11" t="str">
        <f t="shared" si="144"/>
        <v/>
      </c>
      <c r="O568" s="10" t="str">
        <f t="shared" si="145"/>
        <v/>
      </c>
      <c r="P568" s="12" t="str">
        <f t="shared" si="146"/>
        <v/>
      </c>
      <c r="Q568" s="10" t="str">
        <f t="shared" si="147"/>
        <v/>
      </c>
      <c r="R568" s="13" t="str">
        <f t="shared" si="148"/>
        <v/>
      </c>
      <c r="S568" s="13" t="str">
        <f t="shared" si="149"/>
        <v/>
      </c>
      <c r="T568" s="22" t="str">
        <f>IF(R568&lt;&gt;"",VLOOKUP(P568,Constants!$D$3:$E$10,2),"")</f>
        <v/>
      </c>
    </row>
    <row r="569" spans="2:20" x14ac:dyDescent="0.25">
      <c r="B569" s="59"/>
      <c r="C569" s="59"/>
      <c r="D569" s="60"/>
      <c r="E569" s="59"/>
      <c r="F569" s="59"/>
      <c r="G569" s="59"/>
      <c r="H569" s="61"/>
      <c r="I569" s="61"/>
      <c r="J569" s="61"/>
      <c r="K569" s="62"/>
      <c r="L569" s="10" t="str">
        <f t="shared" si="142"/>
        <v/>
      </c>
      <c r="M569" s="10" t="str">
        <f t="shared" si="143"/>
        <v/>
      </c>
      <c r="N569" s="11" t="str">
        <f t="shared" si="144"/>
        <v/>
      </c>
      <c r="O569" s="10" t="str">
        <f t="shared" si="145"/>
        <v/>
      </c>
      <c r="P569" s="12" t="str">
        <f t="shared" si="146"/>
        <v/>
      </c>
      <c r="Q569" s="10" t="str">
        <f t="shared" si="147"/>
        <v/>
      </c>
      <c r="R569" s="13" t="str">
        <f t="shared" si="148"/>
        <v/>
      </c>
      <c r="S569" s="13" t="str">
        <f t="shared" si="149"/>
        <v/>
      </c>
      <c r="T569" s="22" t="str">
        <f>IF(R569&lt;&gt;"",VLOOKUP(P569,Constants!$D$3:$E$10,2),"")</f>
        <v/>
      </c>
    </row>
    <row r="570" spans="2:20" x14ac:dyDescent="0.25">
      <c r="B570" s="59"/>
      <c r="C570" s="59"/>
      <c r="D570" s="60"/>
      <c r="E570" s="59"/>
      <c r="F570" s="59"/>
      <c r="G570" s="59"/>
      <c r="H570" s="61"/>
      <c r="I570" s="61"/>
      <c r="J570" s="61"/>
      <c r="K570" s="62"/>
      <c r="L570" s="10" t="str">
        <f t="shared" si="142"/>
        <v/>
      </c>
      <c r="M570" s="10" t="str">
        <f t="shared" si="143"/>
        <v/>
      </c>
      <c r="N570" s="11" t="str">
        <f t="shared" si="144"/>
        <v/>
      </c>
      <c r="O570" s="10" t="str">
        <f t="shared" si="145"/>
        <v/>
      </c>
      <c r="P570" s="12" t="str">
        <f t="shared" si="146"/>
        <v/>
      </c>
      <c r="Q570" s="10" t="str">
        <f t="shared" si="147"/>
        <v/>
      </c>
      <c r="R570" s="13" t="str">
        <f t="shared" si="148"/>
        <v/>
      </c>
      <c r="S570" s="13" t="str">
        <f t="shared" si="149"/>
        <v/>
      </c>
      <c r="T570" s="22" t="str">
        <f>IF(R570&lt;&gt;"",VLOOKUP(P570,Constants!$D$3:$E$10,2),"")</f>
        <v/>
      </c>
    </row>
    <row r="571" spans="2:20" x14ac:dyDescent="0.25">
      <c r="B571" s="59"/>
      <c r="C571" s="59"/>
      <c r="D571" s="60"/>
      <c r="E571" s="59"/>
      <c r="F571" s="59"/>
      <c r="G571" s="59"/>
      <c r="H571" s="61"/>
      <c r="I571" s="61"/>
      <c r="J571" s="61"/>
      <c r="K571" s="62"/>
      <c r="L571" s="10" t="str">
        <f t="shared" si="142"/>
        <v/>
      </c>
      <c r="M571" s="10" t="str">
        <f t="shared" si="143"/>
        <v/>
      </c>
      <c r="N571" s="11" t="str">
        <f t="shared" si="144"/>
        <v/>
      </c>
      <c r="O571" s="10" t="str">
        <f t="shared" si="145"/>
        <v/>
      </c>
      <c r="P571" s="12" t="str">
        <f t="shared" si="146"/>
        <v/>
      </c>
      <c r="Q571" s="10" t="str">
        <f t="shared" si="147"/>
        <v/>
      </c>
      <c r="R571" s="13" t="str">
        <f t="shared" si="148"/>
        <v/>
      </c>
      <c r="S571" s="13" t="str">
        <f t="shared" si="149"/>
        <v/>
      </c>
      <c r="T571" s="22" t="str">
        <f>IF(R571&lt;&gt;"",VLOOKUP(P571,Constants!$D$3:$E$10,2),"")</f>
        <v/>
      </c>
    </row>
    <row r="572" spans="2:20" x14ac:dyDescent="0.25">
      <c r="B572" s="59"/>
      <c r="C572" s="59"/>
      <c r="D572" s="60"/>
      <c r="E572" s="59"/>
      <c r="F572" s="59"/>
      <c r="G572" s="59"/>
      <c r="H572" s="61"/>
      <c r="I572" s="61"/>
      <c r="J572" s="61"/>
      <c r="K572" s="62"/>
      <c r="L572" s="10" t="str">
        <f t="shared" si="142"/>
        <v/>
      </c>
      <c r="M572" s="10" t="str">
        <f t="shared" si="143"/>
        <v/>
      </c>
      <c r="N572" s="11" t="str">
        <f t="shared" si="144"/>
        <v/>
      </c>
      <c r="O572" s="10" t="str">
        <f t="shared" si="145"/>
        <v/>
      </c>
      <c r="P572" s="12" t="str">
        <f t="shared" si="146"/>
        <v/>
      </c>
      <c r="Q572" s="10" t="str">
        <f t="shared" si="147"/>
        <v/>
      </c>
      <c r="R572" s="13" t="str">
        <f t="shared" si="148"/>
        <v/>
      </c>
      <c r="S572" s="13" t="str">
        <f t="shared" si="149"/>
        <v/>
      </c>
      <c r="T572" s="22" t="str">
        <f>IF(R572&lt;&gt;"",VLOOKUP(P572,Constants!$D$3:$E$10,2),"")</f>
        <v/>
      </c>
    </row>
    <row r="573" spans="2:20" x14ac:dyDescent="0.25">
      <c r="B573" s="59"/>
      <c r="C573" s="59"/>
      <c r="D573" s="60"/>
      <c r="E573" s="59"/>
      <c r="F573" s="59"/>
      <c r="G573" s="59"/>
      <c r="H573" s="61"/>
      <c r="I573" s="61"/>
      <c r="J573" s="61"/>
      <c r="K573" s="62"/>
      <c r="L573" s="10" t="str">
        <f t="shared" si="142"/>
        <v/>
      </c>
      <c r="M573" s="10" t="str">
        <f t="shared" si="143"/>
        <v/>
      </c>
      <c r="N573" s="11" t="str">
        <f t="shared" si="144"/>
        <v/>
      </c>
      <c r="O573" s="10" t="str">
        <f t="shared" si="145"/>
        <v/>
      </c>
      <c r="P573" s="12" t="str">
        <f t="shared" si="146"/>
        <v/>
      </c>
      <c r="Q573" s="10" t="str">
        <f t="shared" si="147"/>
        <v/>
      </c>
      <c r="R573" s="13" t="str">
        <f t="shared" si="148"/>
        <v/>
      </c>
      <c r="S573" s="13" t="str">
        <f t="shared" si="149"/>
        <v/>
      </c>
      <c r="T573" s="22" t="str">
        <f>IF(R573&lt;&gt;"",VLOOKUP(P573,Constants!$D$3:$E$10,2),"")</f>
        <v/>
      </c>
    </row>
    <row r="574" spans="2:20" x14ac:dyDescent="0.25">
      <c r="B574" s="59"/>
      <c r="C574" s="59"/>
      <c r="D574" s="60"/>
      <c r="E574" s="59"/>
      <c r="F574" s="59"/>
      <c r="G574" s="59"/>
      <c r="H574" s="61"/>
      <c r="I574" s="61"/>
      <c r="J574" s="61"/>
      <c r="K574" s="62"/>
      <c r="L574" s="10" t="str">
        <f t="shared" si="142"/>
        <v/>
      </c>
      <c r="M574" s="10" t="str">
        <f t="shared" si="143"/>
        <v/>
      </c>
      <c r="N574" s="11" t="str">
        <f t="shared" si="144"/>
        <v/>
      </c>
      <c r="O574" s="10" t="str">
        <f t="shared" si="145"/>
        <v/>
      </c>
      <c r="P574" s="12" t="str">
        <f t="shared" si="146"/>
        <v/>
      </c>
      <c r="Q574" s="10" t="str">
        <f t="shared" si="147"/>
        <v/>
      </c>
      <c r="R574" s="13" t="str">
        <f t="shared" si="148"/>
        <v/>
      </c>
      <c r="S574" s="13" t="str">
        <f t="shared" si="149"/>
        <v/>
      </c>
      <c r="T574" s="22" t="str">
        <f>IF(R574&lt;&gt;"",VLOOKUP(P574,Constants!$D$3:$E$10,2),"")</f>
        <v/>
      </c>
    </row>
    <row r="575" spans="2:20" x14ac:dyDescent="0.25">
      <c r="B575" s="59"/>
      <c r="C575" s="59"/>
      <c r="D575" s="60"/>
      <c r="E575" s="59"/>
      <c r="F575" s="59"/>
      <c r="G575" s="59"/>
      <c r="H575" s="61"/>
      <c r="I575" s="61"/>
      <c r="J575" s="61"/>
      <c r="K575" s="62"/>
      <c r="L575" s="10" t="str">
        <f t="shared" si="142"/>
        <v/>
      </c>
      <c r="M575" s="10" t="str">
        <f t="shared" si="143"/>
        <v/>
      </c>
      <c r="N575" s="11" t="str">
        <f t="shared" si="144"/>
        <v/>
      </c>
      <c r="O575" s="10" t="str">
        <f t="shared" si="145"/>
        <v/>
      </c>
      <c r="P575" s="12" t="str">
        <f t="shared" si="146"/>
        <v/>
      </c>
      <c r="Q575" s="10" t="str">
        <f t="shared" si="147"/>
        <v/>
      </c>
      <c r="R575" s="13" t="str">
        <f t="shared" si="148"/>
        <v/>
      </c>
      <c r="S575" s="13" t="str">
        <f t="shared" si="149"/>
        <v/>
      </c>
      <c r="T575" s="22" t="str">
        <f>IF(R575&lt;&gt;"",VLOOKUP(P575,Constants!$D$3:$E$10,2),"")</f>
        <v/>
      </c>
    </row>
    <row r="576" spans="2:20" x14ac:dyDescent="0.25">
      <c r="B576" s="59"/>
      <c r="C576" s="59"/>
      <c r="D576" s="60"/>
      <c r="E576" s="59"/>
      <c r="F576" s="59"/>
      <c r="G576" s="59"/>
      <c r="H576" s="61"/>
      <c r="I576" s="61"/>
      <c r="J576" s="61"/>
      <c r="K576" s="62"/>
      <c r="L576" s="10" t="str">
        <f t="shared" si="142"/>
        <v/>
      </c>
      <c r="M576" s="10" t="str">
        <f t="shared" si="143"/>
        <v/>
      </c>
      <c r="N576" s="11" t="str">
        <f t="shared" si="144"/>
        <v/>
      </c>
      <c r="O576" s="10" t="str">
        <f t="shared" si="145"/>
        <v/>
      </c>
      <c r="P576" s="12" t="str">
        <f t="shared" si="146"/>
        <v/>
      </c>
      <c r="Q576" s="10" t="str">
        <f t="shared" si="147"/>
        <v/>
      </c>
      <c r="R576" s="13" t="str">
        <f t="shared" si="148"/>
        <v/>
      </c>
      <c r="S576" s="13" t="str">
        <f t="shared" si="149"/>
        <v/>
      </c>
      <c r="T576" s="22" t="str">
        <f>IF(R576&lt;&gt;"",VLOOKUP(P576,Constants!$D$3:$E$10,2),"")</f>
        <v/>
      </c>
    </row>
    <row r="577" spans="2:20" x14ac:dyDescent="0.25">
      <c r="B577" s="59"/>
      <c r="C577" s="59"/>
      <c r="D577" s="60"/>
      <c r="E577" s="59"/>
      <c r="F577" s="59"/>
      <c r="G577" s="59"/>
      <c r="H577" s="61"/>
      <c r="I577" s="61"/>
      <c r="J577" s="61"/>
      <c r="K577" s="62"/>
      <c r="L577" s="10" t="str">
        <f t="shared" si="142"/>
        <v/>
      </c>
      <c r="M577" s="10" t="str">
        <f t="shared" si="143"/>
        <v/>
      </c>
      <c r="N577" s="11" t="str">
        <f t="shared" si="144"/>
        <v/>
      </c>
      <c r="O577" s="10" t="str">
        <f t="shared" si="145"/>
        <v/>
      </c>
      <c r="P577" s="12" t="str">
        <f t="shared" si="146"/>
        <v/>
      </c>
      <c r="Q577" s="10" t="str">
        <f t="shared" si="147"/>
        <v/>
      </c>
      <c r="R577" s="13" t="str">
        <f t="shared" si="148"/>
        <v/>
      </c>
      <c r="S577" s="13" t="str">
        <f t="shared" si="149"/>
        <v/>
      </c>
      <c r="T577" s="22" t="str">
        <f>IF(R577&lt;&gt;"",VLOOKUP(P577,Constants!$D$3:$E$10,2),"")</f>
        <v/>
      </c>
    </row>
    <row r="578" spans="2:20" x14ac:dyDescent="0.25">
      <c r="B578" s="59"/>
      <c r="C578" s="59"/>
      <c r="D578" s="60"/>
      <c r="E578" s="59"/>
      <c r="F578" s="59"/>
      <c r="G578" s="59"/>
      <c r="H578" s="61"/>
      <c r="I578" s="61"/>
      <c r="J578" s="61"/>
      <c r="K578" s="62"/>
      <c r="L578" s="10" t="str">
        <f t="shared" si="142"/>
        <v/>
      </c>
      <c r="M578" s="10" t="str">
        <f t="shared" si="143"/>
        <v/>
      </c>
      <c r="N578" s="11" t="str">
        <f t="shared" si="144"/>
        <v/>
      </c>
      <c r="O578" s="10" t="str">
        <f t="shared" si="145"/>
        <v/>
      </c>
      <c r="P578" s="12" t="str">
        <f t="shared" si="146"/>
        <v/>
      </c>
      <c r="Q578" s="10" t="str">
        <f t="shared" si="147"/>
        <v/>
      </c>
      <c r="R578" s="13" t="str">
        <f t="shared" si="148"/>
        <v/>
      </c>
      <c r="S578" s="13" t="str">
        <f t="shared" si="149"/>
        <v/>
      </c>
      <c r="T578" s="22" t="str">
        <f>IF(R578&lt;&gt;"",VLOOKUP(P578,Constants!$D$3:$E$10,2),"")</f>
        <v/>
      </c>
    </row>
    <row r="579" spans="2:20" x14ac:dyDescent="0.25">
      <c r="B579" s="59"/>
      <c r="C579" s="59"/>
      <c r="D579" s="60"/>
      <c r="E579" s="59"/>
      <c r="F579" s="59"/>
      <c r="G579" s="59"/>
      <c r="H579" s="61"/>
      <c r="I579" s="61"/>
      <c r="J579" s="61"/>
      <c r="K579" s="62"/>
      <c r="L579" s="10" t="str">
        <f t="shared" si="142"/>
        <v/>
      </c>
      <c r="M579" s="10" t="str">
        <f t="shared" si="143"/>
        <v/>
      </c>
      <c r="N579" s="11" t="str">
        <f t="shared" si="144"/>
        <v/>
      </c>
      <c r="O579" s="10" t="str">
        <f t="shared" si="145"/>
        <v/>
      </c>
      <c r="P579" s="12" t="str">
        <f t="shared" si="146"/>
        <v/>
      </c>
      <c r="Q579" s="10" t="str">
        <f t="shared" si="147"/>
        <v/>
      </c>
      <c r="R579" s="13" t="str">
        <f t="shared" si="148"/>
        <v/>
      </c>
      <c r="S579" s="13" t="str">
        <f t="shared" si="149"/>
        <v/>
      </c>
      <c r="T579" s="22" t="str">
        <f>IF(R579&lt;&gt;"",VLOOKUP(P579,Constants!$D$3:$E$10,2),"")</f>
        <v/>
      </c>
    </row>
    <row r="580" spans="2:20" x14ac:dyDescent="0.25">
      <c r="B580" s="59"/>
      <c r="C580" s="59"/>
      <c r="D580" s="60"/>
      <c r="E580" s="59"/>
      <c r="F580" s="59"/>
      <c r="G580" s="59"/>
      <c r="H580" s="61"/>
      <c r="I580" s="61"/>
      <c r="J580" s="61"/>
      <c r="K580" s="62"/>
      <c r="L580" s="10" t="str">
        <f t="shared" si="142"/>
        <v/>
      </c>
      <c r="M580" s="10" t="str">
        <f t="shared" si="143"/>
        <v/>
      </c>
      <c r="N580" s="11" t="str">
        <f t="shared" si="144"/>
        <v/>
      </c>
      <c r="O580" s="10" t="str">
        <f t="shared" si="145"/>
        <v/>
      </c>
      <c r="P580" s="12" t="str">
        <f t="shared" si="146"/>
        <v/>
      </c>
      <c r="Q580" s="10" t="str">
        <f t="shared" si="147"/>
        <v/>
      </c>
      <c r="R580" s="13" t="str">
        <f t="shared" si="148"/>
        <v/>
      </c>
      <c r="S580" s="13" t="str">
        <f t="shared" si="149"/>
        <v/>
      </c>
      <c r="T580" s="22" t="str">
        <f>IF(R580&lt;&gt;"",VLOOKUP(P580,Constants!$D$3:$E$10,2),"")</f>
        <v/>
      </c>
    </row>
    <row r="581" spans="2:20" x14ac:dyDescent="0.25">
      <c r="B581" s="59"/>
      <c r="C581" s="59"/>
      <c r="D581" s="60"/>
      <c r="E581" s="59"/>
      <c r="F581" s="59"/>
      <c r="G581" s="59"/>
      <c r="H581" s="61"/>
      <c r="I581" s="61"/>
      <c r="J581" s="61"/>
      <c r="K581" s="62"/>
      <c r="L581" s="10" t="str">
        <f t="shared" si="142"/>
        <v/>
      </c>
      <c r="M581" s="10" t="str">
        <f t="shared" si="143"/>
        <v/>
      </c>
      <c r="N581" s="11" t="str">
        <f t="shared" si="144"/>
        <v/>
      </c>
      <c r="O581" s="10" t="str">
        <f t="shared" si="145"/>
        <v/>
      </c>
      <c r="P581" s="12" t="str">
        <f t="shared" si="146"/>
        <v/>
      </c>
      <c r="Q581" s="10" t="str">
        <f t="shared" si="147"/>
        <v/>
      </c>
      <c r="R581" s="13" t="str">
        <f t="shared" si="148"/>
        <v/>
      </c>
      <c r="S581" s="13" t="str">
        <f t="shared" si="149"/>
        <v/>
      </c>
      <c r="T581" s="22" t="str">
        <f>IF(R581&lt;&gt;"",VLOOKUP(P581,Constants!$D$3:$E$10,2),"")</f>
        <v/>
      </c>
    </row>
    <row r="582" spans="2:20" x14ac:dyDescent="0.25">
      <c r="B582" s="59"/>
      <c r="C582" s="59"/>
      <c r="D582" s="60"/>
      <c r="E582" s="59"/>
      <c r="F582" s="59"/>
      <c r="G582" s="59"/>
      <c r="H582" s="61"/>
      <c r="I582" s="61"/>
      <c r="J582" s="61"/>
      <c r="K582" s="62"/>
      <c r="L582" s="10" t="str">
        <f t="shared" si="142"/>
        <v/>
      </c>
      <c r="M582" s="10" t="str">
        <f t="shared" si="143"/>
        <v/>
      </c>
      <c r="N582" s="11" t="str">
        <f t="shared" si="144"/>
        <v/>
      </c>
      <c r="O582" s="10" t="str">
        <f t="shared" si="145"/>
        <v/>
      </c>
      <c r="P582" s="12" t="str">
        <f t="shared" si="146"/>
        <v/>
      </c>
      <c r="Q582" s="10" t="str">
        <f t="shared" si="147"/>
        <v/>
      </c>
      <c r="R582" s="13" t="str">
        <f t="shared" si="148"/>
        <v/>
      </c>
      <c r="S582" s="13" t="str">
        <f t="shared" si="149"/>
        <v/>
      </c>
      <c r="T582" s="22" t="str">
        <f>IF(R582&lt;&gt;"",VLOOKUP(P582,Constants!$D$3:$E$10,2),"")</f>
        <v/>
      </c>
    </row>
    <row r="583" spans="2:20" x14ac:dyDescent="0.25">
      <c r="B583" s="59"/>
      <c r="C583" s="59"/>
      <c r="D583" s="60"/>
      <c r="E583" s="59"/>
      <c r="F583" s="59"/>
      <c r="G583" s="59"/>
      <c r="H583" s="61"/>
      <c r="I583" s="61"/>
      <c r="J583" s="61"/>
      <c r="K583" s="62"/>
      <c r="L583" s="10" t="str">
        <f t="shared" si="142"/>
        <v/>
      </c>
      <c r="M583" s="10" t="str">
        <f t="shared" si="143"/>
        <v/>
      </c>
      <c r="N583" s="11" t="str">
        <f t="shared" si="144"/>
        <v/>
      </c>
      <c r="O583" s="10" t="str">
        <f t="shared" si="145"/>
        <v/>
      </c>
      <c r="P583" s="12" t="str">
        <f t="shared" si="146"/>
        <v/>
      </c>
      <c r="Q583" s="10" t="str">
        <f t="shared" si="147"/>
        <v/>
      </c>
      <c r="R583" s="13" t="str">
        <f t="shared" si="148"/>
        <v/>
      </c>
      <c r="S583" s="13" t="str">
        <f t="shared" si="149"/>
        <v/>
      </c>
      <c r="T583" s="22" t="str">
        <f>IF(R583&lt;&gt;"",VLOOKUP(P583,Constants!$D$3:$E$10,2),"")</f>
        <v/>
      </c>
    </row>
    <row r="584" spans="2:20" x14ac:dyDescent="0.25">
      <c r="B584" s="59"/>
      <c r="C584" s="59"/>
      <c r="D584" s="60"/>
      <c r="E584" s="59"/>
      <c r="F584" s="59"/>
      <c r="G584" s="59"/>
      <c r="H584" s="61"/>
      <c r="I584" s="61"/>
      <c r="J584" s="61"/>
      <c r="K584" s="62"/>
      <c r="L584" s="10" t="str">
        <f t="shared" si="142"/>
        <v/>
      </c>
      <c r="M584" s="10" t="str">
        <f t="shared" si="143"/>
        <v/>
      </c>
      <c r="N584" s="11" t="str">
        <f t="shared" si="144"/>
        <v/>
      </c>
      <c r="O584" s="10" t="str">
        <f t="shared" si="145"/>
        <v/>
      </c>
      <c r="P584" s="12" t="str">
        <f t="shared" si="146"/>
        <v/>
      </c>
      <c r="Q584" s="10" t="str">
        <f t="shared" si="147"/>
        <v/>
      </c>
      <c r="R584" s="13" t="str">
        <f t="shared" si="148"/>
        <v/>
      </c>
      <c r="S584" s="13" t="str">
        <f t="shared" si="149"/>
        <v/>
      </c>
      <c r="T584" s="22" t="str">
        <f>IF(R584&lt;&gt;"",VLOOKUP(P584,Constants!$D$3:$E$10,2),"")</f>
        <v/>
      </c>
    </row>
    <row r="585" spans="2:20" x14ac:dyDescent="0.25">
      <c r="B585" s="59"/>
      <c r="C585" s="59"/>
      <c r="D585" s="60"/>
      <c r="E585" s="59"/>
      <c r="F585" s="59"/>
      <c r="G585" s="59"/>
      <c r="H585" s="61"/>
      <c r="I585" s="61"/>
      <c r="J585" s="61"/>
      <c r="K585" s="62"/>
      <c r="L585" s="10" t="str">
        <f t="shared" si="142"/>
        <v/>
      </c>
      <c r="M585" s="10" t="str">
        <f t="shared" si="143"/>
        <v/>
      </c>
      <c r="N585" s="11" t="str">
        <f t="shared" si="144"/>
        <v/>
      </c>
      <c r="O585" s="10" t="str">
        <f t="shared" si="145"/>
        <v/>
      </c>
      <c r="P585" s="12" t="str">
        <f t="shared" si="146"/>
        <v/>
      </c>
      <c r="Q585" s="10" t="str">
        <f t="shared" si="147"/>
        <v/>
      </c>
      <c r="R585" s="13" t="str">
        <f t="shared" si="148"/>
        <v/>
      </c>
      <c r="S585" s="13" t="str">
        <f t="shared" si="149"/>
        <v/>
      </c>
      <c r="T585" s="22" t="str">
        <f>IF(R585&lt;&gt;"",VLOOKUP(P585,Constants!$D$3:$E$10,2),"")</f>
        <v/>
      </c>
    </row>
    <row r="586" spans="2:20" x14ac:dyDescent="0.25">
      <c r="B586" s="59"/>
      <c r="C586" s="59"/>
      <c r="D586" s="60"/>
      <c r="E586" s="59"/>
      <c r="F586" s="59"/>
      <c r="G586" s="59"/>
      <c r="H586" s="61"/>
      <c r="I586" s="61"/>
      <c r="J586" s="61"/>
      <c r="K586" s="62"/>
      <c r="L586" s="10" t="str">
        <f t="shared" si="142"/>
        <v/>
      </c>
      <c r="M586" s="10" t="str">
        <f t="shared" si="143"/>
        <v/>
      </c>
      <c r="N586" s="11" t="str">
        <f t="shared" si="144"/>
        <v/>
      </c>
      <c r="O586" s="10" t="str">
        <f t="shared" si="145"/>
        <v/>
      </c>
      <c r="P586" s="12" t="str">
        <f t="shared" si="146"/>
        <v/>
      </c>
      <c r="Q586" s="10" t="str">
        <f t="shared" si="147"/>
        <v/>
      </c>
      <c r="R586" s="13" t="str">
        <f t="shared" si="148"/>
        <v/>
      </c>
      <c r="S586" s="13" t="str">
        <f t="shared" si="149"/>
        <v/>
      </c>
      <c r="T586" s="22" t="str">
        <f>IF(R586&lt;&gt;"",VLOOKUP(P586,Constants!$D$3:$E$10,2),"")</f>
        <v/>
      </c>
    </row>
    <row r="587" spans="2:20" x14ac:dyDescent="0.25">
      <c r="B587" s="59"/>
      <c r="C587" s="59"/>
      <c r="D587" s="60"/>
      <c r="E587" s="59"/>
      <c r="F587" s="59"/>
      <c r="G587" s="59"/>
      <c r="H587" s="61"/>
      <c r="I587" s="61"/>
      <c r="J587" s="61"/>
      <c r="K587" s="62"/>
      <c r="L587" s="10" t="str">
        <f t="shared" si="142"/>
        <v/>
      </c>
      <c r="M587" s="10" t="str">
        <f t="shared" si="143"/>
        <v/>
      </c>
      <c r="N587" s="11" t="str">
        <f t="shared" si="144"/>
        <v/>
      </c>
      <c r="O587" s="10" t="str">
        <f t="shared" si="145"/>
        <v/>
      </c>
      <c r="P587" s="12" t="str">
        <f t="shared" si="146"/>
        <v/>
      </c>
      <c r="Q587" s="10" t="str">
        <f t="shared" si="147"/>
        <v/>
      </c>
      <c r="R587" s="13" t="str">
        <f t="shared" si="148"/>
        <v/>
      </c>
      <c r="S587" s="13" t="str">
        <f t="shared" si="149"/>
        <v/>
      </c>
      <c r="T587" s="22" t="str">
        <f>IF(R587&lt;&gt;"",VLOOKUP(P587,Constants!$D$3:$E$10,2),"")</f>
        <v/>
      </c>
    </row>
    <row r="588" spans="2:20" x14ac:dyDescent="0.25">
      <c r="B588" s="59"/>
      <c r="C588" s="59"/>
      <c r="D588" s="60"/>
      <c r="E588" s="59"/>
      <c r="F588" s="59"/>
      <c r="G588" s="59"/>
      <c r="H588" s="61"/>
      <c r="I588" s="61"/>
      <c r="J588" s="61"/>
      <c r="K588" s="62"/>
      <c r="L588" s="10" t="str">
        <f t="shared" si="142"/>
        <v/>
      </c>
      <c r="M588" s="10" t="str">
        <f t="shared" si="143"/>
        <v/>
      </c>
      <c r="N588" s="11" t="str">
        <f t="shared" si="144"/>
        <v/>
      </c>
      <c r="O588" s="10" t="str">
        <f t="shared" si="145"/>
        <v/>
      </c>
      <c r="P588" s="12" t="str">
        <f t="shared" si="146"/>
        <v/>
      </c>
      <c r="Q588" s="10" t="str">
        <f t="shared" si="147"/>
        <v/>
      </c>
      <c r="R588" s="13" t="str">
        <f t="shared" si="148"/>
        <v/>
      </c>
      <c r="S588" s="13" t="str">
        <f t="shared" si="149"/>
        <v/>
      </c>
      <c r="T588" s="22" t="str">
        <f>IF(R588&lt;&gt;"",VLOOKUP(P588,Constants!$D$3:$E$10,2),"")</f>
        <v/>
      </c>
    </row>
    <row r="589" spans="2:20" x14ac:dyDescent="0.25">
      <c r="B589" s="59"/>
      <c r="C589" s="59"/>
      <c r="D589" s="60"/>
      <c r="E589" s="59"/>
      <c r="F589" s="59"/>
      <c r="G589" s="59"/>
      <c r="H589" s="61"/>
      <c r="I589" s="61"/>
      <c r="J589" s="61"/>
      <c r="K589" s="62"/>
      <c r="L589" s="10" t="str">
        <f t="shared" si="142"/>
        <v/>
      </c>
      <c r="M589" s="10" t="str">
        <f t="shared" si="143"/>
        <v/>
      </c>
      <c r="N589" s="11" t="str">
        <f t="shared" si="144"/>
        <v/>
      </c>
      <c r="O589" s="10" t="str">
        <f t="shared" si="145"/>
        <v/>
      </c>
      <c r="P589" s="12" t="str">
        <f t="shared" si="146"/>
        <v/>
      </c>
      <c r="Q589" s="10" t="str">
        <f t="shared" si="147"/>
        <v/>
      </c>
      <c r="R589" s="13" t="str">
        <f t="shared" si="148"/>
        <v/>
      </c>
      <c r="S589" s="13" t="str">
        <f t="shared" si="149"/>
        <v/>
      </c>
      <c r="T589" s="22" t="str">
        <f>IF(R589&lt;&gt;"",VLOOKUP(P589,Constants!$D$3:$E$10,2),"")</f>
        <v/>
      </c>
    </row>
    <row r="590" spans="2:20" x14ac:dyDescent="0.25">
      <c r="B590" s="59"/>
      <c r="C590" s="59"/>
      <c r="D590" s="60"/>
      <c r="E590" s="59"/>
      <c r="F590" s="59"/>
      <c r="G590" s="59"/>
      <c r="H590" s="61"/>
      <c r="I590" s="61"/>
      <c r="J590" s="61"/>
      <c r="K590" s="62"/>
      <c r="L590" s="10" t="str">
        <f t="shared" si="142"/>
        <v/>
      </c>
      <c r="M590" s="10" t="str">
        <f t="shared" si="143"/>
        <v/>
      </c>
      <c r="N590" s="11" t="str">
        <f t="shared" si="144"/>
        <v/>
      </c>
      <c r="O590" s="10" t="str">
        <f t="shared" si="145"/>
        <v/>
      </c>
      <c r="P590" s="12" t="str">
        <f t="shared" si="146"/>
        <v/>
      </c>
      <c r="Q590" s="10" t="str">
        <f t="shared" si="147"/>
        <v/>
      </c>
      <c r="R590" s="13" t="str">
        <f t="shared" si="148"/>
        <v/>
      </c>
      <c r="S590" s="13" t="str">
        <f t="shared" si="149"/>
        <v/>
      </c>
      <c r="T590" s="22" t="str">
        <f>IF(R590&lt;&gt;"",VLOOKUP(P590,Constants!$D$3:$E$10,2),"")</f>
        <v/>
      </c>
    </row>
    <row r="591" spans="2:20" x14ac:dyDescent="0.25">
      <c r="B591" s="59"/>
      <c r="C591" s="59"/>
      <c r="D591" s="60"/>
      <c r="E591" s="59"/>
      <c r="F591" s="59"/>
      <c r="G591" s="59"/>
      <c r="H591" s="61"/>
      <c r="I591" s="61"/>
      <c r="J591" s="61"/>
      <c r="K591" s="62"/>
      <c r="L591" s="10" t="str">
        <f t="shared" si="142"/>
        <v/>
      </c>
      <c r="M591" s="10" t="str">
        <f t="shared" si="143"/>
        <v/>
      </c>
      <c r="N591" s="11" t="str">
        <f t="shared" si="144"/>
        <v/>
      </c>
      <c r="O591" s="10" t="str">
        <f t="shared" si="145"/>
        <v/>
      </c>
      <c r="P591" s="12" t="str">
        <f t="shared" si="146"/>
        <v/>
      </c>
      <c r="Q591" s="10" t="str">
        <f t="shared" si="147"/>
        <v/>
      </c>
      <c r="R591" s="13" t="str">
        <f t="shared" si="148"/>
        <v/>
      </c>
      <c r="S591" s="13" t="str">
        <f t="shared" si="149"/>
        <v/>
      </c>
      <c r="T591" s="22" t="str">
        <f>IF(R591&lt;&gt;"",VLOOKUP(P591,Constants!$D$3:$E$10,2),"")</f>
        <v/>
      </c>
    </row>
    <row r="592" spans="2:20" x14ac:dyDescent="0.25">
      <c r="B592" s="59"/>
      <c r="C592" s="59"/>
      <c r="D592" s="60"/>
      <c r="E592" s="59"/>
      <c r="F592" s="59"/>
      <c r="G592" s="59"/>
      <c r="H592" s="61"/>
      <c r="I592" s="61"/>
      <c r="J592" s="61"/>
      <c r="K592" s="62"/>
      <c r="L592" s="10" t="str">
        <f t="shared" si="142"/>
        <v/>
      </c>
      <c r="M592" s="10" t="str">
        <f t="shared" si="143"/>
        <v/>
      </c>
      <c r="N592" s="11" t="str">
        <f t="shared" si="144"/>
        <v/>
      </c>
      <c r="O592" s="10" t="str">
        <f t="shared" si="145"/>
        <v/>
      </c>
      <c r="P592" s="12" t="str">
        <f t="shared" si="146"/>
        <v/>
      </c>
      <c r="Q592" s="10" t="str">
        <f t="shared" si="147"/>
        <v/>
      </c>
      <c r="R592" s="13" t="str">
        <f t="shared" si="148"/>
        <v/>
      </c>
      <c r="S592" s="13" t="str">
        <f t="shared" si="149"/>
        <v/>
      </c>
      <c r="T592" s="22" t="str">
        <f>IF(R592&lt;&gt;"",VLOOKUP(P592,Constants!$D$3:$E$10,2),"")</f>
        <v/>
      </c>
    </row>
    <row r="593" spans="2:20" x14ac:dyDescent="0.25">
      <c r="B593" s="59"/>
      <c r="C593" s="59"/>
      <c r="D593" s="60"/>
      <c r="E593" s="59"/>
      <c r="F593" s="59"/>
      <c r="G593" s="59"/>
      <c r="H593" s="61"/>
      <c r="I593" s="61"/>
      <c r="J593" s="61"/>
      <c r="K593" s="62"/>
      <c r="L593" s="10" t="str">
        <f t="shared" si="142"/>
        <v/>
      </c>
      <c r="M593" s="10" t="str">
        <f t="shared" si="143"/>
        <v/>
      </c>
      <c r="N593" s="11" t="str">
        <f t="shared" si="144"/>
        <v/>
      </c>
      <c r="O593" s="10" t="str">
        <f t="shared" si="145"/>
        <v/>
      </c>
      <c r="P593" s="12" t="str">
        <f t="shared" si="146"/>
        <v/>
      </c>
      <c r="Q593" s="10" t="str">
        <f t="shared" si="147"/>
        <v/>
      </c>
      <c r="R593" s="13" t="str">
        <f t="shared" si="148"/>
        <v/>
      </c>
      <c r="S593" s="13" t="str">
        <f t="shared" si="149"/>
        <v/>
      </c>
      <c r="T593" s="22" t="str">
        <f>IF(R593&lt;&gt;"",VLOOKUP(P593,Constants!$D$3:$E$10,2),"")</f>
        <v/>
      </c>
    </row>
    <row r="594" spans="2:20" x14ac:dyDescent="0.25">
      <c r="B594" s="59"/>
      <c r="C594" s="59"/>
      <c r="D594" s="60"/>
      <c r="E594" s="59"/>
      <c r="F594" s="59"/>
      <c r="G594" s="59"/>
      <c r="H594" s="61"/>
      <c r="I594" s="61"/>
      <c r="J594" s="61"/>
      <c r="K594" s="62"/>
      <c r="L594" s="10" t="str">
        <f t="shared" ref="L594:L657" si="150">IF($D594&lt;&gt;"",$D594*$E594/1000,"")</f>
        <v/>
      </c>
      <c r="M594" s="10" t="str">
        <f t="shared" ref="M594:M657" si="151">IF($D594&lt;&gt;"",$D594*$F594/1000,"")</f>
        <v/>
      </c>
      <c r="N594" s="11" t="str">
        <f t="shared" ref="N594:N657" si="152">IF($L594&lt;&gt;"",SQRT($L594*$L594+$M594*$M594),"")</f>
        <v/>
      </c>
      <c r="O594" s="10" t="str">
        <f t="shared" si="145"/>
        <v/>
      </c>
      <c r="P594" s="12" t="str">
        <f t="shared" si="146"/>
        <v/>
      </c>
      <c r="Q594" s="10" t="str">
        <f t="shared" si="147"/>
        <v/>
      </c>
      <c r="R594" s="13" t="str">
        <f t="shared" si="148"/>
        <v/>
      </c>
      <c r="S594" s="13" t="str">
        <f t="shared" si="149"/>
        <v/>
      </c>
      <c r="T594" s="22" t="str">
        <f>IF(R594&lt;&gt;"",VLOOKUP(P594,Constants!$D$3:$E$10,2),"")</f>
        <v/>
      </c>
    </row>
    <row r="595" spans="2:20" x14ac:dyDescent="0.25">
      <c r="B595" s="59"/>
      <c r="C595" s="59"/>
      <c r="D595" s="60"/>
      <c r="E595" s="59"/>
      <c r="F595" s="59"/>
      <c r="G595" s="59"/>
      <c r="H595" s="61"/>
      <c r="I595" s="61"/>
      <c r="J595" s="61"/>
      <c r="K595" s="62"/>
      <c r="L595" s="10" t="str">
        <f t="shared" si="150"/>
        <v/>
      </c>
      <c r="M595" s="10" t="str">
        <f t="shared" si="151"/>
        <v/>
      </c>
      <c r="N595" s="11" t="str">
        <f t="shared" si="152"/>
        <v/>
      </c>
      <c r="O595" s="10" t="str">
        <f t="shared" si="145"/>
        <v/>
      </c>
      <c r="P595" s="12" t="str">
        <f t="shared" si="146"/>
        <v/>
      </c>
      <c r="Q595" s="10" t="str">
        <f t="shared" si="147"/>
        <v/>
      </c>
      <c r="R595" s="13" t="str">
        <f t="shared" si="148"/>
        <v/>
      </c>
      <c r="S595" s="13" t="str">
        <f t="shared" si="149"/>
        <v/>
      </c>
      <c r="T595" s="22" t="str">
        <f>IF(R595&lt;&gt;"",VLOOKUP(P595,Constants!$D$3:$E$10,2),"")</f>
        <v/>
      </c>
    </row>
    <row r="596" spans="2:20" x14ac:dyDescent="0.25">
      <c r="B596" s="59"/>
      <c r="C596" s="59"/>
      <c r="D596" s="60"/>
      <c r="E596" s="59"/>
      <c r="F596" s="59"/>
      <c r="G596" s="59"/>
      <c r="H596" s="61"/>
      <c r="I596" s="61"/>
      <c r="J596" s="61"/>
      <c r="K596" s="62"/>
      <c r="L596" s="10" t="str">
        <f t="shared" si="150"/>
        <v/>
      </c>
      <c r="M596" s="10" t="str">
        <f t="shared" si="151"/>
        <v/>
      </c>
      <c r="N596" s="11" t="str">
        <f t="shared" si="152"/>
        <v/>
      </c>
      <c r="O596" s="10" t="str">
        <f t="shared" ref="O596:O659" si="153">IF(D596&lt;&gt;"",1000/(2*D596),"")</f>
        <v/>
      </c>
      <c r="P596" s="12" t="str">
        <f t="shared" ref="P596:P659" si="154">IF($N596&lt;&gt;"",D596*SQRT(E596*E596+F596*F596)/16000,"")</f>
        <v/>
      </c>
      <c r="Q596" s="10" t="str">
        <f t="shared" ref="Q596:Q659" si="155">IF(F596&lt;&gt;"",F596*E596/1000000,"")</f>
        <v/>
      </c>
      <c r="R596" s="13" t="str">
        <f t="shared" ref="R596:R659" si="156">IF(G596&lt;&gt;"",1000/G596,"")</f>
        <v/>
      </c>
      <c r="S596" s="13" t="str">
        <f t="shared" ref="S596:S659" si="157">IF(R596&lt;&gt;"",Q596/R596*1000,"")</f>
        <v/>
      </c>
      <c r="T596" s="22" t="str">
        <f>IF(R596&lt;&gt;"",VLOOKUP(P596,Constants!$D$3:$E$10,2),"")</f>
        <v/>
      </c>
    </row>
    <row r="597" spans="2:20" x14ac:dyDescent="0.25">
      <c r="B597" s="59"/>
      <c r="C597" s="59"/>
      <c r="D597" s="60"/>
      <c r="E597" s="59"/>
      <c r="F597" s="59"/>
      <c r="G597" s="59"/>
      <c r="H597" s="61"/>
      <c r="I597" s="61"/>
      <c r="J597" s="61"/>
      <c r="K597" s="62"/>
      <c r="L597" s="10" t="str">
        <f t="shared" si="150"/>
        <v/>
      </c>
      <c r="M597" s="10" t="str">
        <f t="shared" si="151"/>
        <v/>
      </c>
      <c r="N597" s="11" t="str">
        <f t="shared" si="152"/>
        <v/>
      </c>
      <c r="O597" s="10" t="str">
        <f t="shared" si="153"/>
        <v/>
      </c>
      <c r="P597" s="12" t="str">
        <f t="shared" si="154"/>
        <v/>
      </c>
      <c r="Q597" s="10" t="str">
        <f t="shared" si="155"/>
        <v/>
      </c>
      <c r="R597" s="13" t="str">
        <f t="shared" si="156"/>
        <v/>
      </c>
      <c r="S597" s="13" t="str">
        <f t="shared" si="157"/>
        <v/>
      </c>
      <c r="T597" s="22" t="str">
        <f>IF(R597&lt;&gt;"",VLOOKUP(P597,Constants!$D$3:$E$10,2),"")</f>
        <v/>
      </c>
    </row>
    <row r="598" spans="2:20" x14ac:dyDescent="0.25">
      <c r="B598" s="59"/>
      <c r="C598" s="59"/>
      <c r="D598" s="60"/>
      <c r="E598" s="59"/>
      <c r="F598" s="59"/>
      <c r="G598" s="59"/>
      <c r="H598" s="61"/>
      <c r="I598" s="61"/>
      <c r="J598" s="61"/>
      <c r="K598" s="62"/>
      <c r="L598" s="10" t="str">
        <f t="shared" si="150"/>
        <v/>
      </c>
      <c r="M598" s="10" t="str">
        <f t="shared" si="151"/>
        <v/>
      </c>
      <c r="N598" s="11" t="str">
        <f t="shared" si="152"/>
        <v/>
      </c>
      <c r="O598" s="10" t="str">
        <f t="shared" si="153"/>
        <v/>
      </c>
      <c r="P598" s="12" t="str">
        <f t="shared" si="154"/>
        <v/>
      </c>
      <c r="Q598" s="10" t="str">
        <f t="shared" si="155"/>
        <v/>
      </c>
      <c r="R598" s="13" t="str">
        <f t="shared" si="156"/>
        <v/>
      </c>
      <c r="S598" s="13" t="str">
        <f t="shared" si="157"/>
        <v/>
      </c>
      <c r="T598" s="22" t="str">
        <f>IF(R598&lt;&gt;"",VLOOKUP(P598,Constants!$D$3:$E$10,2),"")</f>
        <v/>
      </c>
    </row>
    <row r="599" spans="2:20" x14ac:dyDescent="0.25">
      <c r="B599" s="59"/>
      <c r="C599" s="59"/>
      <c r="D599" s="60"/>
      <c r="E599" s="59"/>
      <c r="F599" s="59"/>
      <c r="G599" s="59"/>
      <c r="H599" s="61"/>
      <c r="I599" s="61"/>
      <c r="J599" s="61"/>
      <c r="K599" s="62"/>
      <c r="L599" s="10" t="str">
        <f t="shared" si="150"/>
        <v/>
      </c>
      <c r="M599" s="10" t="str">
        <f t="shared" si="151"/>
        <v/>
      </c>
      <c r="N599" s="11" t="str">
        <f t="shared" si="152"/>
        <v/>
      </c>
      <c r="O599" s="10" t="str">
        <f t="shared" si="153"/>
        <v/>
      </c>
      <c r="P599" s="12" t="str">
        <f t="shared" si="154"/>
        <v/>
      </c>
      <c r="Q599" s="10" t="str">
        <f t="shared" si="155"/>
        <v/>
      </c>
      <c r="R599" s="13" t="str">
        <f t="shared" si="156"/>
        <v/>
      </c>
      <c r="S599" s="13" t="str">
        <f t="shared" si="157"/>
        <v/>
      </c>
      <c r="T599" s="22" t="str">
        <f>IF(R599&lt;&gt;"",VLOOKUP(P599,Constants!$D$3:$E$10,2),"")</f>
        <v/>
      </c>
    </row>
    <row r="600" spans="2:20" x14ac:dyDescent="0.25">
      <c r="B600" s="59"/>
      <c r="C600" s="59"/>
      <c r="D600" s="60"/>
      <c r="E600" s="59"/>
      <c r="F600" s="59"/>
      <c r="G600" s="59"/>
      <c r="H600" s="61"/>
      <c r="I600" s="61"/>
      <c r="J600" s="61"/>
      <c r="K600" s="62"/>
      <c r="L600" s="10" t="str">
        <f t="shared" si="150"/>
        <v/>
      </c>
      <c r="M600" s="10" t="str">
        <f t="shared" si="151"/>
        <v/>
      </c>
      <c r="N600" s="11" t="str">
        <f t="shared" si="152"/>
        <v/>
      </c>
      <c r="O600" s="10" t="str">
        <f t="shared" si="153"/>
        <v/>
      </c>
      <c r="P600" s="12" t="str">
        <f t="shared" si="154"/>
        <v/>
      </c>
      <c r="Q600" s="10" t="str">
        <f t="shared" si="155"/>
        <v/>
      </c>
      <c r="R600" s="13" t="str">
        <f t="shared" si="156"/>
        <v/>
      </c>
      <c r="S600" s="13" t="str">
        <f t="shared" si="157"/>
        <v/>
      </c>
      <c r="T600" s="22" t="str">
        <f>IF(R600&lt;&gt;"",VLOOKUP(P600,Constants!$D$3:$E$10,2),"")</f>
        <v/>
      </c>
    </row>
    <row r="601" spans="2:20" x14ac:dyDescent="0.25">
      <c r="B601" s="59"/>
      <c r="C601" s="59"/>
      <c r="D601" s="60"/>
      <c r="E601" s="59"/>
      <c r="F601" s="59"/>
      <c r="G601" s="59"/>
      <c r="H601" s="61"/>
      <c r="I601" s="61"/>
      <c r="J601" s="61"/>
      <c r="K601" s="62"/>
      <c r="L601" s="10" t="str">
        <f t="shared" si="150"/>
        <v/>
      </c>
      <c r="M601" s="10" t="str">
        <f t="shared" si="151"/>
        <v/>
      </c>
      <c r="N601" s="11" t="str">
        <f t="shared" si="152"/>
        <v/>
      </c>
      <c r="O601" s="10" t="str">
        <f t="shared" si="153"/>
        <v/>
      </c>
      <c r="P601" s="12" t="str">
        <f t="shared" si="154"/>
        <v/>
      </c>
      <c r="Q601" s="10" t="str">
        <f t="shared" si="155"/>
        <v/>
      </c>
      <c r="R601" s="13" t="str">
        <f t="shared" si="156"/>
        <v/>
      </c>
      <c r="S601" s="13" t="str">
        <f t="shared" si="157"/>
        <v/>
      </c>
      <c r="T601" s="22" t="str">
        <f>IF(R601&lt;&gt;"",VLOOKUP(P601,Constants!$D$3:$E$10,2),"")</f>
        <v/>
      </c>
    </row>
    <row r="602" spans="2:20" x14ac:dyDescent="0.25">
      <c r="B602" s="59"/>
      <c r="C602" s="59"/>
      <c r="D602" s="60"/>
      <c r="E602" s="59"/>
      <c r="F602" s="59"/>
      <c r="G602" s="59"/>
      <c r="H602" s="61"/>
      <c r="I602" s="61"/>
      <c r="J602" s="61"/>
      <c r="K602" s="62"/>
      <c r="L602" s="10" t="str">
        <f t="shared" si="150"/>
        <v/>
      </c>
      <c r="M602" s="10" t="str">
        <f t="shared" si="151"/>
        <v/>
      </c>
      <c r="N602" s="11" t="str">
        <f t="shared" si="152"/>
        <v/>
      </c>
      <c r="O602" s="10" t="str">
        <f t="shared" si="153"/>
        <v/>
      </c>
      <c r="P602" s="12" t="str">
        <f t="shared" si="154"/>
        <v/>
      </c>
      <c r="Q602" s="10" t="str">
        <f t="shared" si="155"/>
        <v/>
      </c>
      <c r="R602" s="13" t="str">
        <f t="shared" si="156"/>
        <v/>
      </c>
      <c r="S602" s="13" t="str">
        <f t="shared" si="157"/>
        <v/>
      </c>
      <c r="T602" s="22" t="str">
        <f>IF(R602&lt;&gt;"",VLOOKUP(P602,Constants!$D$3:$E$10,2),"")</f>
        <v/>
      </c>
    </row>
    <row r="603" spans="2:20" x14ac:dyDescent="0.25">
      <c r="B603" s="59"/>
      <c r="C603" s="59"/>
      <c r="D603" s="60"/>
      <c r="E603" s="59"/>
      <c r="F603" s="59"/>
      <c r="G603" s="59"/>
      <c r="H603" s="61"/>
      <c r="I603" s="61"/>
      <c r="J603" s="61"/>
      <c r="K603" s="62"/>
      <c r="L603" s="10" t="str">
        <f t="shared" si="150"/>
        <v/>
      </c>
      <c r="M603" s="10" t="str">
        <f t="shared" si="151"/>
        <v/>
      </c>
      <c r="N603" s="11" t="str">
        <f t="shared" si="152"/>
        <v/>
      </c>
      <c r="O603" s="10" t="str">
        <f t="shared" si="153"/>
        <v/>
      </c>
      <c r="P603" s="12" t="str">
        <f t="shared" si="154"/>
        <v/>
      </c>
      <c r="Q603" s="10" t="str">
        <f t="shared" si="155"/>
        <v/>
      </c>
      <c r="R603" s="13" t="str">
        <f t="shared" si="156"/>
        <v/>
      </c>
      <c r="S603" s="13" t="str">
        <f t="shared" si="157"/>
        <v/>
      </c>
      <c r="T603" s="22" t="str">
        <f>IF(R603&lt;&gt;"",VLOOKUP(P603,Constants!$D$3:$E$10,2),"")</f>
        <v/>
      </c>
    </row>
    <row r="604" spans="2:20" x14ac:dyDescent="0.25">
      <c r="B604" s="59"/>
      <c r="C604" s="59"/>
      <c r="D604" s="60"/>
      <c r="E604" s="59"/>
      <c r="F604" s="59"/>
      <c r="G604" s="59"/>
      <c r="H604" s="61"/>
      <c r="I604" s="61"/>
      <c r="J604" s="61"/>
      <c r="K604" s="62"/>
      <c r="L604" s="10" t="str">
        <f t="shared" si="150"/>
        <v/>
      </c>
      <c r="M604" s="10" t="str">
        <f t="shared" si="151"/>
        <v/>
      </c>
      <c r="N604" s="11" t="str">
        <f t="shared" si="152"/>
        <v/>
      </c>
      <c r="O604" s="10" t="str">
        <f t="shared" si="153"/>
        <v/>
      </c>
      <c r="P604" s="12" t="str">
        <f t="shared" si="154"/>
        <v/>
      </c>
      <c r="Q604" s="10" t="str">
        <f t="shared" si="155"/>
        <v/>
      </c>
      <c r="R604" s="13" t="str">
        <f t="shared" si="156"/>
        <v/>
      </c>
      <c r="S604" s="13" t="str">
        <f t="shared" si="157"/>
        <v/>
      </c>
      <c r="T604" s="22" t="str">
        <f>IF(R604&lt;&gt;"",VLOOKUP(P604,Constants!$D$3:$E$10,2),"")</f>
        <v/>
      </c>
    </row>
    <row r="605" spans="2:20" x14ac:dyDescent="0.25">
      <c r="B605" s="59"/>
      <c r="C605" s="59"/>
      <c r="D605" s="60"/>
      <c r="E605" s="59"/>
      <c r="F605" s="59"/>
      <c r="G605" s="59"/>
      <c r="H605" s="61"/>
      <c r="I605" s="61"/>
      <c r="J605" s="61"/>
      <c r="K605" s="62"/>
      <c r="L605" s="10" t="str">
        <f t="shared" si="150"/>
        <v/>
      </c>
      <c r="M605" s="10" t="str">
        <f t="shared" si="151"/>
        <v/>
      </c>
      <c r="N605" s="11" t="str">
        <f t="shared" si="152"/>
        <v/>
      </c>
      <c r="O605" s="10" t="str">
        <f t="shared" si="153"/>
        <v/>
      </c>
      <c r="P605" s="12" t="str">
        <f t="shared" si="154"/>
        <v/>
      </c>
      <c r="Q605" s="10" t="str">
        <f t="shared" si="155"/>
        <v/>
      </c>
      <c r="R605" s="13" t="str">
        <f t="shared" si="156"/>
        <v/>
      </c>
      <c r="S605" s="13" t="str">
        <f t="shared" si="157"/>
        <v/>
      </c>
      <c r="T605" s="22" t="str">
        <f>IF(R605&lt;&gt;"",VLOOKUP(P605,Constants!$D$3:$E$10,2),"")</f>
        <v/>
      </c>
    </row>
    <row r="606" spans="2:20" x14ac:dyDescent="0.25">
      <c r="B606" s="59"/>
      <c r="C606" s="59"/>
      <c r="D606" s="60"/>
      <c r="E606" s="59"/>
      <c r="F606" s="59"/>
      <c r="G606" s="59"/>
      <c r="H606" s="61"/>
      <c r="I606" s="61"/>
      <c r="J606" s="61"/>
      <c r="K606" s="62"/>
      <c r="L606" s="10" t="str">
        <f t="shared" si="150"/>
        <v/>
      </c>
      <c r="M606" s="10" t="str">
        <f t="shared" si="151"/>
        <v/>
      </c>
      <c r="N606" s="11" t="str">
        <f t="shared" si="152"/>
        <v/>
      </c>
      <c r="O606" s="10" t="str">
        <f t="shared" si="153"/>
        <v/>
      </c>
      <c r="P606" s="12" t="str">
        <f t="shared" si="154"/>
        <v/>
      </c>
      <c r="Q606" s="10" t="str">
        <f t="shared" si="155"/>
        <v/>
      </c>
      <c r="R606" s="13" t="str">
        <f t="shared" si="156"/>
        <v/>
      </c>
      <c r="S606" s="13" t="str">
        <f t="shared" si="157"/>
        <v/>
      </c>
      <c r="T606" s="22" t="str">
        <f>IF(R606&lt;&gt;"",VLOOKUP(P606,Constants!$D$3:$E$10,2),"")</f>
        <v/>
      </c>
    </row>
    <row r="607" spans="2:20" x14ac:dyDescent="0.25">
      <c r="B607" s="59"/>
      <c r="C607" s="59"/>
      <c r="D607" s="60"/>
      <c r="E607" s="59"/>
      <c r="F607" s="59"/>
      <c r="G607" s="59"/>
      <c r="H607" s="61"/>
      <c r="I607" s="61"/>
      <c r="J607" s="61"/>
      <c r="K607" s="62"/>
      <c r="L607" s="10" t="str">
        <f t="shared" si="150"/>
        <v/>
      </c>
      <c r="M607" s="10" t="str">
        <f t="shared" si="151"/>
        <v/>
      </c>
      <c r="N607" s="11" t="str">
        <f t="shared" si="152"/>
        <v/>
      </c>
      <c r="O607" s="10" t="str">
        <f t="shared" si="153"/>
        <v/>
      </c>
      <c r="P607" s="12" t="str">
        <f t="shared" si="154"/>
        <v/>
      </c>
      <c r="Q607" s="10" t="str">
        <f t="shared" si="155"/>
        <v/>
      </c>
      <c r="R607" s="13" t="str">
        <f t="shared" si="156"/>
        <v/>
      </c>
      <c r="S607" s="13" t="str">
        <f t="shared" si="157"/>
        <v/>
      </c>
      <c r="T607" s="22" t="str">
        <f>IF(R607&lt;&gt;"",VLOOKUP(P607,Constants!$D$3:$E$10,2),"")</f>
        <v/>
      </c>
    </row>
    <row r="608" spans="2:20" x14ac:dyDescent="0.25">
      <c r="B608" s="59"/>
      <c r="C608" s="59"/>
      <c r="D608" s="60"/>
      <c r="E608" s="59"/>
      <c r="F608" s="59"/>
      <c r="G608" s="59"/>
      <c r="H608" s="61"/>
      <c r="I608" s="61"/>
      <c r="J608" s="61"/>
      <c r="K608" s="62"/>
      <c r="L608" s="10" t="str">
        <f t="shared" si="150"/>
        <v/>
      </c>
      <c r="M608" s="10" t="str">
        <f t="shared" si="151"/>
        <v/>
      </c>
      <c r="N608" s="11" t="str">
        <f t="shared" si="152"/>
        <v/>
      </c>
      <c r="O608" s="10" t="str">
        <f t="shared" si="153"/>
        <v/>
      </c>
      <c r="P608" s="12" t="str">
        <f t="shared" si="154"/>
        <v/>
      </c>
      <c r="Q608" s="10" t="str">
        <f t="shared" si="155"/>
        <v/>
      </c>
      <c r="R608" s="13" t="str">
        <f t="shared" si="156"/>
        <v/>
      </c>
      <c r="S608" s="13" t="str">
        <f t="shared" si="157"/>
        <v/>
      </c>
      <c r="T608" s="22" t="str">
        <f>IF(R608&lt;&gt;"",VLOOKUP(P608,Constants!$D$3:$E$10,2),"")</f>
        <v/>
      </c>
    </row>
    <row r="609" spans="2:20" x14ac:dyDescent="0.25">
      <c r="B609" s="59"/>
      <c r="C609" s="59"/>
      <c r="D609" s="60"/>
      <c r="E609" s="59"/>
      <c r="F609" s="59"/>
      <c r="G609" s="59"/>
      <c r="H609" s="61"/>
      <c r="I609" s="61"/>
      <c r="J609" s="61"/>
      <c r="K609" s="62"/>
      <c r="L609" s="10" t="str">
        <f t="shared" si="150"/>
        <v/>
      </c>
      <c r="M609" s="10" t="str">
        <f t="shared" si="151"/>
        <v/>
      </c>
      <c r="N609" s="11" t="str">
        <f t="shared" si="152"/>
        <v/>
      </c>
      <c r="O609" s="10" t="str">
        <f t="shared" si="153"/>
        <v/>
      </c>
      <c r="P609" s="12" t="str">
        <f t="shared" si="154"/>
        <v/>
      </c>
      <c r="Q609" s="10" t="str">
        <f t="shared" si="155"/>
        <v/>
      </c>
      <c r="R609" s="13" t="str">
        <f t="shared" si="156"/>
        <v/>
      </c>
      <c r="S609" s="13" t="str">
        <f t="shared" si="157"/>
        <v/>
      </c>
      <c r="T609" s="22" t="str">
        <f>IF(R609&lt;&gt;"",VLOOKUP(P609,Constants!$D$3:$E$10,2),"")</f>
        <v/>
      </c>
    </row>
    <row r="610" spans="2:20" x14ac:dyDescent="0.25">
      <c r="B610" s="59"/>
      <c r="C610" s="59"/>
      <c r="D610" s="60"/>
      <c r="E610" s="59"/>
      <c r="F610" s="59"/>
      <c r="G610" s="59"/>
      <c r="H610" s="61"/>
      <c r="I610" s="61"/>
      <c r="J610" s="61"/>
      <c r="K610" s="62"/>
      <c r="L610" s="10" t="str">
        <f t="shared" si="150"/>
        <v/>
      </c>
      <c r="M610" s="10" t="str">
        <f t="shared" si="151"/>
        <v/>
      </c>
      <c r="N610" s="11" t="str">
        <f t="shared" si="152"/>
        <v/>
      </c>
      <c r="O610" s="10" t="str">
        <f t="shared" si="153"/>
        <v/>
      </c>
      <c r="P610" s="12" t="str">
        <f t="shared" si="154"/>
        <v/>
      </c>
      <c r="Q610" s="10" t="str">
        <f t="shared" si="155"/>
        <v/>
      </c>
      <c r="R610" s="13" t="str">
        <f t="shared" si="156"/>
        <v/>
      </c>
      <c r="S610" s="13" t="str">
        <f t="shared" si="157"/>
        <v/>
      </c>
      <c r="T610" s="22" t="str">
        <f>IF(R610&lt;&gt;"",VLOOKUP(P610,Constants!$D$3:$E$10,2),"")</f>
        <v/>
      </c>
    </row>
    <row r="611" spans="2:20" x14ac:dyDescent="0.25">
      <c r="B611" s="59"/>
      <c r="C611" s="59"/>
      <c r="D611" s="60"/>
      <c r="E611" s="59"/>
      <c r="F611" s="59"/>
      <c r="G611" s="59"/>
      <c r="H611" s="61"/>
      <c r="I611" s="61"/>
      <c r="J611" s="61"/>
      <c r="K611" s="62"/>
      <c r="L611" s="10" t="str">
        <f t="shared" si="150"/>
        <v/>
      </c>
      <c r="M611" s="10" t="str">
        <f t="shared" si="151"/>
        <v/>
      </c>
      <c r="N611" s="11" t="str">
        <f t="shared" si="152"/>
        <v/>
      </c>
      <c r="O611" s="10" t="str">
        <f t="shared" si="153"/>
        <v/>
      </c>
      <c r="P611" s="12" t="str">
        <f t="shared" si="154"/>
        <v/>
      </c>
      <c r="Q611" s="10" t="str">
        <f t="shared" si="155"/>
        <v/>
      </c>
      <c r="R611" s="13" t="str">
        <f t="shared" si="156"/>
        <v/>
      </c>
      <c r="S611" s="13" t="str">
        <f t="shared" si="157"/>
        <v/>
      </c>
      <c r="T611" s="22" t="str">
        <f>IF(R611&lt;&gt;"",VLOOKUP(P611,Constants!$D$3:$E$10,2),"")</f>
        <v/>
      </c>
    </row>
    <row r="612" spans="2:20" x14ac:dyDescent="0.25">
      <c r="B612" s="59"/>
      <c r="C612" s="59"/>
      <c r="D612" s="60"/>
      <c r="E612" s="59"/>
      <c r="F612" s="59"/>
      <c r="G612" s="59"/>
      <c r="H612" s="61"/>
      <c r="I612" s="61"/>
      <c r="J612" s="61"/>
      <c r="K612" s="62"/>
      <c r="L612" s="10" t="str">
        <f t="shared" si="150"/>
        <v/>
      </c>
      <c r="M612" s="10" t="str">
        <f t="shared" si="151"/>
        <v/>
      </c>
      <c r="N612" s="11" t="str">
        <f t="shared" si="152"/>
        <v/>
      </c>
      <c r="O612" s="10" t="str">
        <f t="shared" si="153"/>
        <v/>
      </c>
      <c r="P612" s="12" t="str">
        <f t="shared" si="154"/>
        <v/>
      </c>
      <c r="Q612" s="10" t="str">
        <f t="shared" si="155"/>
        <v/>
      </c>
      <c r="R612" s="13" t="str">
        <f t="shared" si="156"/>
        <v/>
      </c>
      <c r="S612" s="13" t="str">
        <f t="shared" si="157"/>
        <v/>
      </c>
      <c r="T612" s="22" t="str">
        <f>IF(R612&lt;&gt;"",VLOOKUP(P612,Constants!$D$3:$E$10,2),"")</f>
        <v/>
      </c>
    </row>
    <row r="613" spans="2:20" x14ac:dyDescent="0.25">
      <c r="B613" s="59"/>
      <c r="C613" s="59"/>
      <c r="D613" s="60"/>
      <c r="E613" s="59"/>
      <c r="F613" s="59"/>
      <c r="G613" s="59"/>
      <c r="H613" s="61"/>
      <c r="I613" s="61"/>
      <c r="J613" s="61"/>
      <c r="K613" s="62"/>
      <c r="L613" s="10" t="str">
        <f t="shared" si="150"/>
        <v/>
      </c>
      <c r="M613" s="10" t="str">
        <f t="shared" si="151"/>
        <v/>
      </c>
      <c r="N613" s="11" t="str">
        <f t="shared" si="152"/>
        <v/>
      </c>
      <c r="O613" s="10" t="str">
        <f t="shared" si="153"/>
        <v/>
      </c>
      <c r="P613" s="12" t="str">
        <f t="shared" si="154"/>
        <v/>
      </c>
      <c r="Q613" s="10" t="str">
        <f t="shared" si="155"/>
        <v/>
      </c>
      <c r="R613" s="13" t="str">
        <f t="shared" si="156"/>
        <v/>
      </c>
      <c r="S613" s="13" t="str">
        <f t="shared" si="157"/>
        <v/>
      </c>
      <c r="T613" s="22" t="str">
        <f>IF(R613&lt;&gt;"",VLOOKUP(P613,Constants!$D$3:$E$10,2),"")</f>
        <v/>
      </c>
    </row>
    <row r="614" spans="2:20" x14ac:dyDescent="0.25">
      <c r="B614" s="59"/>
      <c r="C614" s="59"/>
      <c r="D614" s="60"/>
      <c r="E614" s="59"/>
      <c r="F614" s="59"/>
      <c r="G614" s="59"/>
      <c r="H614" s="61"/>
      <c r="I614" s="61"/>
      <c r="J614" s="61"/>
      <c r="K614" s="62"/>
      <c r="L614" s="10" t="str">
        <f t="shared" si="150"/>
        <v/>
      </c>
      <c r="M614" s="10" t="str">
        <f t="shared" si="151"/>
        <v/>
      </c>
      <c r="N614" s="11" t="str">
        <f t="shared" si="152"/>
        <v/>
      </c>
      <c r="O614" s="10" t="str">
        <f t="shared" si="153"/>
        <v/>
      </c>
      <c r="P614" s="12" t="str">
        <f t="shared" si="154"/>
        <v/>
      </c>
      <c r="Q614" s="10" t="str">
        <f t="shared" si="155"/>
        <v/>
      </c>
      <c r="R614" s="13" t="str">
        <f t="shared" si="156"/>
        <v/>
      </c>
      <c r="S614" s="13" t="str">
        <f t="shared" si="157"/>
        <v/>
      </c>
      <c r="T614" s="22" t="str">
        <f>IF(R614&lt;&gt;"",VLOOKUP(P614,Constants!$D$3:$E$10,2),"")</f>
        <v/>
      </c>
    </row>
    <row r="615" spans="2:20" x14ac:dyDescent="0.25">
      <c r="B615" s="59"/>
      <c r="C615" s="59"/>
      <c r="D615" s="60"/>
      <c r="E615" s="59"/>
      <c r="F615" s="59"/>
      <c r="G615" s="59"/>
      <c r="H615" s="61"/>
      <c r="I615" s="61"/>
      <c r="J615" s="61"/>
      <c r="K615" s="62"/>
      <c r="L615" s="10" t="str">
        <f t="shared" si="150"/>
        <v/>
      </c>
      <c r="M615" s="10" t="str">
        <f t="shared" si="151"/>
        <v/>
      </c>
      <c r="N615" s="11" t="str">
        <f t="shared" si="152"/>
        <v/>
      </c>
      <c r="O615" s="10" t="str">
        <f t="shared" si="153"/>
        <v/>
      </c>
      <c r="P615" s="12" t="str">
        <f t="shared" si="154"/>
        <v/>
      </c>
      <c r="Q615" s="10" t="str">
        <f t="shared" si="155"/>
        <v/>
      </c>
      <c r="R615" s="13" t="str">
        <f t="shared" si="156"/>
        <v/>
      </c>
      <c r="S615" s="13" t="str">
        <f t="shared" si="157"/>
        <v/>
      </c>
      <c r="T615" s="22" t="str">
        <f>IF(R615&lt;&gt;"",VLOOKUP(P615,Constants!$D$3:$E$10,2),"")</f>
        <v/>
      </c>
    </row>
    <row r="616" spans="2:20" x14ac:dyDescent="0.25">
      <c r="B616" s="59"/>
      <c r="C616" s="59"/>
      <c r="D616" s="60"/>
      <c r="E616" s="59"/>
      <c r="F616" s="59"/>
      <c r="G616" s="59"/>
      <c r="H616" s="61"/>
      <c r="I616" s="61"/>
      <c r="J616" s="61"/>
      <c r="K616" s="62"/>
      <c r="L616" s="10" t="str">
        <f t="shared" si="150"/>
        <v/>
      </c>
      <c r="M616" s="10" t="str">
        <f t="shared" si="151"/>
        <v/>
      </c>
      <c r="N616" s="11" t="str">
        <f t="shared" si="152"/>
        <v/>
      </c>
      <c r="O616" s="10" t="str">
        <f t="shared" si="153"/>
        <v/>
      </c>
      <c r="P616" s="12" t="str">
        <f t="shared" si="154"/>
        <v/>
      </c>
      <c r="Q616" s="10" t="str">
        <f t="shared" si="155"/>
        <v/>
      </c>
      <c r="R616" s="13" t="str">
        <f t="shared" si="156"/>
        <v/>
      </c>
      <c r="S616" s="13" t="str">
        <f t="shared" si="157"/>
        <v/>
      </c>
      <c r="T616" s="22" t="str">
        <f>IF(R616&lt;&gt;"",VLOOKUP(P616,Constants!$D$3:$E$10,2),"")</f>
        <v/>
      </c>
    </row>
    <row r="617" spans="2:20" x14ac:dyDescent="0.25">
      <c r="B617" s="59"/>
      <c r="C617" s="59"/>
      <c r="D617" s="60"/>
      <c r="E617" s="59"/>
      <c r="F617" s="59"/>
      <c r="G617" s="59"/>
      <c r="H617" s="61"/>
      <c r="I617" s="61"/>
      <c r="J617" s="61"/>
      <c r="K617" s="62"/>
      <c r="L617" s="10" t="str">
        <f t="shared" si="150"/>
        <v/>
      </c>
      <c r="M617" s="10" t="str">
        <f t="shared" si="151"/>
        <v/>
      </c>
      <c r="N617" s="11" t="str">
        <f t="shared" si="152"/>
        <v/>
      </c>
      <c r="O617" s="10" t="str">
        <f t="shared" si="153"/>
        <v/>
      </c>
      <c r="P617" s="12" t="str">
        <f t="shared" si="154"/>
        <v/>
      </c>
      <c r="Q617" s="10" t="str">
        <f t="shared" si="155"/>
        <v/>
      </c>
      <c r="R617" s="13" t="str">
        <f t="shared" si="156"/>
        <v/>
      </c>
      <c r="S617" s="13" t="str">
        <f t="shared" si="157"/>
        <v/>
      </c>
      <c r="T617" s="22" t="str">
        <f>IF(R617&lt;&gt;"",VLOOKUP(P617,Constants!$D$3:$E$10,2),"")</f>
        <v/>
      </c>
    </row>
    <row r="618" spans="2:20" x14ac:dyDescent="0.25">
      <c r="B618" s="59"/>
      <c r="C618" s="59"/>
      <c r="D618" s="60"/>
      <c r="E618" s="59"/>
      <c r="F618" s="59"/>
      <c r="G618" s="59"/>
      <c r="H618" s="61"/>
      <c r="I618" s="61"/>
      <c r="J618" s="61"/>
      <c r="K618" s="62"/>
      <c r="L618" s="10" t="str">
        <f t="shared" si="150"/>
        <v/>
      </c>
      <c r="M618" s="10" t="str">
        <f t="shared" si="151"/>
        <v/>
      </c>
      <c r="N618" s="11" t="str">
        <f t="shared" si="152"/>
        <v/>
      </c>
      <c r="O618" s="10" t="str">
        <f t="shared" si="153"/>
        <v/>
      </c>
      <c r="P618" s="12" t="str">
        <f t="shared" si="154"/>
        <v/>
      </c>
      <c r="Q618" s="10" t="str">
        <f t="shared" si="155"/>
        <v/>
      </c>
      <c r="R618" s="13" t="str">
        <f t="shared" si="156"/>
        <v/>
      </c>
      <c r="S618" s="13" t="str">
        <f t="shared" si="157"/>
        <v/>
      </c>
      <c r="T618" s="22" t="str">
        <f>IF(R618&lt;&gt;"",VLOOKUP(P618,Constants!$D$3:$E$10,2),"")</f>
        <v/>
      </c>
    </row>
    <row r="619" spans="2:20" x14ac:dyDescent="0.25">
      <c r="B619" s="59"/>
      <c r="C619" s="59"/>
      <c r="D619" s="60"/>
      <c r="E619" s="59"/>
      <c r="F619" s="59"/>
      <c r="G619" s="59"/>
      <c r="H619" s="61"/>
      <c r="I619" s="61"/>
      <c r="J619" s="61"/>
      <c r="K619" s="62"/>
      <c r="L619" s="10" t="str">
        <f t="shared" si="150"/>
        <v/>
      </c>
      <c r="M619" s="10" t="str">
        <f t="shared" si="151"/>
        <v/>
      </c>
      <c r="N619" s="11" t="str">
        <f t="shared" si="152"/>
        <v/>
      </c>
      <c r="O619" s="10" t="str">
        <f t="shared" si="153"/>
        <v/>
      </c>
      <c r="P619" s="12" t="str">
        <f t="shared" si="154"/>
        <v/>
      </c>
      <c r="Q619" s="10" t="str">
        <f t="shared" si="155"/>
        <v/>
      </c>
      <c r="R619" s="13" t="str">
        <f t="shared" si="156"/>
        <v/>
      </c>
      <c r="S619" s="13" t="str">
        <f t="shared" si="157"/>
        <v/>
      </c>
      <c r="T619" s="22" t="str">
        <f>IF(R619&lt;&gt;"",VLOOKUP(P619,Constants!$D$3:$E$10,2),"")</f>
        <v/>
      </c>
    </row>
    <row r="620" spans="2:20" x14ac:dyDescent="0.25">
      <c r="B620" s="59"/>
      <c r="C620" s="59"/>
      <c r="D620" s="60"/>
      <c r="E620" s="59"/>
      <c r="F620" s="59"/>
      <c r="G620" s="59"/>
      <c r="H620" s="61"/>
      <c r="I620" s="61"/>
      <c r="J620" s="61"/>
      <c r="K620" s="62"/>
      <c r="L620" s="10" t="str">
        <f t="shared" si="150"/>
        <v/>
      </c>
      <c r="M620" s="10" t="str">
        <f t="shared" si="151"/>
        <v/>
      </c>
      <c r="N620" s="11" t="str">
        <f t="shared" si="152"/>
        <v/>
      </c>
      <c r="O620" s="10" t="str">
        <f t="shared" si="153"/>
        <v/>
      </c>
      <c r="P620" s="12" t="str">
        <f t="shared" si="154"/>
        <v/>
      </c>
      <c r="Q620" s="10" t="str">
        <f t="shared" si="155"/>
        <v/>
      </c>
      <c r="R620" s="13" t="str">
        <f t="shared" si="156"/>
        <v/>
      </c>
      <c r="S620" s="13" t="str">
        <f t="shared" si="157"/>
        <v/>
      </c>
      <c r="T620" s="22" t="str">
        <f>IF(R620&lt;&gt;"",VLOOKUP(P620,Constants!$D$3:$E$10,2),"")</f>
        <v/>
      </c>
    </row>
    <row r="621" spans="2:20" x14ac:dyDescent="0.25">
      <c r="B621" s="59"/>
      <c r="C621" s="59"/>
      <c r="D621" s="60"/>
      <c r="E621" s="59"/>
      <c r="F621" s="59"/>
      <c r="G621" s="59"/>
      <c r="H621" s="61"/>
      <c r="I621" s="61"/>
      <c r="J621" s="61"/>
      <c r="K621" s="62"/>
      <c r="L621" s="10" t="str">
        <f t="shared" si="150"/>
        <v/>
      </c>
      <c r="M621" s="10" t="str">
        <f t="shared" si="151"/>
        <v/>
      </c>
      <c r="N621" s="11" t="str">
        <f t="shared" si="152"/>
        <v/>
      </c>
      <c r="O621" s="10" t="str">
        <f t="shared" si="153"/>
        <v/>
      </c>
      <c r="P621" s="12" t="str">
        <f t="shared" si="154"/>
        <v/>
      </c>
      <c r="Q621" s="10" t="str">
        <f t="shared" si="155"/>
        <v/>
      </c>
      <c r="R621" s="13" t="str">
        <f t="shared" si="156"/>
        <v/>
      </c>
      <c r="S621" s="13" t="str">
        <f t="shared" si="157"/>
        <v/>
      </c>
      <c r="T621" s="22" t="str">
        <f>IF(R621&lt;&gt;"",VLOOKUP(P621,Constants!$D$3:$E$10,2),"")</f>
        <v/>
      </c>
    </row>
    <row r="622" spans="2:20" x14ac:dyDescent="0.25">
      <c r="B622" s="59"/>
      <c r="C622" s="59"/>
      <c r="D622" s="60"/>
      <c r="E622" s="59"/>
      <c r="F622" s="59"/>
      <c r="G622" s="59"/>
      <c r="H622" s="61"/>
      <c r="I622" s="61"/>
      <c r="J622" s="61"/>
      <c r="K622" s="62"/>
      <c r="L622" s="10" t="str">
        <f t="shared" si="150"/>
        <v/>
      </c>
      <c r="M622" s="10" t="str">
        <f t="shared" si="151"/>
        <v/>
      </c>
      <c r="N622" s="11" t="str">
        <f t="shared" si="152"/>
        <v/>
      </c>
      <c r="O622" s="10" t="str">
        <f t="shared" si="153"/>
        <v/>
      </c>
      <c r="P622" s="12" t="str">
        <f t="shared" si="154"/>
        <v/>
      </c>
      <c r="Q622" s="10" t="str">
        <f t="shared" si="155"/>
        <v/>
      </c>
      <c r="R622" s="13" t="str">
        <f t="shared" si="156"/>
        <v/>
      </c>
      <c r="S622" s="13" t="str">
        <f t="shared" si="157"/>
        <v/>
      </c>
      <c r="T622" s="22" t="str">
        <f>IF(R622&lt;&gt;"",VLOOKUP(P622,Constants!$D$3:$E$10,2),"")</f>
        <v/>
      </c>
    </row>
    <row r="623" spans="2:20" x14ac:dyDescent="0.25">
      <c r="B623" s="59"/>
      <c r="C623" s="59"/>
      <c r="D623" s="60"/>
      <c r="E623" s="59"/>
      <c r="F623" s="59"/>
      <c r="G623" s="59"/>
      <c r="H623" s="61"/>
      <c r="I623" s="61"/>
      <c r="J623" s="61"/>
      <c r="K623" s="62"/>
      <c r="L623" s="10" t="str">
        <f t="shared" si="150"/>
        <v/>
      </c>
      <c r="M623" s="10" t="str">
        <f t="shared" si="151"/>
        <v/>
      </c>
      <c r="N623" s="11" t="str">
        <f t="shared" si="152"/>
        <v/>
      </c>
      <c r="O623" s="10" t="str">
        <f t="shared" si="153"/>
        <v/>
      </c>
      <c r="P623" s="12" t="str">
        <f t="shared" si="154"/>
        <v/>
      </c>
      <c r="Q623" s="10" t="str">
        <f t="shared" si="155"/>
        <v/>
      </c>
      <c r="R623" s="13" t="str">
        <f t="shared" si="156"/>
        <v/>
      </c>
      <c r="S623" s="13" t="str">
        <f t="shared" si="157"/>
        <v/>
      </c>
      <c r="T623" s="22" t="str">
        <f>IF(R623&lt;&gt;"",VLOOKUP(P623,Constants!$D$3:$E$10,2),"")</f>
        <v/>
      </c>
    </row>
    <row r="624" spans="2:20" x14ac:dyDescent="0.25">
      <c r="B624" s="59"/>
      <c r="C624" s="59"/>
      <c r="D624" s="60"/>
      <c r="E624" s="59"/>
      <c r="F624" s="59"/>
      <c r="G624" s="59"/>
      <c r="H624" s="61"/>
      <c r="I624" s="61"/>
      <c r="J624" s="61"/>
      <c r="K624" s="62"/>
      <c r="L624" s="10" t="str">
        <f t="shared" si="150"/>
        <v/>
      </c>
      <c r="M624" s="10" t="str">
        <f t="shared" si="151"/>
        <v/>
      </c>
      <c r="N624" s="11" t="str">
        <f t="shared" si="152"/>
        <v/>
      </c>
      <c r="O624" s="10" t="str">
        <f t="shared" si="153"/>
        <v/>
      </c>
      <c r="P624" s="12" t="str">
        <f t="shared" si="154"/>
        <v/>
      </c>
      <c r="Q624" s="10" t="str">
        <f t="shared" si="155"/>
        <v/>
      </c>
      <c r="R624" s="13" t="str">
        <f t="shared" si="156"/>
        <v/>
      </c>
      <c r="S624" s="13" t="str">
        <f t="shared" si="157"/>
        <v/>
      </c>
      <c r="T624" s="22" t="str">
        <f>IF(R624&lt;&gt;"",VLOOKUP(P624,Constants!$D$3:$E$10,2),"")</f>
        <v/>
      </c>
    </row>
    <row r="625" spans="2:20" x14ac:dyDescent="0.25">
      <c r="B625" s="59"/>
      <c r="C625" s="59"/>
      <c r="D625" s="60"/>
      <c r="E625" s="59"/>
      <c r="F625" s="59"/>
      <c r="G625" s="59"/>
      <c r="H625" s="61"/>
      <c r="I625" s="61"/>
      <c r="J625" s="61"/>
      <c r="K625" s="62"/>
      <c r="L625" s="10" t="str">
        <f t="shared" si="150"/>
        <v/>
      </c>
      <c r="M625" s="10" t="str">
        <f t="shared" si="151"/>
        <v/>
      </c>
      <c r="N625" s="11" t="str">
        <f t="shared" si="152"/>
        <v/>
      </c>
      <c r="O625" s="10" t="str">
        <f t="shared" si="153"/>
        <v/>
      </c>
      <c r="P625" s="12" t="str">
        <f t="shared" si="154"/>
        <v/>
      </c>
      <c r="Q625" s="10" t="str">
        <f t="shared" si="155"/>
        <v/>
      </c>
      <c r="R625" s="13" t="str">
        <f t="shared" si="156"/>
        <v/>
      </c>
      <c r="S625" s="13" t="str">
        <f t="shared" si="157"/>
        <v/>
      </c>
      <c r="T625" s="22" t="str">
        <f>IF(R625&lt;&gt;"",VLOOKUP(P625,Constants!$D$3:$E$10,2),"")</f>
        <v/>
      </c>
    </row>
    <row r="626" spans="2:20" x14ac:dyDescent="0.25">
      <c r="B626" s="59"/>
      <c r="C626" s="59"/>
      <c r="D626" s="60"/>
      <c r="E626" s="59"/>
      <c r="F626" s="59"/>
      <c r="G626" s="59"/>
      <c r="H626" s="61"/>
      <c r="I626" s="61"/>
      <c r="J626" s="61"/>
      <c r="K626" s="62"/>
      <c r="L626" s="10" t="str">
        <f t="shared" si="150"/>
        <v/>
      </c>
      <c r="M626" s="10" t="str">
        <f t="shared" si="151"/>
        <v/>
      </c>
      <c r="N626" s="11" t="str">
        <f t="shared" si="152"/>
        <v/>
      </c>
      <c r="O626" s="10" t="str">
        <f t="shared" si="153"/>
        <v/>
      </c>
      <c r="P626" s="12" t="str">
        <f t="shared" si="154"/>
        <v/>
      </c>
      <c r="Q626" s="10" t="str">
        <f t="shared" si="155"/>
        <v/>
      </c>
      <c r="R626" s="13" t="str">
        <f t="shared" si="156"/>
        <v/>
      </c>
      <c r="S626" s="13" t="str">
        <f t="shared" si="157"/>
        <v/>
      </c>
      <c r="T626" s="22" t="str">
        <f>IF(R626&lt;&gt;"",VLOOKUP(P626,Constants!$D$3:$E$10,2),"")</f>
        <v/>
      </c>
    </row>
    <row r="627" spans="2:20" x14ac:dyDescent="0.25">
      <c r="B627" s="59"/>
      <c r="C627" s="59"/>
      <c r="D627" s="60"/>
      <c r="E627" s="59"/>
      <c r="F627" s="59"/>
      <c r="G627" s="59"/>
      <c r="H627" s="61"/>
      <c r="I627" s="61"/>
      <c r="J627" s="61"/>
      <c r="K627" s="62"/>
      <c r="L627" s="10" t="str">
        <f t="shared" si="150"/>
        <v/>
      </c>
      <c r="M627" s="10" t="str">
        <f t="shared" si="151"/>
        <v/>
      </c>
      <c r="N627" s="11" t="str">
        <f t="shared" si="152"/>
        <v/>
      </c>
      <c r="O627" s="10" t="str">
        <f t="shared" si="153"/>
        <v/>
      </c>
      <c r="P627" s="12" t="str">
        <f t="shared" si="154"/>
        <v/>
      </c>
      <c r="Q627" s="10" t="str">
        <f t="shared" si="155"/>
        <v/>
      </c>
      <c r="R627" s="13" t="str">
        <f t="shared" si="156"/>
        <v/>
      </c>
      <c r="S627" s="13" t="str">
        <f t="shared" si="157"/>
        <v/>
      </c>
      <c r="T627" s="22" t="str">
        <f>IF(R627&lt;&gt;"",VLOOKUP(P627,Constants!$D$3:$E$10,2),"")</f>
        <v/>
      </c>
    </row>
    <row r="628" spans="2:20" x14ac:dyDescent="0.25">
      <c r="B628" s="59"/>
      <c r="C628" s="59"/>
      <c r="D628" s="60"/>
      <c r="E628" s="59"/>
      <c r="F628" s="59"/>
      <c r="G628" s="59"/>
      <c r="H628" s="61"/>
      <c r="I628" s="61"/>
      <c r="J628" s="61"/>
      <c r="K628" s="62"/>
      <c r="L628" s="10" t="str">
        <f t="shared" si="150"/>
        <v/>
      </c>
      <c r="M628" s="10" t="str">
        <f t="shared" si="151"/>
        <v/>
      </c>
      <c r="N628" s="11" t="str">
        <f t="shared" si="152"/>
        <v/>
      </c>
      <c r="O628" s="10" t="str">
        <f t="shared" si="153"/>
        <v/>
      </c>
      <c r="P628" s="12" t="str">
        <f t="shared" si="154"/>
        <v/>
      </c>
      <c r="Q628" s="10" t="str">
        <f t="shared" si="155"/>
        <v/>
      </c>
      <c r="R628" s="13" t="str">
        <f t="shared" si="156"/>
        <v/>
      </c>
      <c r="S628" s="13" t="str">
        <f t="shared" si="157"/>
        <v/>
      </c>
      <c r="T628" s="22" t="str">
        <f>IF(R628&lt;&gt;"",VLOOKUP(P628,Constants!$D$3:$E$10,2),"")</f>
        <v/>
      </c>
    </row>
    <row r="629" spans="2:20" x14ac:dyDescent="0.25">
      <c r="B629" s="59"/>
      <c r="C629" s="59"/>
      <c r="D629" s="60"/>
      <c r="E629" s="59"/>
      <c r="F629" s="59"/>
      <c r="G629" s="59"/>
      <c r="H629" s="61"/>
      <c r="I629" s="61"/>
      <c r="J629" s="61"/>
      <c r="K629" s="62"/>
      <c r="L629" s="10" t="str">
        <f t="shared" si="150"/>
        <v/>
      </c>
      <c r="M629" s="10" t="str">
        <f t="shared" si="151"/>
        <v/>
      </c>
      <c r="N629" s="11" t="str">
        <f t="shared" si="152"/>
        <v/>
      </c>
      <c r="O629" s="10" t="str">
        <f t="shared" si="153"/>
        <v/>
      </c>
      <c r="P629" s="12" t="str">
        <f t="shared" si="154"/>
        <v/>
      </c>
      <c r="Q629" s="10" t="str">
        <f t="shared" si="155"/>
        <v/>
      </c>
      <c r="R629" s="13" t="str">
        <f t="shared" si="156"/>
        <v/>
      </c>
      <c r="S629" s="13" t="str">
        <f t="shared" si="157"/>
        <v/>
      </c>
      <c r="T629" s="22" t="str">
        <f>IF(R629&lt;&gt;"",VLOOKUP(P629,Constants!$D$3:$E$10,2),"")</f>
        <v/>
      </c>
    </row>
    <row r="630" spans="2:20" x14ac:dyDescent="0.25">
      <c r="B630" s="59"/>
      <c r="C630" s="59"/>
      <c r="D630" s="60"/>
      <c r="E630" s="59"/>
      <c r="F630" s="59"/>
      <c r="G630" s="59"/>
      <c r="H630" s="61"/>
      <c r="I630" s="61"/>
      <c r="J630" s="61"/>
      <c r="K630" s="62"/>
      <c r="L630" s="10" t="str">
        <f t="shared" si="150"/>
        <v/>
      </c>
      <c r="M630" s="10" t="str">
        <f t="shared" si="151"/>
        <v/>
      </c>
      <c r="N630" s="11" t="str">
        <f t="shared" si="152"/>
        <v/>
      </c>
      <c r="O630" s="10" t="str">
        <f t="shared" si="153"/>
        <v/>
      </c>
      <c r="P630" s="12" t="str">
        <f t="shared" si="154"/>
        <v/>
      </c>
      <c r="Q630" s="10" t="str">
        <f t="shared" si="155"/>
        <v/>
      </c>
      <c r="R630" s="13" t="str">
        <f t="shared" si="156"/>
        <v/>
      </c>
      <c r="S630" s="13" t="str">
        <f t="shared" si="157"/>
        <v/>
      </c>
      <c r="T630" s="22" t="str">
        <f>IF(R630&lt;&gt;"",VLOOKUP(P630,Constants!$D$3:$E$10,2),"")</f>
        <v/>
      </c>
    </row>
    <row r="631" spans="2:20" x14ac:dyDescent="0.25">
      <c r="B631" s="59"/>
      <c r="C631" s="59"/>
      <c r="D631" s="60"/>
      <c r="E631" s="59"/>
      <c r="F631" s="59"/>
      <c r="G631" s="59"/>
      <c r="H631" s="61"/>
      <c r="I631" s="61"/>
      <c r="J631" s="61"/>
      <c r="K631" s="62"/>
      <c r="L631" s="10" t="str">
        <f t="shared" si="150"/>
        <v/>
      </c>
      <c r="M631" s="10" t="str">
        <f t="shared" si="151"/>
        <v/>
      </c>
      <c r="N631" s="11" t="str">
        <f t="shared" si="152"/>
        <v/>
      </c>
      <c r="O631" s="10" t="str">
        <f t="shared" si="153"/>
        <v/>
      </c>
      <c r="P631" s="12" t="str">
        <f t="shared" si="154"/>
        <v/>
      </c>
      <c r="Q631" s="10" t="str">
        <f t="shared" si="155"/>
        <v/>
      </c>
      <c r="R631" s="13" t="str">
        <f t="shared" si="156"/>
        <v/>
      </c>
      <c r="S631" s="13" t="str">
        <f t="shared" si="157"/>
        <v/>
      </c>
      <c r="T631" s="22" t="str">
        <f>IF(R631&lt;&gt;"",VLOOKUP(P631,Constants!$D$3:$E$10,2),"")</f>
        <v/>
      </c>
    </row>
    <row r="632" spans="2:20" x14ac:dyDescent="0.25">
      <c r="B632" s="59"/>
      <c r="C632" s="59"/>
      <c r="D632" s="60"/>
      <c r="E632" s="59"/>
      <c r="F632" s="59"/>
      <c r="G632" s="59"/>
      <c r="H632" s="61"/>
      <c r="I632" s="61"/>
      <c r="J632" s="61"/>
      <c r="K632" s="62"/>
      <c r="L632" s="10" t="str">
        <f t="shared" si="150"/>
        <v/>
      </c>
      <c r="M632" s="10" t="str">
        <f t="shared" si="151"/>
        <v/>
      </c>
      <c r="N632" s="11" t="str">
        <f t="shared" si="152"/>
        <v/>
      </c>
      <c r="O632" s="10" t="str">
        <f t="shared" si="153"/>
        <v/>
      </c>
      <c r="P632" s="12" t="str">
        <f t="shared" si="154"/>
        <v/>
      </c>
      <c r="Q632" s="10" t="str">
        <f t="shared" si="155"/>
        <v/>
      </c>
      <c r="R632" s="13" t="str">
        <f t="shared" si="156"/>
        <v/>
      </c>
      <c r="S632" s="13" t="str">
        <f t="shared" si="157"/>
        <v/>
      </c>
      <c r="T632" s="22" t="str">
        <f>IF(R632&lt;&gt;"",VLOOKUP(P632,Constants!$D$3:$E$10,2),"")</f>
        <v/>
      </c>
    </row>
    <row r="633" spans="2:20" x14ac:dyDescent="0.25">
      <c r="B633" s="59"/>
      <c r="C633" s="59"/>
      <c r="D633" s="60"/>
      <c r="E633" s="59"/>
      <c r="F633" s="59"/>
      <c r="G633" s="59"/>
      <c r="H633" s="61"/>
      <c r="I633" s="61"/>
      <c r="J633" s="61"/>
      <c r="K633" s="62"/>
      <c r="L633" s="10" t="str">
        <f t="shared" si="150"/>
        <v/>
      </c>
      <c r="M633" s="10" t="str">
        <f t="shared" si="151"/>
        <v/>
      </c>
      <c r="N633" s="11" t="str">
        <f t="shared" si="152"/>
        <v/>
      </c>
      <c r="O633" s="10" t="str">
        <f t="shared" si="153"/>
        <v/>
      </c>
      <c r="P633" s="12" t="str">
        <f t="shared" si="154"/>
        <v/>
      </c>
      <c r="Q633" s="10" t="str">
        <f t="shared" si="155"/>
        <v/>
      </c>
      <c r="R633" s="13" t="str">
        <f t="shared" si="156"/>
        <v/>
      </c>
      <c r="S633" s="13" t="str">
        <f t="shared" si="157"/>
        <v/>
      </c>
      <c r="T633" s="22" t="str">
        <f>IF(R633&lt;&gt;"",VLOOKUP(P633,Constants!$D$3:$E$10,2),"")</f>
        <v/>
      </c>
    </row>
    <row r="634" spans="2:20" x14ac:dyDescent="0.25">
      <c r="B634" s="59"/>
      <c r="C634" s="59"/>
      <c r="D634" s="60"/>
      <c r="E634" s="59"/>
      <c r="F634" s="59"/>
      <c r="G634" s="59"/>
      <c r="H634" s="61"/>
      <c r="I634" s="61"/>
      <c r="J634" s="61"/>
      <c r="K634" s="62"/>
      <c r="L634" s="10" t="str">
        <f t="shared" si="150"/>
        <v/>
      </c>
      <c r="M634" s="10" t="str">
        <f t="shared" si="151"/>
        <v/>
      </c>
      <c r="N634" s="11" t="str">
        <f t="shared" si="152"/>
        <v/>
      </c>
      <c r="O634" s="10" t="str">
        <f t="shared" si="153"/>
        <v/>
      </c>
      <c r="P634" s="12" t="str">
        <f t="shared" si="154"/>
        <v/>
      </c>
      <c r="Q634" s="10" t="str">
        <f t="shared" si="155"/>
        <v/>
      </c>
      <c r="R634" s="13" t="str">
        <f t="shared" si="156"/>
        <v/>
      </c>
      <c r="S634" s="13" t="str">
        <f t="shared" si="157"/>
        <v/>
      </c>
      <c r="T634" s="22" t="str">
        <f>IF(R634&lt;&gt;"",VLOOKUP(P634,Constants!$D$3:$E$10,2),"")</f>
        <v/>
      </c>
    </row>
    <row r="635" spans="2:20" x14ac:dyDescent="0.25">
      <c r="B635" s="59"/>
      <c r="C635" s="59"/>
      <c r="D635" s="60"/>
      <c r="E635" s="59"/>
      <c r="F635" s="59"/>
      <c r="G635" s="59"/>
      <c r="H635" s="61"/>
      <c r="I635" s="61"/>
      <c r="J635" s="61"/>
      <c r="K635" s="62"/>
      <c r="L635" s="10" t="str">
        <f t="shared" si="150"/>
        <v/>
      </c>
      <c r="M635" s="10" t="str">
        <f t="shared" si="151"/>
        <v/>
      </c>
      <c r="N635" s="11" t="str">
        <f t="shared" si="152"/>
        <v/>
      </c>
      <c r="O635" s="10" t="str">
        <f t="shared" si="153"/>
        <v/>
      </c>
      <c r="P635" s="12" t="str">
        <f t="shared" si="154"/>
        <v/>
      </c>
      <c r="Q635" s="10" t="str">
        <f t="shared" si="155"/>
        <v/>
      </c>
      <c r="R635" s="13" t="str">
        <f t="shared" si="156"/>
        <v/>
      </c>
      <c r="S635" s="13" t="str">
        <f t="shared" si="157"/>
        <v/>
      </c>
      <c r="T635" s="22" t="str">
        <f>IF(R635&lt;&gt;"",VLOOKUP(P635,Constants!$D$3:$E$10,2),"")</f>
        <v/>
      </c>
    </row>
    <row r="636" spans="2:20" x14ac:dyDescent="0.25">
      <c r="B636" s="59"/>
      <c r="C636" s="59"/>
      <c r="D636" s="60"/>
      <c r="E636" s="59"/>
      <c r="F636" s="59"/>
      <c r="G636" s="59"/>
      <c r="H636" s="61"/>
      <c r="I636" s="61"/>
      <c r="J636" s="61"/>
      <c r="K636" s="62"/>
      <c r="L636" s="10" t="str">
        <f t="shared" si="150"/>
        <v/>
      </c>
      <c r="M636" s="10" t="str">
        <f t="shared" si="151"/>
        <v/>
      </c>
      <c r="N636" s="11" t="str">
        <f t="shared" si="152"/>
        <v/>
      </c>
      <c r="O636" s="10" t="str">
        <f t="shared" si="153"/>
        <v/>
      </c>
      <c r="P636" s="12" t="str">
        <f t="shared" si="154"/>
        <v/>
      </c>
      <c r="Q636" s="10" t="str">
        <f t="shared" si="155"/>
        <v/>
      </c>
      <c r="R636" s="13" t="str">
        <f t="shared" si="156"/>
        <v/>
      </c>
      <c r="S636" s="13" t="str">
        <f t="shared" si="157"/>
        <v/>
      </c>
      <c r="T636" s="22" t="str">
        <f>IF(R636&lt;&gt;"",VLOOKUP(P636,Constants!$D$3:$E$10,2),"")</f>
        <v/>
      </c>
    </row>
    <row r="637" spans="2:20" x14ac:dyDescent="0.25">
      <c r="B637" s="59"/>
      <c r="C637" s="59"/>
      <c r="D637" s="60"/>
      <c r="E637" s="59"/>
      <c r="F637" s="59"/>
      <c r="G637" s="59"/>
      <c r="H637" s="61"/>
      <c r="I637" s="61"/>
      <c r="J637" s="61"/>
      <c r="K637" s="62"/>
      <c r="L637" s="10" t="str">
        <f t="shared" si="150"/>
        <v/>
      </c>
      <c r="M637" s="10" t="str">
        <f t="shared" si="151"/>
        <v/>
      </c>
      <c r="N637" s="11" t="str">
        <f t="shared" si="152"/>
        <v/>
      </c>
      <c r="O637" s="10" t="str">
        <f t="shared" si="153"/>
        <v/>
      </c>
      <c r="P637" s="12" t="str">
        <f t="shared" si="154"/>
        <v/>
      </c>
      <c r="Q637" s="10" t="str">
        <f t="shared" si="155"/>
        <v/>
      </c>
      <c r="R637" s="13" t="str">
        <f t="shared" si="156"/>
        <v/>
      </c>
      <c r="S637" s="13" t="str">
        <f t="shared" si="157"/>
        <v/>
      </c>
      <c r="T637" s="22" t="str">
        <f>IF(R637&lt;&gt;"",VLOOKUP(P637,Constants!$D$3:$E$10,2),"")</f>
        <v/>
      </c>
    </row>
    <row r="638" spans="2:20" x14ac:dyDescent="0.25">
      <c r="B638" s="59"/>
      <c r="C638" s="59"/>
      <c r="D638" s="60"/>
      <c r="E638" s="59"/>
      <c r="F638" s="59"/>
      <c r="G638" s="59"/>
      <c r="H638" s="61"/>
      <c r="I638" s="61"/>
      <c r="J638" s="61"/>
      <c r="K638" s="62"/>
      <c r="L638" s="10" t="str">
        <f t="shared" si="150"/>
        <v/>
      </c>
      <c r="M638" s="10" t="str">
        <f t="shared" si="151"/>
        <v/>
      </c>
      <c r="N638" s="11" t="str">
        <f t="shared" si="152"/>
        <v/>
      </c>
      <c r="O638" s="10" t="str">
        <f t="shared" si="153"/>
        <v/>
      </c>
      <c r="P638" s="12" t="str">
        <f t="shared" si="154"/>
        <v/>
      </c>
      <c r="Q638" s="10" t="str">
        <f t="shared" si="155"/>
        <v/>
      </c>
      <c r="R638" s="13" t="str">
        <f t="shared" si="156"/>
        <v/>
      </c>
      <c r="S638" s="13" t="str">
        <f t="shared" si="157"/>
        <v/>
      </c>
      <c r="T638" s="22" t="str">
        <f>IF(R638&lt;&gt;"",VLOOKUP(P638,Constants!$D$3:$E$10,2),"")</f>
        <v/>
      </c>
    </row>
    <row r="639" spans="2:20" x14ac:dyDescent="0.25">
      <c r="B639" s="59"/>
      <c r="C639" s="59"/>
      <c r="D639" s="60"/>
      <c r="E639" s="59"/>
      <c r="F639" s="59"/>
      <c r="G639" s="59"/>
      <c r="H639" s="61"/>
      <c r="I639" s="61"/>
      <c r="J639" s="61"/>
      <c r="K639" s="62"/>
      <c r="L639" s="10" t="str">
        <f t="shared" si="150"/>
        <v/>
      </c>
      <c r="M639" s="10" t="str">
        <f t="shared" si="151"/>
        <v/>
      </c>
      <c r="N639" s="11" t="str">
        <f t="shared" si="152"/>
        <v/>
      </c>
      <c r="O639" s="10" t="str">
        <f t="shared" si="153"/>
        <v/>
      </c>
      <c r="P639" s="12" t="str">
        <f t="shared" si="154"/>
        <v/>
      </c>
      <c r="Q639" s="10" t="str">
        <f t="shared" si="155"/>
        <v/>
      </c>
      <c r="R639" s="13" t="str">
        <f t="shared" si="156"/>
        <v/>
      </c>
      <c r="S639" s="13" t="str">
        <f t="shared" si="157"/>
        <v/>
      </c>
      <c r="T639" s="22" t="str">
        <f>IF(R639&lt;&gt;"",VLOOKUP(P639,Constants!$D$3:$E$10,2),"")</f>
        <v/>
      </c>
    </row>
    <row r="640" spans="2:20" x14ac:dyDescent="0.25">
      <c r="B640" s="59"/>
      <c r="C640" s="59"/>
      <c r="D640" s="60"/>
      <c r="E640" s="59"/>
      <c r="F640" s="59"/>
      <c r="G640" s="59"/>
      <c r="H640" s="61"/>
      <c r="I640" s="61"/>
      <c r="J640" s="61"/>
      <c r="K640" s="62"/>
      <c r="L640" s="10" t="str">
        <f t="shared" si="150"/>
        <v/>
      </c>
      <c r="M640" s="10" t="str">
        <f t="shared" si="151"/>
        <v/>
      </c>
      <c r="N640" s="11" t="str">
        <f t="shared" si="152"/>
        <v/>
      </c>
      <c r="O640" s="10" t="str">
        <f t="shared" si="153"/>
        <v/>
      </c>
      <c r="P640" s="12" t="str">
        <f t="shared" si="154"/>
        <v/>
      </c>
      <c r="Q640" s="10" t="str">
        <f t="shared" si="155"/>
        <v/>
      </c>
      <c r="R640" s="13" t="str">
        <f t="shared" si="156"/>
        <v/>
      </c>
      <c r="S640" s="13" t="str">
        <f t="shared" si="157"/>
        <v/>
      </c>
      <c r="T640" s="22" t="str">
        <f>IF(R640&lt;&gt;"",VLOOKUP(P640,Constants!$D$3:$E$10,2),"")</f>
        <v/>
      </c>
    </row>
    <row r="641" spans="2:20" x14ac:dyDescent="0.25">
      <c r="B641" s="59"/>
      <c r="C641" s="59"/>
      <c r="D641" s="60"/>
      <c r="E641" s="59"/>
      <c r="F641" s="59"/>
      <c r="G641" s="59"/>
      <c r="H641" s="61"/>
      <c r="I641" s="61"/>
      <c r="J641" s="61"/>
      <c r="K641" s="62"/>
      <c r="L641" s="10" t="str">
        <f t="shared" si="150"/>
        <v/>
      </c>
      <c r="M641" s="10" t="str">
        <f t="shared" si="151"/>
        <v/>
      </c>
      <c r="N641" s="11" t="str">
        <f t="shared" si="152"/>
        <v/>
      </c>
      <c r="O641" s="10" t="str">
        <f t="shared" si="153"/>
        <v/>
      </c>
      <c r="P641" s="12" t="str">
        <f t="shared" si="154"/>
        <v/>
      </c>
      <c r="Q641" s="10" t="str">
        <f t="shared" si="155"/>
        <v/>
      </c>
      <c r="R641" s="13" t="str">
        <f t="shared" si="156"/>
        <v/>
      </c>
      <c r="S641" s="13" t="str">
        <f t="shared" si="157"/>
        <v/>
      </c>
      <c r="T641" s="22" t="str">
        <f>IF(R641&lt;&gt;"",VLOOKUP(P641,Constants!$D$3:$E$10,2),"")</f>
        <v/>
      </c>
    </row>
    <row r="642" spans="2:20" x14ac:dyDescent="0.25">
      <c r="B642" s="59"/>
      <c r="C642" s="59"/>
      <c r="D642" s="60"/>
      <c r="E642" s="59"/>
      <c r="F642" s="59"/>
      <c r="G642" s="59"/>
      <c r="H642" s="61"/>
      <c r="I642" s="61"/>
      <c r="J642" s="61"/>
      <c r="K642" s="62"/>
      <c r="L642" s="10" t="str">
        <f t="shared" si="150"/>
        <v/>
      </c>
      <c r="M642" s="10" t="str">
        <f t="shared" si="151"/>
        <v/>
      </c>
      <c r="N642" s="11" t="str">
        <f t="shared" si="152"/>
        <v/>
      </c>
      <c r="O642" s="10" t="str">
        <f t="shared" si="153"/>
        <v/>
      </c>
      <c r="P642" s="12" t="str">
        <f t="shared" si="154"/>
        <v/>
      </c>
      <c r="Q642" s="10" t="str">
        <f t="shared" si="155"/>
        <v/>
      </c>
      <c r="R642" s="13" t="str">
        <f t="shared" si="156"/>
        <v/>
      </c>
      <c r="S642" s="13" t="str">
        <f t="shared" si="157"/>
        <v/>
      </c>
      <c r="T642" s="22" t="str">
        <f>IF(R642&lt;&gt;"",VLOOKUP(P642,Constants!$D$3:$E$10,2),"")</f>
        <v/>
      </c>
    </row>
    <row r="643" spans="2:20" x14ac:dyDescent="0.25">
      <c r="B643" s="59"/>
      <c r="C643" s="59"/>
      <c r="D643" s="60"/>
      <c r="E643" s="59"/>
      <c r="F643" s="59"/>
      <c r="G643" s="59"/>
      <c r="H643" s="61"/>
      <c r="I643" s="61"/>
      <c r="J643" s="61"/>
      <c r="K643" s="62"/>
      <c r="L643" s="10" t="str">
        <f t="shared" si="150"/>
        <v/>
      </c>
      <c r="M643" s="10" t="str">
        <f t="shared" si="151"/>
        <v/>
      </c>
      <c r="N643" s="11" t="str">
        <f t="shared" si="152"/>
        <v/>
      </c>
      <c r="O643" s="10" t="str">
        <f t="shared" si="153"/>
        <v/>
      </c>
      <c r="P643" s="12" t="str">
        <f t="shared" si="154"/>
        <v/>
      </c>
      <c r="Q643" s="10" t="str">
        <f t="shared" si="155"/>
        <v/>
      </c>
      <c r="R643" s="13" t="str">
        <f t="shared" si="156"/>
        <v/>
      </c>
      <c r="S643" s="13" t="str">
        <f t="shared" si="157"/>
        <v/>
      </c>
      <c r="T643" s="22" t="str">
        <f>IF(R643&lt;&gt;"",VLOOKUP(P643,Constants!$D$3:$E$10,2),"")</f>
        <v/>
      </c>
    </row>
    <row r="644" spans="2:20" x14ac:dyDescent="0.25">
      <c r="B644" s="59"/>
      <c r="C644" s="59"/>
      <c r="D644" s="60"/>
      <c r="E644" s="59"/>
      <c r="F644" s="59"/>
      <c r="G644" s="59"/>
      <c r="H644" s="61"/>
      <c r="I644" s="61"/>
      <c r="J644" s="61"/>
      <c r="K644" s="62"/>
      <c r="L644" s="10" t="str">
        <f t="shared" si="150"/>
        <v/>
      </c>
      <c r="M644" s="10" t="str">
        <f t="shared" si="151"/>
        <v/>
      </c>
      <c r="N644" s="11" t="str">
        <f t="shared" si="152"/>
        <v/>
      </c>
      <c r="O644" s="10" t="str">
        <f t="shared" si="153"/>
        <v/>
      </c>
      <c r="P644" s="12" t="str">
        <f t="shared" si="154"/>
        <v/>
      </c>
      <c r="Q644" s="10" t="str">
        <f t="shared" si="155"/>
        <v/>
      </c>
      <c r="R644" s="13" t="str">
        <f t="shared" si="156"/>
        <v/>
      </c>
      <c r="S644" s="13" t="str">
        <f t="shared" si="157"/>
        <v/>
      </c>
      <c r="T644" s="22" t="str">
        <f>IF(R644&lt;&gt;"",VLOOKUP(P644,Constants!$D$3:$E$10,2),"")</f>
        <v/>
      </c>
    </row>
    <row r="645" spans="2:20" x14ac:dyDescent="0.25">
      <c r="B645" s="59"/>
      <c r="C645" s="59"/>
      <c r="D645" s="60"/>
      <c r="E645" s="59"/>
      <c r="F645" s="59"/>
      <c r="G645" s="59"/>
      <c r="H645" s="61"/>
      <c r="I645" s="61"/>
      <c r="J645" s="61"/>
      <c r="K645" s="62"/>
      <c r="L645" s="10" t="str">
        <f t="shared" si="150"/>
        <v/>
      </c>
      <c r="M645" s="10" t="str">
        <f t="shared" si="151"/>
        <v/>
      </c>
      <c r="N645" s="11" t="str">
        <f t="shared" si="152"/>
        <v/>
      </c>
      <c r="O645" s="10" t="str">
        <f t="shared" si="153"/>
        <v/>
      </c>
      <c r="P645" s="12" t="str">
        <f t="shared" si="154"/>
        <v/>
      </c>
      <c r="Q645" s="10" t="str">
        <f t="shared" si="155"/>
        <v/>
      </c>
      <c r="R645" s="13" t="str">
        <f t="shared" si="156"/>
        <v/>
      </c>
      <c r="S645" s="13" t="str">
        <f t="shared" si="157"/>
        <v/>
      </c>
      <c r="T645" s="22" t="str">
        <f>IF(R645&lt;&gt;"",VLOOKUP(P645,Constants!$D$3:$E$10,2),"")</f>
        <v/>
      </c>
    </row>
    <row r="646" spans="2:20" x14ac:dyDescent="0.25">
      <c r="B646" s="59"/>
      <c r="C646" s="59"/>
      <c r="D646" s="60"/>
      <c r="E646" s="59"/>
      <c r="F646" s="59"/>
      <c r="G646" s="59"/>
      <c r="H646" s="61"/>
      <c r="I646" s="61"/>
      <c r="J646" s="61"/>
      <c r="K646" s="62"/>
      <c r="L646" s="10" t="str">
        <f t="shared" si="150"/>
        <v/>
      </c>
      <c r="M646" s="10" t="str">
        <f t="shared" si="151"/>
        <v/>
      </c>
      <c r="N646" s="11" t="str">
        <f t="shared" si="152"/>
        <v/>
      </c>
      <c r="O646" s="10" t="str">
        <f t="shared" si="153"/>
        <v/>
      </c>
      <c r="P646" s="12" t="str">
        <f t="shared" si="154"/>
        <v/>
      </c>
      <c r="Q646" s="10" t="str">
        <f t="shared" si="155"/>
        <v/>
      </c>
      <c r="R646" s="13" t="str">
        <f t="shared" si="156"/>
        <v/>
      </c>
      <c r="S646" s="13" t="str">
        <f t="shared" si="157"/>
        <v/>
      </c>
      <c r="T646" s="22" t="str">
        <f>IF(R646&lt;&gt;"",VLOOKUP(P646,Constants!$D$3:$E$10,2),"")</f>
        <v/>
      </c>
    </row>
    <row r="647" spans="2:20" x14ac:dyDescent="0.25">
      <c r="B647" s="59"/>
      <c r="C647" s="59"/>
      <c r="D647" s="60"/>
      <c r="E647" s="59"/>
      <c r="F647" s="59"/>
      <c r="G647" s="59"/>
      <c r="H647" s="61"/>
      <c r="I647" s="61"/>
      <c r="J647" s="61"/>
      <c r="K647" s="62"/>
      <c r="L647" s="10" t="str">
        <f t="shared" si="150"/>
        <v/>
      </c>
      <c r="M647" s="10" t="str">
        <f t="shared" si="151"/>
        <v/>
      </c>
      <c r="N647" s="11" t="str">
        <f t="shared" si="152"/>
        <v/>
      </c>
      <c r="O647" s="10" t="str">
        <f t="shared" si="153"/>
        <v/>
      </c>
      <c r="P647" s="12" t="str">
        <f t="shared" si="154"/>
        <v/>
      </c>
      <c r="Q647" s="10" t="str">
        <f t="shared" si="155"/>
        <v/>
      </c>
      <c r="R647" s="13" t="str">
        <f t="shared" si="156"/>
        <v/>
      </c>
      <c r="S647" s="13" t="str">
        <f t="shared" si="157"/>
        <v/>
      </c>
      <c r="T647" s="22" t="str">
        <f>IF(R647&lt;&gt;"",VLOOKUP(P647,Constants!$D$3:$E$10,2),"")</f>
        <v/>
      </c>
    </row>
    <row r="648" spans="2:20" x14ac:dyDescent="0.25">
      <c r="B648" s="59"/>
      <c r="C648" s="59"/>
      <c r="D648" s="60"/>
      <c r="E648" s="59"/>
      <c r="F648" s="59"/>
      <c r="G648" s="59"/>
      <c r="H648" s="61"/>
      <c r="I648" s="61"/>
      <c r="J648" s="61"/>
      <c r="K648" s="62"/>
      <c r="L648" s="10" t="str">
        <f t="shared" si="150"/>
        <v/>
      </c>
      <c r="M648" s="10" t="str">
        <f t="shared" si="151"/>
        <v/>
      </c>
      <c r="N648" s="11" t="str">
        <f t="shared" si="152"/>
        <v/>
      </c>
      <c r="O648" s="10" t="str">
        <f t="shared" si="153"/>
        <v/>
      </c>
      <c r="P648" s="12" t="str">
        <f t="shared" si="154"/>
        <v/>
      </c>
      <c r="Q648" s="10" t="str">
        <f t="shared" si="155"/>
        <v/>
      </c>
      <c r="R648" s="13" t="str">
        <f t="shared" si="156"/>
        <v/>
      </c>
      <c r="S648" s="13" t="str">
        <f t="shared" si="157"/>
        <v/>
      </c>
      <c r="T648" s="22" t="str">
        <f>IF(R648&lt;&gt;"",VLOOKUP(P648,Constants!$D$3:$E$10,2),"")</f>
        <v/>
      </c>
    </row>
    <row r="649" spans="2:20" x14ac:dyDescent="0.25">
      <c r="B649" s="59"/>
      <c r="C649" s="59"/>
      <c r="D649" s="60"/>
      <c r="E649" s="59"/>
      <c r="F649" s="59"/>
      <c r="G649" s="59"/>
      <c r="H649" s="61"/>
      <c r="I649" s="61"/>
      <c r="J649" s="61"/>
      <c r="K649" s="62"/>
      <c r="L649" s="10" t="str">
        <f t="shared" si="150"/>
        <v/>
      </c>
      <c r="M649" s="10" t="str">
        <f t="shared" si="151"/>
        <v/>
      </c>
      <c r="N649" s="11" t="str">
        <f t="shared" si="152"/>
        <v/>
      </c>
      <c r="O649" s="10" t="str">
        <f t="shared" si="153"/>
        <v/>
      </c>
      <c r="P649" s="12" t="str">
        <f t="shared" si="154"/>
        <v/>
      </c>
      <c r="Q649" s="10" t="str">
        <f t="shared" si="155"/>
        <v/>
      </c>
      <c r="R649" s="13" t="str">
        <f t="shared" si="156"/>
        <v/>
      </c>
      <c r="S649" s="13" t="str">
        <f t="shared" si="157"/>
        <v/>
      </c>
      <c r="T649" s="22" t="str">
        <f>IF(R649&lt;&gt;"",VLOOKUP(P649,Constants!$D$3:$E$10,2),"")</f>
        <v/>
      </c>
    </row>
    <row r="650" spans="2:20" x14ac:dyDescent="0.25">
      <c r="B650" s="59"/>
      <c r="C650" s="59"/>
      <c r="D650" s="60"/>
      <c r="E650" s="59"/>
      <c r="F650" s="59"/>
      <c r="G650" s="59"/>
      <c r="H650" s="61"/>
      <c r="I650" s="61"/>
      <c r="J650" s="61"/>
      <c r="K650" s="62"/>
      <c r="L650" s="10" t="str">
        <f t="shared" si="150"/>
        <v/>
      </c>
      <c r="M650" s="10" t="str">
        <f t="shared" si="151"/>
        <v/>
      </c>
      <c r="N650" s="11" t="str">
        <f t="shared" si="152"/>
        <v/>
      </c>
      <c r="O650" s="10" t="str">
        <f t="shared" si="153"/>
        <v/>
      </c>
      <c r="P650" s="12" t="str">
        <f t="shared" si="154"/>
        <v/>
      </c>
      <c r="Q650" s="10" t="str">
        <f t="shared" si="155"/>
        <v/>
      </c>
      <c r="R650" s="13" t="str">
        <f t="shared" si="156"/>
        <v/>
      </c>
      <c r="S650" s="13" t="str">
        <f t="shared" si="157"/>
        <v/>
      </c>
      <c r="T650" s="22" t="str">
        <f>IF(R650&lt;&gt;"",VLOOKUP(P650,Constants!$D$3:$E$10,2),"")</f>
        <v/>
      </c>
    </row>
    <row r="651" spans="2:20" x14ac:dyDescent="0.25">
      <c r="B651" s="59"/>
      <c r="C651" s="59"/>
      <c r="D651" s="60"/>
      <c r="E651" s="59"/>
      <c r="F651" s="59"/>
      <c r="G651" s="59"/>
      <c r="H651" s="61"/>
      <c r="I651" s="61"/>
      <c r="J651" s="61"/>
      <c r="K651" s="62"/>
      <c r="L651" s="10" t="str">
        <f t="shared" si="150"/>
        <v/>
      </c>
      <c r="M651" s="10" t="str">
        <f t="shared" si="151"/>
        <v/>
      </c>
      <c r="N651" s="11" t="str">
        <f t="shared" si="152"/>
        <v/>
      </c>
      <c r="O651" s="10" t="str">
        <f t="shared" si="153"/>
        <v/>
      </c>
      <c r="P651" s="12" t="str">
        <f t="shared" si="154"/>
        <v/>
      </c>
      <c r="Q651" s="10" t="str">
        <f t="shared" si="155"/>
        <v/>
      </c>
      <c r="R651" s="13" t="str">
        <f t="shared" si="156"/>
        <v/>
      </c>
      <c r="S651" s="13" t="str">
        <f t="shared" si="157"/>
        <v/>
      </c>
      <c r="T651" s="22" t="str">
        <f>IF(R651&lt;&gt;"",VLOOKUP(P651,Constants!$D$3:$E$10,2),"")</f>
        <v/>
      </c>
    </row>
    <row r="652" spans="2:20" x14ac:dyDescent="0.25">
      <c r="B652" s="59"/>
      <c r="C652" s="59"/>
      <c r="D652" s="60"/>
      <c r="E652" s="59"/>
      <c r="F652" s="59"/>
      <c r="G652" s="59"/>
      <c r="H652" s="61"/>
      <c r="I652" s="61"/>
      <c r="J652" s="61"/>
      <c r="K652" s="62"/>
      <c r="L652" s="10" t="str">
        <f t="shared" si="150"/>
        <v/>
      </c>
      <c r="M652" s="10" t="str">
        <f t="shared" si="151"/>
        <v/>
      </c>
      <c r="N652" s="11" t="str">
        <f t="shared" si="152"/>
        <v/>
      </c>
      <c r="O652" s="10" t="str">
        <f t="shared" si="153"/>
        <v/>
      </c>
      <c r="P652" s="12" t="str">
        <f t="shared" si="154"/>
        <v/>
      </c>
      <c r="Q652" s="10" t="str">
        <f t="shared" si="155"/>
        <v/>
      </c>
      <c r="R652" s="13" t="str">
        <f t="shared" si="156"/>
        <v/>
      </c>
      <c r="S652" s="13" t="str">
        <f t="shared" si="157"/>
        <v/>
      </c>
      <c r="T652" s="22" t="str">
        <f>IF(R652&lt;&gt;"",VLOOKUP(P652,Constants!$D$3:$E$10,2),"")</f>
        <v/>
      </c>
    </row>
    <row r="653" spans="2:20" x14ac:dyDescent="0.25">
      <c r="B653" s="59"/>
      <c r="C653" s="59"/>
      <c r="D653" s="60"/>
      <c r="E653" s="59"/>
      <c r="F653" s="59"/>
      <c r="G653" s="59"/>
      <c r="H653" s="61"/>
      <c r="I653" s="61"/>
      <c r="J653" s="61"/>
      <c r="K653" s="62"/>
      <c r="L653" s="10" t="str">
        <f t="shared" si="150"/>
        <v/>
      </c>
      <c r="M653" s="10" t="str">
        <f t="shared" si="151"/>
        <v/>
      </c>
      <c r="N653" s="11" t="str">
        <f t="shared" si="152"/>
        <v/>
      </c>
      <c r="O653" s="10" t="str">
        <f t="shared" si="153"/>
        <v/>
      </c>
      <c r="P653" s="12" t="str">
        <f t="shared" si="154"/>
        <v/>
      </c>
      <c r="Q653" s="10" t="str">
        <f t="shared" si="155"/>
        <v/>
      </c>
      <c r="R653" s="13" t="str">
        <f t="shared" si="156"/>
        <v/>
      </c>
      <c r="S653" s="13" t="str">
        <f t="shared" si="157"/>
        <v/>
      </c>
      <c r="T653" s="22" t="str">
        <f>IF(R653&lt;&gt;"",VLOOKUP(P653,Constants!$D$3:$E$10,2),"")</f>
        <v/>
      </c>
    </row>
    <row r="654" spans="2:20" x14ac:dyDescent="0.25">
      <c r="B654" s="59"/>
      <c r="C654" s="59"/>
      <c r="D654" s="60"/>
      <c r="E654" s="59"/>
      <c r="F654" s="59"/>
      <c r="G654" s="59"/>
      <c r="H654" s="61"/>
      <c r="I654" s="61"/>
      <c r="J654" s="61"/>
      <c r="K654" s="62"/>
      <c r="L654" s="10" t="str">
        <f t="shared" si="150"/>
        <v/>
      </c>
      <c r="M654" s="10" t="str">
        <f t="shared" si="151"/>
        <v/>
      </c>
      <c r="N654" s="11" t="str">
        <f t="shared" si="152"/>
        <v/>
      </c>
      <c r="O654" s="10" t="str">
        <f t="shared" si="153"/>
        <v/>
      </c>
      <c r="P654" s="12" t="str">
        <f t="shared" si="154"/>
        <v/>
      </c>
      <c r="Q654" s="10" t="str">
        <f t="shared" si="155"/>
        <v/>
      </c>
      <c r="R654" s="13" t="str">
        <f t="shared" si="156"/>
        <v/>
      </c>
      <c r="S654" s="13" t="str">
        <f t="shared" si="157"/>
        <v/>
      </c>
      <c r="T654" s="22" t="str">
        <f>IF(R654&lt;&gt;"",VLOOKUP(P654,Constants!$D$3:$E$10,2),"")</f>
        <v/>
      </c>
    </row>
    <row r="655" spans="2:20" x14ac:dyDescent="0.25">
      <c r="B655" s="59"/>
      <c r="C655" s="59"/>
      <c r="D655" s="60"/>
      <c r="E655" s="59"/>
      <c r="F655" s="59"/>
      <c r="G655" s="59"/>
      <c r="H655" s="61"/>
      <c r="I655" s="61"/>
      <c r="J655" s="61"/>
      <c r="K655" s="62"/>
      <c r="L655" s="10" t="str">
        <f t="shared" si="150"/>
        <v/>
      </c>
      <c r="M655" s="10" t="str">
        <f t="shared" si="151"/>
        <v/>
      </c>
      <c r="N655" s="11" t="str">
        <f t="shared" si="152"/>
        <v/>
      </c>
      <c r="O655" s="10" t="str">
        <f t="shared" si="153"/>
        <v/>
      </c>
      <c r="P655" s="12" t="str">
        <f t="shared" si="154"/>
        <v/>
      </c>
      <c r="Q655" s="10" t="str">
        <f t="shared" si="155"/>
        <v/>
      </c>
      <c r="R655" s="13" t="str">
        <f t="shared" si="156"/>
        <v/>
      </c>
      <c r="S655" s="13" t="str">
        <f t="shared" si="157"/>
        <v/>
      </c>
      <c r="T655" s="22" t="str">
        <f>IF(R655&lt;&gt;"",VLOOKUP(P655,Constants!$D$3:$E$10,2),"")</f>
        <v/>
      </c>
    </row>
    <row r="656" spans="2:20" x14ac:dyDescent="0.25">
      <c r="B656" s="59"/>
      <c r="C656" s="59"/>
      <c r="D656" s="60"/>
      <c r="E656" s="59"/>
      <c r="F656" s="59"/>
      <c r="G656" s="59"/>
      <c r="H656" s="61"/>
      <c r="I656" s="61"/>
      <c r="J656" s="61"/>
      <c r="K656" s="62"/>
      <c r="L656" s="10" t="str">
        <f t="shared" si="150"/>
        <v/>
      </c>
      <c r="M656" s="10" t="str">
        <f t="shared" si="151"/>
        <v/>
      </c>
      <c r="N656" s="11" t="str">
        <f t="shared" si="152"/>
        <v/>
      </c>
      <c r="O656" s="10" t="str">
        <f t="shared" si="153"/>
        <v/>
      </c>
      <c r="P656" s="12" t="str">
        <f t="shared" si="154"/>
        <v/>
      </c>
      <c r="Q656" s="10" t="str">
        <f t="shared" si="155"/>
        <v/>
      </c>
      <c r="R656" s="13" t="str">
        <f t="shared" si="156"/>
        <v/>
      </c>
      <c r="S656" s="13" t="str">
        <f t="shared" si="157"/>
        <v/>
      </c>
      <c r="T656" s="22" t="str">
        <f>IF(R656&lt;&gt;"",VLOOKUP(P656,Constants!$D$3:$E$10,2),"")</f>
        <v/>
      </c>
    </row>
    <row r="657" spans="2:20" x14ac:dyDescent="0.25">
      <c r="B657" s="59"/>
      <c r="C657" s="59"/>
      <c r="D657" s="60"/>
      <c r="E657" s="59"/>
      <c r="F657" s="59"/>
      <c r="G657" s="59"/>
      <c r="H657" s="61"/>
      <c r="I657" s="61"/>
      <c r="J657" s="61"/>
      <c r="K657" s="62"/>
      <c r="L657" s="10" t="str">
        <f t="shared" si="150"/>
        <v/>
      </c>
      <c r="M657" s="10" t="str">
        <f t="shared" si="151"/>
        <v/>
      </c>
      <c r="N657" s="11" t="str">
        <f t="shared" si="152"/>
        <v/>
      </c>
      <c r="O657" s="10" t="str">
        <f t="shared" si="153"/>
        <v/>
      </c>
      <c r="P657" s="12" t="str">
        <f t="shared" si="154"/>
        <v/>
      </c>
      <c r="Q657" s="10" t="str">
        <f t="shared" si="155"/>
        <v/>
      </c>
      <c r="R657" s="13" t="str">
        <f t="shared" si="156"/>
        <v/>
      </c>
      <c r="S657" s="13" t="str">
        <f t="shared" si="157"/>
        <v/>
      </c>
      <c r="T657" s="22" t="str">
        <f>IF(R657&lt;&gt;"",VLOOKUP(P657,Constants!$D$3:$E$10,2),"")</f>
        <v/>
      </c>
    </row>
    <row r="658" spans="2:20" x14ac:dyDescent="0.25">
      <c r="B658" s="59"/>
      <c r="C658" s="59"/>
      <c r="D658" s="60"/>
      <c r="E658" s="59"/>
      <c r="F658" s="59"/>
      <c r="G658" s="59"/>
      <c r="H658" s="61"/>
      <c r="I658" s="61"/>
      <c r="J658" s="61"/>
      <c r="K658" s="62"/>
      <c r="L658" s="10" t="str">
        <f t="shared" ref="L658:L721" si="158">IF($D658&lt;&gt;"",$D658*$E658/1000,"")</f>
        <v/>
      </c>
      <c r="M658" s="10" t="str">
        <f t="shared" ref="M658:M721" si="159">IF($D658&lt;&gt;"",$D658*$F658/1000,"")</f>
        <v/>
      </c>
      <c r="N658" s="11" t="str">
        <f t="shared" ref="N658:N721" si="160">IF($L658&lt;&gt;"",SQRT($L658*$L658+$M658*$M658),"")</f>
        <v/>
      </c>
      <c r="O658" s="10" t="str">
        <f t="shared" si="153"/>
        <v/>
      </c>
      <c r="P658" s="12" t="str">
        <f t="shared" si="154"/>
        <v/>
      </c>
      <c r="Q658" s="10" t="str">
        <f t="shared" si="155"/>
        <v/>
      </c>
      <c r="R658" s="13" t="str">
        <f t="shared" si="156"/>
        <v/>
      </c>
      <c r="S658" s="13" t="str">
        <f t="shared" si="157"/>
        <v/>
      </c>
      <c r="T658" s="22" t="str">
        <f>IF(R658&lt;&gt;"",VLOOKUP(P658,Constants!$D$3:$E$10,2),"")</f>
        <v/>
      </c>
    </row>
    <row r="659" spans="2:20" x14ac:dyDescent="0.25">
      <c r="B659" s="59"/>
      <c r="C659" s="59"/>
      <c r="D659" s="60"/>
      <c r="E659" s="59"/>
      <c r="F659" s="59"/>
      <c r="G659" s="59"/>
      <c r="H659" s="61"/>
      <c r="I659" s="61"/>
      <c r="J659" s="61"/>
      <c r="K659" s="62"/>
      <c r="L659" s="10" t="str">
        <f t="shared" si="158"/>
        <v/>
      </c>
      <c r="M659" s="10" t="str">
        <f t="shared" si="159"/>
        <v/>
      </c>
      <c r="N659" s="11" t="str">
        <f t="shared" si="160"/>
        <v/>
      </c>
      <c r="O659" s="10" t="str">
        <f t="shared" si="153"/>
        <v/>
      </c>
      <c r="P659" s="12" t="str">
        <f t="shared" si="154"/>
        <v/>
      </c>
      <c r="Q659" s="10" t="str">
        <f t="shared" si="155"/>
        <v/>
      </c>
      <c r="R659" s="13" t="str">
        <f t="shared" si="156"/>
        <v/>
      </c>
      <c r="S659" s="13" t="str">
        <f t="shared" si="157"/>
        <v/>
      </c>
      <c r="T659" s="22" t="str">
        <f>IF(R659&lt;&gt;"",VLOOKUP(P659,Constants!$D$3:$E$10,2),"")</f>
        <v/>
      </c>
    </row>
    <row r="660" spans="2:20" x14ac:dyDescent="0.25">
      <c r="B660" s="59"/>
      <c r="C660" s="59"/>
      <c r="D660" s="60"/>
      <c r="E660" s="59"/>
      <c r="F660" s="59"/>
      <c r="G660" s="59"/>
      <c r="H660" s="61"/>
      <c r="I660" s="61"/>
      <c r="J660" s="61"/>
      <c r="K660" s="62"/>
      <c r="L660" s="10" t="str">
        <f t="shared" si="158"/>
        <v/>
      </c>
      <c r="M660" s="10" t="str">
        <f t="shared" si="159"/>
        <v/>
      </c>
      <c r="N660" s="11" t="str">
        <f t="shared" si="160"/>
        <v/>
      </c>
      <c r="O660" s="10" t="str">
        <f t="shared" ref="O660:O723" si="161">IF(D660&lt;&gt;"",1000/(2*D660),"")</f>
        <v/>
      </c>
      <c r="P660" s="12" t="str">
        <f t="shared" ref="P660:P723" si="162">IF($N660&lt;&gt;"",D660*SQRT(E660*E660+F660*F660)/16000,"")</f>
        <v/>
      </c>
      <c r="Q660" s="10" t="str">
        <f t="shared" ref="Q660:Q723" si="163">IF(F660&lt;&gt;"",F660*E660/1000000,"")</f>
        <v/>
      </c>
      <c r="R660" s="13" t="str">
        <f t="shared" ref="R660:R723" si="164">IF(G660&lt;&gt;"",1000/G660,"")</f>
        <v/>
      </c>
      <c r="S660" s="13" t="str">
        <f t="shared" ref="S660:S723" si="165">IF(R660&lt;&gt;"",Q660/R660*1000,"")</f>
        <v/>
      </c>
      <c r="T660" s="22" t="str">
        <f>IF(R660&lt;&gt;"",VLOOKUP(P660,Constants!$D$3:$E$10,2),"")</f>
        <v/>
      </c>
    </row>
    <row r="661" spans="2:20" x14ac:dyDescent="0.25">
      <c r="B661" s="59"/>
      <c r="C661" s="59"/>
      <c r="D661" s="60"/>
      <c r="E661" s="59"/>
      <c r="F661" s="59"/>
      <c r="G661" s="59"/>
      <c r="H661" s="61"/>
      <c r="I661" s="61"/>
      <c r="J661" s="61"/>
      <c r="K661" s="62"/>
      <c r="L661" s="10" t="str">
        <f t="shared" si="158"/>
        <v/>
      </c>
      <c r="M661" s="10" t="str">
        <f t="shared" si="159"/>
        <v/>
      </c>
      <c r="N661" s="11" t="str">
        <f t="shared" si="160"/>
        <v/>
      </c>
      <c r="O661" s="10" t="str">
        <f t="shared" si="161"/>
        <v/>
      </c>
      <c r="P661" s="12" t="str">
        <f t="shared" si="162"/>
        <v/>
      </c>
      <c r="Q661" s="10" t="str">
        <f t="shared" si="163"/>
        <v/>
      </c>
      <c r="R661" s="13" t="str">
        <f t="shared" si="164"/>
        <v/>
      </c>
      <c r="S661" s="13" t="str">
        <f t="shared" si="165"/>
        <v/>
      </c>
      <c r="T661" s="22" t="str">
        <f>IF(R661&lt;&gt;"",VLOOKUP(P661,Constants!$D$3:$E$10,2),"")</f>
        <v/>
      </c>
    </row>
    <row r="662" spans="2:20" x14ac:dyDescent="0.25">
      <c r="B662" s="59"/>
      <c r="C662" s="59"/>
      <c r="D662" s="60"/>
      <c r="E662" s="59"/>
      <c r="F662" s="59"/>
      <c r="G662" s="59"/>
      <c r="H662" s="61"/>
      <c r="I662" s="61"/>
      <c r="J662" s="61"/>
      <c r="K662" s="62"/>
      <c r="L662" s="10" t="str">
        <f t="shared" si="158"/>
        <v/>
      </c>
      <c r="M662" s="10" t="str">
        <f t="shared" si="159"/>
        <v/>
      </c>
      <c r="N662" s="11" t="str">
        <f t="shared" si="160"/>
        <v/>
      </c>
      <c r="O662" s="10" t="str">
        <f t="shared" si="161"/>
        <v/>
      </c>
      <c r="P662" s="12" t="str">
        <f t="shared" si="162"/>
        <v/>
      </c>
      <c r="Q662" s="10" t="str">
        <f t="shared" si="163"/>
        <v/>
      </c>
      <c r="R662" s="13" t="str">
        <f t="shared" si="164"/>
        <v/>
      </c>
      <c r="S662" s="13" t="str">
        <f t="shared" si="165"/>
        <v/>
      </c>
      <c r="T662" s="22" t="str">
        <f>IF(R662&lt;&gt;"",VLOOKUP(P662,Constants!$D$3:$E$10,2),"")</f>
        <v/>
      </c>
    </row>
    <row r="663" spans="2:20" x14ac:dyDescent="0.25">
      <c r="B663" s="59"/>
      <c r="C663" s="59"/>
      <c r="D663" s="60"/>
      <c r="E663" s="59"/>
      <c r="F663" s="59"/>
      <c r="G663" s="59"/>
      <c r="H663" s="61"/>
      <c r="I663" s="61"/>
      <c r="J663" s="61"/>
      <c r="K663" s="62"/>
      <c r="L663" s="10" t="str">
        <f t="shared" si="158"/>
        <v/>
      </c>
      <c r="M663" s="10" t="str">
        <f t="shared" si="159"/>
        <v/>
      </c>
      <c r="N663" s="11" t="str">
        <f t="shared" si="160"/>
        <v/>
      </c>
      <c r="O663" s="10" t="str">
        <f t="shared" si="161"/>
        <v/>
      </c>
      <c r="P663" s="12" t="str">
        <f t="shared" si="162"/>
        <v/>
      </c>
      <c r="Q663" s="10" t="str">
        <f t="shared" si="163"/>
        <v/>
      </c>
      <c r="R663" s="13" t="str">
        <f t="shared" si="164"/>
        <v/>
      </c>
      <c r="S663" s="13" t="str">
        <f t="shared" si="165"/>
        <v/>
      </c>
      <c r="T663" s="22" t="str">
        <f>IF(R663&lt;&gt;"",VLOOKUP(P663,Constants!$D$3:$E$10,2),"")</f>
        <v/>
      </c>
    </row>
    <row r="664" spans="2:20" x14ac:dyDescent="0.25">
      <c r="B664" s="59"/>
      <c r="C664" s="59"/>
      <c r="D664" s="60"/>
      <c r="E664" s="59"/>
      <c r="F664" s="59"/>
      <c r="G664" s="59"/>
      <c r="H664" s="61"/>
      <c r="I664" s="61"/>
      <c r="J664" s="61"/>
      <c r="K664" s="62"/>
      <c r="L664" s="10" t="str">
        <f t="shared" si="158"/>
        <v/>
      </c>
      <c r="M664" s="10" t="str">
        <f t="shared" si="159"/>
        <v/>
      </c>
      <c r="N664" s="11" t="str">
        <f t="shared" si="160"/>
        <v/>
      </c>
      <c r="O664" s="10" t="str">
        <f t="shared" si="161"/>
        <v/>
      </c>
      <c r="P664" s="12" t="str">
        <f t="shared" si="162"/>
        <v/>
      </c>
      <c r="Q664" s="10" t="str">
        <f t="shared" si="163"/>
        <v/>
      </c>
      <c r="R664" s="13" t="str">
        <f t="shared" si="164"/>
        <v/>
      </c>
      <c r="S664" s="13" t="str">
        <f t="shared" si="165"/>
        <v/>
      </c>
      <c r="T664" s="22" t="str">
        <f>IF(R664&lt;&gt;"",VLOOKUP(P664,Constants!$D$3:$E$10,2),"")</f>
        <v/>
      </c>
    </row>
    <row r="665" spans="2:20" x14ac:dyDescent="0.25">
      <c r="B665" s="59"/>
      <c r="C665" s="59"/>
      <c r="D665" s="60"/>
      <c r="E665" s="59"/>
      <c r="F665" s="59"/>
      <c r="G665" s="59"/>
      <c r="H665" s="61"/>
      <c r="I665" s="61"/>
      <c r="J665" s="61"/>
      <c r="K665" s="62"/>
      <c r="L665" s="10" t="str">
        <f t="shared" si="158"/>
        <v/>
      </c>
      <c r="M665" s="10" t="str">
        <f t="shared" si="159"/>
        <v/>
      </c>
      <c r="N665" s="11" t="str">
        <f t="shared" si="160"/>
        <v/>
      </c>
      <c r="O665" s="10" t="str">
        <f t="shared" si="161"/>
        <v/>
      </c>
      <c r="P665" s="12" t="str">
        <f t="shared" si="162"/>
        <v/>
      </c>
      <c r="Q665" s="10" t="str">
        <f t="shared" si="163"/>
        <v/>
      </c>
      <c r="R665" s="13" t="str">
        <f t="shared" si="164"/>
        <v/>
      </c>
      <c r="S665" s="13" t="str">
        <f t="shared" si="165"/>
        <v/>
      </c>
      <c r="T665" s="22" t="str">
        <f>IF(R665&lt;&gt;"",VLOOKUP(P665,Constants!$D$3:$E$10,2),"")</f>
        <v/>
      </c>
    </row>
    <row r="666" spans="2:20" x14ac:dyDescent="0.25">
      <c r="B666" s="59"/>
      <c r="C666" s="59"/>
      <c r="D666" s="60"/>
      <c r="E666" s="59"/>
      <c r="F666" s="59"/>
      <c r="G666" s="59"/>
      <c r="H666" s="61"/>
      <c r="I666" s="61"/>
      <c r="J666" s="61"/>
      <c r="K666" s="62"/>
      <c r="L666" s="10" t="str">
        <f t="shared" si="158"/>
        <v/>
      </c>
      <c r="M666" s="10" t="str">
        <f t="shared" si="159"/>
        <v/>
      </c>
      <c r="N666" s="11" t="str">
        <f t="shared" si="160"/>
        <v/>
      </c>
      <c r="O666" s="10" t="str">
        <f t="shared" si="161"/>
        <v/>
      </c>
      <c r="P666" s="12" t="str">
        <f t="shared" si="162"/>
        <v/>
      </c>
      <c r="Q666" s="10" t="str">
        <f t="shared" si="163"/>
        <v/>
      </c>
      <c r="R666" s="13" t="str">
        <f t="shared" si="164"/>
        <v/>
      </c>
      <c r="S666" s="13" t="str">
        <f t="shared" si="165"/>
        <v/>
      </c>
      <c r="T666" s="22" t="str">
        <f>IF(R666&lt;&gt;"",VLOOKUP(P666,Constants!$D$3:$E$10,2),"")</f>
        <v/>
      </c>
    </row>
    <row r="667" spans="2:20" x14ac:dyDescent="0.25">
      <c r="B667" s="59"/>
      <c r="C667" s="59"/>
      <c r="D667" s="60"/>
      <c r="E667" s="59"/>
      <c r="F667" s="59"/>
      <c r="G667" s="59"/>
      <c r="H667" s="61"/>
      <c r="I667" s="61"/>
      <c r="J667" s="61"/>
      <c r="K667" s="62"/>
      <c r="L667" s="10" t="str">
        <f t="shared" si="158"/>
        <v/>
      </c>
      <c r="M667" s="10" t="str">
        <f t="shared" si="159"/>
        <v/>
      </c>
      <c r="N667" s="11" t="str">
        <f t="shared" si="160"/>
        <v/>
      </c>
      <c r="O667" s="10" t="str">
        <f t="shared" si="161"/>
        <v/>
      </c>
      <c r="P667" s="12" t="str">
        <f t="shared" si="162"/>
        <v/>
      </c>
      <c r="Q667" s="10" t="str">
        <f t="shared" si="163"/>
        <v/>
      </c>
      <c r="R667" s="13" t="str">
        <f t="shared" si="164"/>
        <v/>
      </c>
      <c r="S667" s="13" t="str">
        <f t="shared" si="165"/>
        <v/>
      </c>
      <c r="T667" s="22" t="str">
        <f>IF(R667&lt;&gt;"",VLOOKUP(P667,Constants!$D$3:$E$10,2),"")</f>
        <v/>
      </c>
    </row>
    <row r="668" spans="2:20" x14ac:dyDescent="0.25">
      <c r="B668" s="59"/>
      <c r="C668" s="59"/>
      <c r="D668" s="60"/>
      <c r="E668" s="59"/>
      <c r="F668" s="59"/>
      <c r="G668" s="59"/>
      <c r="H668" s="61"/>
      <c r="I668" s="61"/>
      <c r="J668" s="61"/>
      <c r="K668" s="62"/>
      <c r="L668" s="10" t="str">
        <f t="shared" si="158"/>
        <v/>
      </c>
      <c r="M668" s="10" t="str">
        <f t="shared" si="159"/>
        <v/>
      </c>
      <c r="N668" s="11" t="str">
        <f t="shared" si="160"/>
        <v/>
      </c>
      <c r="O668" s="10" t="str">
        <f t="shared" si="161"/>
        <v/>
      </c>
      <c r="P668" s="12" t="str">
        <f t="shared" si="162"/>
        <v/>
      </c>
      <c r="Q668" s="10" t="str">
        <f t="shared" si="163"/>
        <v/>
      </c>
      <c r="R668" s="13" t="str">
        <f t="shared" si="164"/>
        <v/>
      </c>
      <c r="S668" s="13" t="str">
        <f t="shared" si="165"/>
        <v/>
      </c>
      <c r="T668" s="22" t="str">
        <f>IF(R668&lt;&gt;"",VLOOKUP(P668,Constants!$D$3:$E$10,2),"")</f>
        <v/>
      </c>
    </row>
    <row r="669" spans="2:20" x14ac:dyDescent="0.25">
      <c r="B669" s="59"/>
      <c r="C669" s="59"/>
      <c r="D669" s="60"/>
      <c r="E669" s="59"/>
      <c r="F669" s="59"/>
      <c r="G669" s="59"/>
      <c r="H669" s="61"/>
      <c r="I669" s="61"/>
      <c r="J669" s="61"/>
      <c r="K669" s="62"/>
      <c r="L669" s="10" t="str">
        <f t="shared" si="158"/>
        <v/>
      </c>
      <c r="M669" s="10" t="str">
        <f t="shared" si="159"/>
        <v/>
      </c>
      <c r="N669" s="11" t="str">
        <f t="shared" si="160"/>
        <v/>
      </c>
      <c r="O669" s="10" t="str">
        <f t="shared" si="161"/>
        <v/>
      </c>
      <c r="P669" s="12" t="str">
        <f t="shared" si="162"/>
        <v/>
      </c>
      <c r="Q669" s="10" t="str">
        <f t="shared" si="163"/>
        <v/>
      </c>
      <c r="R669" s="13" t="str">
        <f t="shared" si="164"/>
        <v/>
      </c>
      <c r="S669" s="13" t="str">
        <f t="shared" si="165"/>
        <v/>
      </c>
      <c r="T669" s="22" t="str">
        <f>IF(R669&lt;&gt;"",VLOOKUP(P669,Constants!$D$3:$E$10,2),"")</f>
        <v/>
      </c>
    </row>
    <row r="670" spans="2:20" x14ac:dyDescent="0.25">
      <c r="B670" s="59"/>
      <c r="C670" s="59"/>
      <c r="D670" s="60"/>
      <c r="E670" s="59"/>
      <c r="F670" s="59"/>
      <c r="G670" s="59"/>
      <c r="H670" s="61"/>
      <c r="I670" s="61"/>
      <c r="J670" s="61"/>
      <c r="K670" s="62"/>
      <c r="L670" s="10" t="str">
        <f t="shared" si="158"/>
        <v/>
      </c>
      <c r="M670" s="10" t="str">
        <f t="shared" si="159"/>
        <v/>
      </c>
      <c r="N670" s="11" t="str">
        <f t="shared" si="160"/>
        <v/>
      </c>
      <c r="O670" s="10" t="str">
        <f t="shared" si="161"/>
        <v/>
      </c>
      <c r="P670" s="12" t="str">
        <f t="shared" si="162"/>
        <v/>
      </c>
      <c r="Q670" s="10" t="str">
        <f t="shared" si="163"/>
        <v/>
      </c>
      <c r="R670" s="13" t="str">
        <f t="shared" si="164"/>
        <v/>
      </c>
      <c r="S670" s="13" t="str">
        <f t="shared" si="165"/>
        <v/>
      </c>
      <c r="T670" s="22" t="str">
        <f>IF(R670&lt;&gt;"",VLOOKUP(P670,Constants!$D$3:$E$10,2),"")</f>
        <v/>
      </c>
    </row>
    <row r="671" spans="2:20" x14ac:dyDescent="0.25">
      <c r="B671" s="59"/>
      <c r="C671" s="59"/>
      <c r="D671" s="60"/>
      <c r="E671" s="59"/>
      <c r="F671" s="59"/>
      <c r="G671" s="59"/>
      <c r="H671" s="61"/>
      <c r="I671" s="61"/>
      <c r="J671" s="61"/>
      <c r="K671" s="62"/>
      <c r="L671" s="10" t="str">
        <f t="shared" si="158"/>
        <v/>
      </c>
      <c r="M671" s="10" t="str">
        <f t="shared" si="159"/>
        <v/>
      </c>
      <c r="N671" s="11" t="str">
        <f t="shared" si="160"/>
        <v/>
      </c>
      <c r="O671" s="10" t="str">
        <f t="shared" si="161"/>
        <v/>
      </c>
      <c r="P671" s="12" t="str">
        <f t="shared" si="162"/>
        <v/>
      </c>
      <c r="Q671" s="10" t="str">
        <f t="shared" si="163"/>
        <v/>
      </c>
      <c r="R671" s="13" t="str">
        <f t="shared" si="164"/>
        <v/>
      </c>
      <c r="S671" s="13" t="str">
        <f t="shared" si="165"/>
        <v/>
      </c>
      <c r="T671" s="22" t="str">
        <f>IF(R671&lt;&gt;"",VLOOKUP(P671,Constants!$D$3:$E$10,2),"")</f>
        <v/>
      </c>
    </row>
    <row r="672" spans="2:20" x14ac:dyDescent="0.25">
      <c r="B672" s="59"/>
      <c r="C672" s="59"/>
      <c r="D672" s="60"/>
      <c r="E672" s="59"/>
      <c r="F672" s="59"/>
      <c r="G672" s="59"/>
      <c r="H672" s="61"/>
      <c r="I672" s="61"/>
      <c r="J672" s="61"/>
      <c r="K672" s="62"/>
      <c r="L672" s="10" t="str">
        <f t="shared" si="158"/>
        <v/>
      </c>
      <c r="M672" s="10" t="str">
        <f t="shared" si="159"/>
        <v/>
      </c>
      <c r="N672" s="11" t="str">
        <f t="shared" si="160"/>
        <v/>
      </c>
      <c r="O672" s="10" t="str">
        <f t="shared" si="161"/>
        <v/>
      </c>
      <c r="P672" s="12" t="str">
        <f t="shared" si="162"/>
        <v/>
      </c>
      <c r="Q672" s="10" t="str">
        <f t="shared" si="163"/>
        <v/>
      </c>
      <c r="R672" s="13" t="str">
        <f t="shared" si="164"/>
        <v/>
      </c>
      <c r="S672" s="13" t="str">
        <f t="shared" si="165"/>
        <v/>
      </c>
      <c r="T672" s="22" t="str">
        <f>IF(R672&lt;&gt;"",VLOOKUP(P672,Constants!$D$3:$E$10,2),"")</f>
        <v/>
      </c>
    </row>
    <row r="673" spans="2:20" x14ac:dyDescent="0.25">
      <c r="B673" s="59"/>
      <c r="C673" s="59"/>
      <c r="D673" s="60"/>
      <c r="E673" s="59"/>
      <c r="F673" s="59"/>
      <c r="G673" s="59"/>
      <c r="H673" s="61"/>
      <c r="I673" s="61"/>
      <c r="J673" s="61"/>
      <c r="K673" s="62"/>
      <c r="L673" s="10" t="str">
        <f t="shared" si="158"/>
        <v/>
      </c>
      <c r="M673" s="10" t="str">
        <f t="shared" si="159"/>
        <v/>
      </c>
      <c r="N673" s="11" t="str">
        <f t="shared" si="160"/>
        <v/>
      </c>
      <c r="O673" s="10" t="str">
        <f t="shared" si="161"/>
        <v/>
      </c>
      <c r="P673" s="12" t="str">
        <f t="shared" si="162"/>
        <v/>
      </c>
      <c r="Q673" s="10" t="str">
        <f t="shared" si="163"/>
        <v/>
      </c>
      <c r="R673" s="13" t="str">
        <f t="shared" si="164"/>
        <v/>
      </c>
      <c r="S673" s="13" t="str">
        <f t="shared" si="165"/>
        <v/>
      </c>
      <c r="T673" s="22" t="str">
        <f>IF(R673&lt;&gt;"",VLOOKUP(P673,Constants!$D$3:$E$10,2),"")</f>
        <v/>
      </c>
    </row>
    <row r="674" spans="2:20" x14ac:dyDescent="0.25">
      <c r="B674" s="59"/>
      <c r="C674" s="59"/>
      <c r="D674" s="60"/>
      <c r="E674" s="59"/>
      <c r="F674" s="59"/>
      <c r="G674" s="59"/>
      <c r="H674" s="61"/>
      <c r="I674" s="61"/>
      <c r="J674" s="61"/>
      <c r="K674" s="62"/>
      <c r="L674" s="10" t="str">
        <f t="shared" si="158"/>
        <v/>
      </c>
      <c r="M674" s="10" t="str">
        <f t="shared" si="159"/>
        <v/>
      </c>
      <c r="N674" s="11" t="str">
        <f t="shared" si="160"/>
        <v/>
      </c>
      <c r="O674" s="10" t="str">
        <f t="shared" si="161"/>
        <v/>
      </c>
      <c r="P674" s="12" t="str">
        <f t="shared" si="162"/>
        <v/>
      </c>
      <c r="Q674" s="10" t="str">
        <f t="shared" si="163"/>
        <v/>
      </c>
      <c r="R674" s="13" t="str">
        <f t="shared" si="164"/>
        <v/>
      </c>
      <c r="S674" s="13" t="str">
        <f t="shared" si="165"/>
        <v/>
      </c>
      <c r="T674" s="22" t="str">
        <f>IF(R674&lt;&gt;"",VLOOKUP(P674,Constants!$D$3:$E$10,2),"")</f>
        <v/>
      </c>
    </row>
    <row r="675" spans="2:20" x14ac:dyDescent="0.25">
      <c r="B675" s="59"/>
      <c r="C675" s="59"/>
      <c r="D675" s="60"/>
      <c r="E675" s="59"/>
      <c r="F675" s="59"/>
      <c r="G675" s="59"/>
      <c r="H675" s="61"/>
      <c r="I675" s="61"/>
      <c r="J675" s="61"/>
      <c r="K675" s="62"/>
      <c r="L675" s="10" t="str">
        <f t="shared" si="158"/>
        <v/>
      </c>
      <c r="M675" s="10" t="str">
        <f t="shared" si="159"/>
        <v/>
      </c>
      <c r="N675" s="11" t="str">
        <f t="shared" si="160"/>
        <v/>
      </c>
      <c r="O675" s="10" t="str">
        <f t="shared" si="161"/>
        <v/>
      </c>
      <c r="P675" s="12" t="str">
        <f t="shared" si="162"/>
        <v/>
      </c>
      <c r="Q675" s="10" t="str">
        <f t="shared" si="163"/>
        <v/>
      </c>
      <c r="R675" s="13" t="str">
        <f t="shared" si="164"/>
        <v/>
      </c>
      <c r="S675" s="13" t="str">
        <f t="shared" si="165"/>
        <v/>
      </c>
      <c r="T675" s="22" t="str">
        <f>IF(R675&lt;&gt;"",VLOOKUP(P675,Constants!$D$3:$E$10,2),"")</f>
        <v/>
      </c>
    </row>
    <row r="676" spans="2:20" x14ac:dyDescent="0.25">
      <c r="B676" s="59"/>
      <c r="C676" s="59"/>
      <c r="D676" s="60"/>
      <c r="E676" s="59"/>
      <c r="F676" s="59"/>
      <c r="G676" s="59"/>
      <c r="H676" s="61"/>
      <c r="I676" s="61"/>
      <c r="J676" s="61"/>
      <c r="K676" s="62"/>
      <c r="L676" s="10" t="str">
        <f t="shared" si="158"/>
        <v/>
      </c>
      <c r="M676" s="10" t="str">
        <f t="shared" si="159"/>
        <v/>
      </c>
      <c r="N676" s="11" t="str">
        <f t="shared" si="160"/>
        <v/>
      </c>
      <c r="O676" s="10" t="str">
        <f t="shared" si="161"/>
        <v/>
      </c>
      <c r="P676" s="12" t="str">
        <f t="shared" si="162"/>
        <v/>
      </c>
      <c r="Q676" s="10" t="str">
        <f t="shared" si="163"/>
        <v/>
      </c>
      <c r="R676" s="13" t="str">
        <f t="shared" si="164"/>
        <v/>
      </c>
      <c r="S676" s="13" t="str">
        <f t="shared" si="165"/>
        <v/>
      </c>
      <c r="T676" s="22" t="str">
        <f>IF(R676&lt;&gt;"",VLOOKUP(P676,Constants!$D$3:$E$10,2),"")</f>
        <v/>
      </c>
    </row>
    <row r="677" spans="2:20" x14ac:dyDescent="0.25">
      <c r="B677" s="59"/>
      <c r="C677" s="59"/>
      <c r="D677" s="60"/>
      <c r="E677" s="59"/>
      <c r="F677" s="59"/>
      <c r="G677" s="59"/>
      <c r="H677" s="61"/>
      <c r="I677" s="61"/>
      <c r="J677" s="61"/>
      <c r="K677" s="62"/>
      <c r="L677" s="10" t="str">
        <f t="shared" si="158"/>
        <v/>
      </c>
      <c r="M677" s="10" t="str">
        <f t="shared" si="159"/>
        <v/>
      </c>
      <c r="N677" s="11" t="str">
        <f t="shared" si="160"/>
        <v/>
      </c>
      <c r="O677" s="10" t="str">
        <f t="shared" si="161"/>
        <v/>
      </c>
      <c r="P677" s="12" t="str">
        <f t="shared" si="162"/>
        <v/>
      </c>
      <c r="Q677" s="10" t="str">
        <f t="shared" si="163"/>
        <v/>
      </c>
      <c r="R677" s="13" t="str">
        <f t="shared" si="164"/>
        <v/>
      </c>
      <c r="S677" s="13" t="str">
        <f t="shared" si="165"/>
        <v/>
      </c>
      <c r="T677" s="22" t="str">
        <f>IF(R677&lt;&gt;"",VLOOKUP(P677,Constants!$D$3:$E$10,2),"")</f>
        <v/>
      </c>
    </row>
    <row r="678" spans="2:20" x14ac:dyDescent="0.25">
      <c r="B678" s="59"/>
      <c r="C678" s="59"/>
      <c r="D678" s="60"/>
      <c r="E678" s="59"/>
      <c r="F678" s="59"/>
      <c r="G678" s="59"/>
      <c r="H678" s="61"/>
      <c r="I678" s="61"/>
      <c r="J678" s="61"/>
      <c r="K678" s="62"/>
      <c r="L678" s="10" t="str">
        <f t="shared" si="158"/>
        <v/>
      </c>
      <c r="M678" s="10" t="str">
        <f t="shared" si="159"/>
        <v/>
      </c>
      <c r="N678" s="11" t="str">
        <f t="shared" si="160"/>
        <v/>
      </c>
      <c r="O678" s="10" t="str">
        <f t="shared" si="161"/>
        <v/>
      </c>
      <c r="P678" s="12" t="str">
        <f t="shared" si="162"/>
        <v/>
      </c>
      <c r="Q678" s="10" t="str">
        <f t="shared" si="163"/>
        <v/>
      </c>
      <c r="R678" s="13" t="str">
        <f t="shared" si="164"/>
        <v/>
      </c>
      <c r="S678" s="13" t="str">
        <f t="shared" si="165"/>
        <v/>
      </c>
      <c r="T678" s="22" t="str">
        <f>IF(R678&lt;&gt;"",VLOOKUP(P678,Constants!$D$3:$E$10,2),"")</f>
        <v/>
      </c>
    </row>
    <row r="679" spans="2:20" x14ac:dyDescent="0.25">
      <c r="B679" s="59"/>
      <c r="C679" s="59"/>
      <c r="D679" s="60"/>
      <c r="E679" s="59"/>
      <c r="F679" s="59"/>
      <c r="G679" s="59"/>
      <c r="H679" s="61"/>
      <c r="I679" s="61"/>
      <c r="J679" s="61"/>
      <c r="K679" s="62"/>
      <c r="L679" s="10" t="str">
        <f t="shared" si="158"/>
        <v/>
      </c>
      <c r="M679" s="10" t="str">
        <f t="shared" si="159"/>
        <v/>
      </c>
      <c r="N679" s="11" t="str">
        <f t="shared" si="160"/>
        <v/>
      </c>
      <c r="O679" s="10" t="str">
        <f t="shared" si="161"/>
        <v/>
      </c>
      <c r="P679" s="12" t="str">
        <f t="shared" si="162"/>
        <v/>
      </c>
      <c r="Q679" s="10" t="str">
        <f t="shared" si="163"/>
        <v/>
      </c>
      <c r="R679" s="13" t="str">
        <f t="shared" si="164"/>
        <v/>
      </c>
      <c r="S679" s="13" t="str">
        <f t="shared" si="165"/>
        <v/>
      </c>
      <c r="T679" s="22" t="str">
        <f>IF(R679&lt;&gt;"",VLOOKUP(P679,Constants!$D$3:$E$10,2),"")</f>
        <v/>
      </c>
    </row>
    <row r="680" spans="2:20" x14ac:dyDescent="0.25">
      <c r="B680" s="59"/>
      <c r="C680" s="59"/>
      <c r="D680" s="60"/>
      <c r="E680" s="59"/>
      <c r="F680" s="59"/>
      <c r="G680" s="59"/>
      <c r="H680" s="61"/>
      <c r="I680" s="61"/>
      <c r="J680" s="61"/>
      <c r="K680" s="62"/>
      <c r="L680" s="10" t="str">
        <f t="shared" si="158"/>
        <v/>
      </c>
      <c r="M680" s="10" t="str">
        <f t="shared" si="159"/>
        <v/>
      </c>
      <c r="N680" s="11" t="str">
        <f t="shared" si="160"/>
        <v/>
      </c>
      <c r="O680" s="10" t="str">
        <f t="shared" si="161"/>
        <v/>
      </c>
      <c r="P680" s="12" t="str">
        <f t="shared" si="162"/>
        <v/>
      </c>
      <c r="Q680" s="10" t="str">
        <f t="shared" si="163"/>
        <v/>
      </c>
      <c r="R680" s="13" t="str">
        <f t="shared" si="164"/>
        <v/>
      </c>
      <c r="S680" s="13" t="str">
        <f t="shared" si="165"/>
        <v/>
      </c>
      <c r="T680" s="22" t="str">
        <f>IF(R680&lt;&gt;"",VLOOKUP(P680,Constants!$D$3:$E$10,2),"")</f>
        <v/>
      </c>
    </row>
    <row r="681" spans="2:20" x14ac:dyDescent="0.25">
      <c r="B681" s="59"/>
      <c r="C681" s="59"/>
      <c r="D681" s="60"/>
      <c r="E681" s="59"/>
      <c r="F681" s="59"/>
      <c r="G681" s="59"/>
      <c r="H681" s="61"/>
      <c r="I681" s="61"/>
      <c r="J681" s="61"/>
      <c r="K681" s="62"/>
      <c r="L681" s="10" t="str">
        <f t="shared" si="158"/>
        <v/>
      </c>
      <c r="M681" s="10" t="str">
        <f t="shared" si="159"/>
        <v/>
      </c>
      <c r="N681" s="11" t="str">
        <f t="shared" si="160"/>
        <v/>
      </c>
      <c r="O681" s="10" t="str">
        <f t="shared" si="161"/>
        <v/>
      </c>
      <c r="P681" s="12" t="str">
        <f t="shared" si="162"/>
        <v/>
      </c>
      <c r="Q681" s="10" t="str">
        <f t="shared" si="163"/>
        <v/>
      </c>
      <c r="R681" s="13" t="str">
        <f t="shared" si="164"/>
        <v/>
      </c>
      <c r="S681" s="13" t="str">
        <f t="shared" si="165"/>
        <v/>
      </c>
      <c r="T681" s="22" t="str">
        <f>IF(R681&lt;&gt;"",VLOOKUP(P681,Constants!$D$3:$E$10,2),"")</f>
        <v/>
      </c>
    </row>
    <row r="682" spans="2:20" x14ac:dyDescent="0.25">
      <c r="B682" s="59"/>
      <c r="C682" s="59"/>
      <c r="D682" s="60"/>
      <c r="E682" s="59"/>
      <c r="F682" s="59"/>
      <c r="G682" s="59"/>
      <c r="H682" s="61"/>
      <c r="I682" s="61"/>
      <c r="J682" s="61"/>
      <c r="K682" s="62"/>
      <c r="L682" s="10" t="str">
        <f t="shared" si="158"/>
        <v/>
      </c>
      <c r="M682" s="10" t="str">
        <f t="shared" si="159"/>
        <v/>
      </c>
      <c r="N682" s="11" t="str">
        <f t="shared" si="160"/>
        <v/>
      </c>
      <c r="O682" s="10" t="str">
        <f t="shared" si="161"/>
        <v/>
      </c>
      <c r="P682" s="12" t="str">
        <f t="shared" si="162"/>
        <v/>
      </c>
      <c r="Q682" s="10" t="str">
        <f t="shared" si="163"/>
        <v/>
      </c>
      <c r="R682" s="13" t="str">
        <f t="shared" si="164"/>
        <v/>
      </c>
      <c r="S682" s="13" t="str">
        <f t="shared" si="165"/>
        <v/>
      </c>
      <c r="T682" s="22" t="str">
        <f>IF(R682&lt;&gt;"",VLOOKUP(P682,Constants!$D$3:$E$10,2),"")</f>
        <v/>
      </c>
    </row>
    <row r="683" spans="2:20" x14ac:dyDescent="0.25">
      <c r="B683" s="59"/>
      <c r="C683" s="59"/>
      <c r="D683" s="60"/>
      <c r="E683" s="59"/>
      <c r="F683" s="59"/>
      <c r="G683" s="59"/>
      <c r="H683" s="61"/>
      <c r="I683" s="61"/>
      <c r="J683" s="61"/>
      <c r="K683" s="62"/>
      <c r="L683" s="10" t="str">
        <f t="shared" si="158"/>
        <v/>
      </c>
      <c r="M683" s="10" t="str">
        <f t="shared" si="159"/>
        <v/>
      </c>
      <c r="N683" s="11" t="str">
        <f t="shared" si="160"/>
        <v/>
      </c>
      <c r="O683" s="10" t="str">
        <f t="shared" si="161"/>
        <v/>
      </c>
      <c r="P683" s="12" t="str">
        <f t="shared" si="162"/>
        <v/>
      </c>
      <c r="Q683" s="10" t="str">
        <f t="shared" si="163"/>
        <v/>
      </c>
      <c r="R683" s="13" t="str">
        <f t="shared" si="164"/>
        <v/>
      </c>
      <c r="S683" s="13" t="str">
        <f t="shared" si="165"/>
        <v/>
      </c>
      <c r="T683" s="22" t="str">
        <f>IF(R683&lt;&gt;"",VLOOKUP(P683,Constants!$D$3:$E$10,2),"")</f>
        <v/>
      </c>
    </row>
    <row r="684" spans="2:20" x14ac:dyDescent="0.25">
      <c r="B684" s="59"/>
      <c r="C684" s="59"/>
      <c r="D684" s="60"/>
      <c r="E684" s="59"/>
      <c r="F684" s="59"/>
      <c r="G684" s="59"/>
      <c r="H684" s="61"/>
      <c r="I684" s="61"/>
      <c r="J684" s="61"/>
      <c r="K684" s="62"/>
      <c r="L684" s="10" t="str">
        <f t="shared" si="158"/>
        <v/>
      </c>
      <c r="M684" s="10" t="str">
        <f t="shared" si="159"/>
        <v/>
      </c>
      <c r="N684" s="11" t="str">
        <f t="shared" si="160"/>
        <v/>
      </c>
      <c r="O684" s="10" t="str">
        <f t="shared" si="161"/>
        <v/>
      </c>
      <c r="P684" s="12" t="str">
        <f t="shared" si="162"/>
        <v/>
      </c>
      <c r="Q684" s="10" t="str">
        <f t="shared" si="163"/>
        <v/>
      </c>
      <c r="R684" s="13" t="str">
        <f t="shared" si="164"/>
        <v/>
      </c>
      <c r="S684" s="13" t="str">
        <f t="shared" si="165"/>
        <v/>
      </c>
      <c r="T684" s="22" t="str">
        <f>IF(R684&lt;&gt;"",VLOOKUP(P684,Constants!$D$3:$E$10,2),"")</f>
        <v/>
      </c>
    </row>
    <row r="685" spans="2:20" x14ac:dyDescent="0.25">
      <c r="B685" s="59"/>
      <c r="C685" s="59"/>
      <c r="D685" s="60"/>
      <c r="E685" s="59"/>
      <c r="F685" s="59"/>
      <c r="G685" s="59"/>
      <c r="H685" s="61"/>
      <c r="I685" s="61"/>
      <c r="J685" s="61"/>
      <c r="K685" s="62"/>
      <c r="L685" s="10" t="str">
        <f t="shared" si="158"/>
        <v/>
      </c>
      <c r="M685" s="10" t="str">
        <f t="shared" si="159"/>
        <v/>
      </c>
      <c r="N685" s="11" t="str">
        <f t="shared" si="160"/>
        <v/>
      </c>
      <c r="O685" s="10" t="str">
        <f t="shared" si="161"/>
        <v/>
      </c>
      <c r="P685" s="12" t="str">
        <f t="shared" si="162"/>
        <v/>
      </c>
      <c r="Q685" s="10" t="str">
        <f t="shared" si="163"/>
        <v/>
      </c>
      <c r="R685" s="13" t="str">
        <f t="shared" si="164"/>
        <v/>
      </c>
      <c r="S685" s="13" t="str">
        <f t="shared" si="165"/>
        <v/>
      </c>
      <c r="T685" s="22" t="str">
        <f>IF(R685&lt;&gt;"",VLOOKUP(P685,Constants!$D$3:$E$10,2),"")</f>
        <v/>
      </c>
    </row>
    <row r="686" spans="2:20" x14ac:dyDescent="0.25">
      <c r="B686" s="59"/>
      <c r="C686" s="59"/>
      <c r="D686" s="60"/>
      <c r="E686" s="59"/>
      <c r="F686" s="59"/>
      <c r="G686" s="59"/>
      <c r="H686" s="61"/>
      <c r="I686" s="61"/>
      <c r="J686" s="61"/>
      <c r="K686" s="62"/>
      <c r="L686" s="10" t="str">
        <f t="shared" si="158"/>
        <v/>
      </c>
      <c r="M686" s="10" t="str">
        <f t="shared" si="159"/>
        <v/>
      </c>
      <c r="N686" s="11" t="str">
        <f t="shared" si="160"/>
        <v/>
      </c>
      <c r="O686" s="10" t="str">
        <f t="shared" si="161"/>
        <v/>
      </c>
      <c r="P686" s="12" t="str">
        <f t="shared" si="162"/>
        <v/>
      </c>
      <c r="Q686" s="10" t="str">
        <f t="shared" si="163"/>
        <v/>
      </c>
      <c r="R686" s="13" t="str">
        <f t="shared" si="164"/>
        <v/>
      </c>
      <c r="S686" s="13" t="str">
        <f t="shared" si="165"/>
        <v/>
      </c>
      <c r="T686" s="22" t="str">
        <f>IF(R686&lt;&gt;"",VLOOKUP(P686,Constants!$D$3:$E$10,2),"")</f>
        <v/>
      </c>
    </row>
    <row r="687" spans="2:20" x14ac:dyDescent="0.25">
      <c r="B687" s="59"/>
      <c r="C687" s="59"/>
      <c r="D687" s="60"/>
      <c r="E687" s="59"/>
      <c r="F687" s="59"/>
      <c r="G687" s="59"/>
      <c r="H687" s="61"/>
      <c r="I687" s="61"/>
      <c r="J687" s="61"/>
      <c r="K687" s="62"/>
      <c r="L687" s="10" t="str">
        <f t="shared" si="158"/>
        <v/>
      </c>
      <c r="M687" s="10" t="str">
        <f t="shared" si="159"/>
        <v/>
      </c>
      <c r="N687" s="11" t="str">
        <f t="shared" si="160"/>
        <v/>
      </c>
      <c r="O687" s="10" t="str">
        <f t="shared" si="161"/>
        <v/>
      </c>
      <c r="P687" s="12" t="str">
        <f t="shared" si="162"/>
        <v/>
      </c>
      <c r="Q687" s="10" t="str">
        <f t="shared" si="163"/>
        <v/>
      </c>
      <c r="R687" s="13" t="str">
        <f t="shared" si="164"/>
        <v/>
      </c>
      <c r="S687" s="13" t="str">
        <f t="shared" si="165"/>
        <v/>
      </c>
      <c r="T687" s="22" t="str">
        <f>IF(R687&lt;&gt;"",VLOOKUP(P687,Constants!$D$3:$E$10,2),"")</f>
        <v/>
      </c>
    </row>
    <row r="688" spans="2:20" x14ac:dyDescent="0.25">
      <c r="B688" s="59"/>
      <c r="C688" s="59"/>
      <c r="D688" s="60"/>
      <c r="E688" s="59"/>
      <c r="F688" s="59"/>
      <c r="G688" s="59"/>
      <c r="H688" s="61"/>
      <c r="I688" s="61"/>
      <c r="J688" s="61"/>
      <c r="K688" s="62"/>
      <c r="L688" s="10" t="str">
        <f t="shared" si="158"/>
        <v/>
      </c>
      <c r="M688" s="10" t="str">
        <f t="shared" si="159"/>
        <v/>
      </c>
      <c r="N688" s="11" t="str">
        <f t="shared" si="160"/>
        <v/>
      </c>
      <c r="O688" s="10" t="str">
        <f t="shared" si="161"/>
        <v/>
      </c>
      <c r="P688" s="12" t="str">
        <f t="shared" si="162"/>
        <v/>
      </c>
      <c r="Q688" s="10" t="str">
        <f t="shared" si="163"/>
        <v/>
      </c>
      <c r="R688" s="13" t="str">
        <f t="shared" si="164"/>
        <v/>
      </c>
      <c r="S688" s="13" t="str">
        <f t="shared" si="165"/>
        <v/>
      </c>
      <c r="T688" s="22" t="str">
        <f>IF(R688&lt;&gt;"",VLOOKUP(P688,Constants!$D$3:$E$10,2),"")</f>
        <v/>
      </c>
    </row>
    <row r="689" spans="2:20" x14ac:dyDescent="0.25">
      <c r="B689" s="59"/>
      <c r="C689" s="59"/>
      <c r="D689" s="60"/>
      <c r="E689" s="59"/>
      <c r="F689" s="59"/>
      <c r="G689" s="59"/>
      <c r="H689" s="61"/>
      <c r="I689" s="61"/>
      <c r="J689" s="61"/>
      <c r="K689" s="62"/>
      <c r="L689" s="10" t="str">
        <f t="shared" si="158"/>
        <v/>
      </c>
      <c r="M689" s="10" t="str">
        <f t="shared" si="159"/>
        <v/>
      </c>
      <c r="N689" s="11" t="str">
        <f t="shared" si="160"/>
        <v/>
      </c>
      <c r="O689" s="10" t="str">
        <f t="shared" si="161"/>
        <v/>
      </c>
      <c r="P689" s="12" t="str">
        <f t="shared" si="162"/>
        <v/>
      </c>
      <c r="Q689" s="10" t="str">
        <f t="shared" si="163"/>
        <v/>
      </c>
      <c r="R689" s="13" t="str">
        <f t="shared" si="164"/>
        <v/>
      </c>
      <c r="S689" s="13" t="str">
        <f t="shared" si="165"/>
        <v/>
      </c>
      <c r="T689" s="22" t="str">
        <f>IF(R689&lt;&gt;"",VLOOKUP(P689,Constants!$D$3:$E$10,2),"")</f>
        <v/>
      </c>
    </row>
    <row r="690" spans="2:20" x14ac:dyDescent="0.25">
      <c r="B690" s="59"/>
      <c r="C690" s="59"/>
      <c r="D690" s="60"/>
      <c r="E690" s="59"/>
      <c r="F690" s="59"/>
      <c r="G690" s="59"/>
      <c r="H690" s="61"/>
      <c r="I690" s="61"/>
      <c r="J690" s="61"/>
      <c r="K690" s="62"/>
      <c r="L690" s="10" t="str">
        <f t="shared" si="158"/>
        <v/>
      </c>
      <c r="M690" s="10" t="str">
        <f t="shared" si="159"/>
        <v/>
      </c>
      <c r="N690" s="11" t="str">
        <f t="shared" si="160"/>
        <v/>
      </c>
      <c r="O690" s="10" t="str">
        <f t="shared" si="161"/>
        <v/>
      </c>
      <c r="P690" s="12" t="str">
        <f t="shared" si="162"/>
        <v/>
      </c>
      <c r="Q690" s="10" t="str">
        <f t="shared" si="163"/>
        <v/>
      </c>
      <c r="R690" s="13" t="str">
        <f t="shared" si="164"/>
        <v/>
      </c>
      <c r="S690" s="13" t="str">
        <f t="shared" si="165"/>
        <v/>
      </c>
      <c r="T690" s="22" t="str">
        <f>IF(R690&lt;&gt;"",VLOOKUP(P690,Constants!$D$3:$E$10,2),"")</f>
        <v/>
      </c>
    </row>
    <row r="691" spans="2:20" x14ac:dyDescent="0.25">
      <c r="B691" s="59"/>
      <c r="C691" s="59"/>
      <c r="D691" s="60"/>
      <c r="E691" s="59"/>
      <c r="F691" s="59"/>
      <c r="G691" s="59"/>
      <c r="H691" s="61"/>
      <c r="I691" s="61"/>
      <c r="J691" s="61"/>
      <c r="K691" s="62"/>
      <c r="L691" s="10" t="str">
        <f t="shared" si="158"/>
        <v/>
      </c>
      <c r="M691" s="10" t="str">
        <f t="shared" si="159"/>
        <v/>
      </c>
      <c r="N691" s="11" t="str">
        <f t="shared" si="160"/>
        <v/>
      </c>
      <c r="O691" s="10" t="str">
        <f t="shared" si="161"/>
        <v/>
      </c>
      <c r="P691" s="12" t="str">
        <f t="shared" si="162"/>
        <v/>
      </c>
      <c r="Q691" s="10" t="str">
        <f t="shared" si="163"/>
        <v/>
      </c>
      <c r="R691" s="13" t="str">
        <f t="shared" si="164"/>
        <v/>
      </c>
      <c r="S691" s="13" t="str">
        <f t="shared" si="165"/>
        <v/>
      </c>
      <c r="T691" s="22" t="str">
        <f>IF(R691&lt;&gt;"",VLOOKUP(P691,Constants!$D$3:$E$10,2),"")</f>
        <v/>
      </c>
    </row>
    <row r="692" spans="2:20" x14ac:dyDescent="0.25">
      <c r="B692" s="59"/>
      <c r="C692" s="59"/>
      <c r="D692" s="60"/>
      <c r="E692" s="59"/>
      <c r="F692" s="59"/>
      <c r="G692" s="59"/>
      <c r="H692" s="61"/>
      <c r="I692" s="61"/>
      <c r="J692" s="61"/>
      <c r="K692" s="62"/>
      <c r="L692" s="10" t="str">
        <f t="shared" si="158"/>
        <v/>
      </c>
      <c r="M692" s="10" t="str">
        <f t="shared" si="159"/>
        <v/>
      </c>
      <c r="N692" s="11" t="str">
        <f t="shared" si="160"/>
        <v/>
      </c>
      <c r="O692" s="10" t="str">
        <f t="shared" si="161"/>
        <v/>
      </c>
      <c r="P692" s="12" t="str">
        <f t="shared" si="162"/>
        <v/>
      </c>
      <c r="Q692" s="10" t="str">
        <f t="shared" si="163"/>
        <v/>
      </c>
      <c r="R692" s="13" t="str">
        <f t="shared" si="164"/>
        <v/>
      </c>
      <c r="S692" s="13" t="str">
        <f t="shared" si="165"/>
        <v/>
      </c>
      <c r="T692" s="22" t="str">
        <f>IF(R692&lt;&gt;"",VLOOKUP(P692,Constants!$D$3:$E$10,2),"")</f>
        <v/>
      </c>
    </row>
    <row r="693" spans="2:20" x14ac:dyDescent="0.25">
      <c r="B693" s="59"/>
      <c r="C693" s="59"/>
      <c r="D693" s="60"/>
      <c r="E693" s="59"/>
      <c r="F693" s="59"/>
      <c r="G693" s="59"/>
      <c r="H693" s="61"/>
      <c r="I693" s="61"/>
      <c r="J693" s="61"/>
      <c r="K693" s="62"/>
      <c r="L693" s="10" t="str">
        <f t="shared" si="158"/>
        <v/>
      </c>
      <c r="M693" s="10" t="str">
        <f t="shared" si="159"/>
        <v/>
      </c>
      <c r="N693" s="11" t="str">
        <f t="shared" si="160"/>
        <v/>
      </c>
      <c r="O693" s="10" t="str">
        <f t="shared" si="161"/>
        <v/>
      </c>
      <c r="P693" s="12" t="str">
        <f t="shared" si="162"/>
        <v/>
      </c>
      <c r="Q693" s="10" t="str">
        <f t="shared" si="163"/>
        <v/>
      </c>
      <c r="R693" s="13" t="str">
        <f t="shared" si="164"/>
        <v/>
      </c>
      <c r="S693" s="13" t="str">
        <f t="shared" si="165"/>
        <v/>
      </c>
      <c r="T693" s="22" t="str">
        <f>IF(R693&lt;&gt;"",VLOOKUP(P693,Constants!$D$3:$E$10,2),"")</f>
        <v/>
      </c>
    </row>
    <row r="694" spans="2:20" x14ac:dyDescent="0.25">
      <c r="B694" s="59"/>
      <c r="C694" s="59"/>
      <c r="D694" s="60"/>
      <c r="E694" s="59"/>
      <c r="F694" s="59"/>
      <c r="G694" s="59"/>
      <c r="H694" s="61"/>
      <c r="I694" s="61"/>
      <c r="J694" s="61"/>
      <c r="K694" s="62"/>
      <c r="L694" s="10" t="str">
        <f t="shared" si="158"/>
        <v/>
      </c>
      <c r="M694" s="10" t="str">
        <f t="shared" si="159"/>
        <v/>
      </c>
      <c r="N694" s="11" t="str">
        <f t="shared" si="160"/>
        <v/>
      </c>
      <c r="O694" s="10" t="str">
        <f t="shared" si="161"/>
        <v/>
      </c>
      <c r="P694" s="12" t="str">
        <f t="shared" si="162"/>
        <v/>
      </c>
      <c r="Q694" s="10" t="str">
        <f t="shared" si="163"/>
        <v/>
      </c>
      <c r="R694" s="13" t="str">
        <f t="shared" si="164"/>
        <v/>
      </c>
      <c r="S694" s="13" t="str">
        <f t="shared" si="165"/>
        <v/>
      </c>
      <c r="T694" s="22" t="str">
        <f>IF(R694&lt;&gt;"",VLOOKUP(P694,Constants!$D$3:$E$10,2),"")</f>
        <v/>
      </c>
    </row>
    <row r="695" spans="2:20" x14ac:dyDescent="0.25">
      <c r="B695" s="59"/>
      <c r="C695" s="59"/>
      <c r="D695" s="60"/>
      <c r="E695" s="59"/>
      <c r="F695" s="59"/>
      <c r="G695" s="59"/>
      <c r="H695" s="61"/>
      <c r="I695" s="61"/>
      <c r="J695" s="61"/>
      <c r="K695" s="62"/>
      <c r="L695" s="10" t="str">
        <f t="shared" si="158"/>
        <v/>
      </c>
      <c r="M695" s="10" t="str">
        <f t="shared" si="159"/>
        <v/>
      </c>
      <c r="N695" s="11" t="str">
        <f t="shared" si="160"/>
        <v/>
      </c>
      <c r="O695" s="10" t="str">
        <f t="shared" si="161"/>
        <v/>
      </c>
      <c r="P695" s="12" t="str">
        <f t="shared" si="162"/>
        <v/>
      </c>
      <c r="Q695" s="10" t="str">
        <f t="shared" si="163"/>
        <v/>
      </c>
      <c r="R695" s="13" t="str">
        <f t="shared" si="164"/>
        <v/>
      </c>
      <c r="S695" s="13" t="str">
        <f t="shared" si="165"/>
        <v/>
      </c>
      <c r="T695" s="22" t="str">
        <f>IF(R695&lt;&gt;"",VLOOKUP(P695,Constants!$D$3:$E$10,2),"")</f>
        <v/>
      </c>
    </row>
    <row r="696" spans="2:20" x14ac:dyDescent="0.25">
      <c r="B696" s="59"/>
      <c r="C696" s="59"/>
      <c r="D696" s="60"/>
      <c r="E696" s="59"/>
      <c r="F696" s="59"/>
      <c r="G696" s="59"/>
      <c r="H696" s="61"/>
      <c r="I696" s="61"/>
      <c r="J696" s="61"/>
      <c r="K696" s="62"/>
      <c r="L696" s="10" t="str">
        <f t="shared" si="158"/>
        <v/>
      </c>
      <c r="M696" s="10" t="str">
        <f t="shared" si="159"/>
        <v/>
      </c>
      <c r="N696" s="11" t="str">
        <f t="shared" si="160"/>
        <v/>
      </c>
      <c r="O696" s="10" t="str">
        <f t="shared" si="161"/>
        <v/>
      </c>
      <c r="P696" s="12" t="str">
        <f t="shared" si="162"/>
        <v/>
      </c>
      <c r="Q696" s="10" t="str">
        <f t="shared" si="163"/>
        <v/>
      </c>
      <c r="R696" s="13" t="str">
        <f t="shared" si="164"/>
        <v/>
      </c>
      <c r="S696" s="13" t="str">
        <f t="shared" si="165"/>
        <v/>
      </c>
      <c r="T696" s="22" t="str">
        <f>IF(R696&lt;&gt;"",VLOOKUP(P696,Constants!$D$3:$E$10,2),"")</f>
        <v/>
      </c>
    </row>
    <row r="697" spans="2:20" x14ac:dyDescent="0.25">
      <c r="B697" s="59"/>
      <c r="C697" s="59"/>
      <c r="D697" s="60"/>
      <c r="E697" s="59"/>
      <c r="F697" s="59"/>
      <c r="G697" s="59"/>
      <c r="H697" s="61"/>
      <c r="I697" s="61"/>
      <c r="J697" s="61"/>
      <c r="K697" s="62"/>
      <c r="L697" s="10" t="str">
        <f t="shared" si="158"/>
        <v/>
      </c>
      <c r="M697" s="10" t="str">
        <f t="shared" si="159"/>
        <v/>
      </c>
      <c r="N697" s="11" t="str">
        <f t="shared" si="160"/>
        <v/>
      </c>
      <c r="O697" s="10" t="str">
        <f t="shared" si="161"/>
        <v/>
      </c>
      <c r="P697" s="12" t="str">
        <f t="shared" si="162"/>
        <v/>
      </c>
      <c r="Q697" s="10" t="str">
        <f t="shared" si="163"/>
        <v/>
      </c>
      <c r="R697" s="13" t="str">
        <f t="shared" si="164"/>
        <v/>
      </c>
      <c r="S697" s="13" t="str">
        <f t="shared" si="165"/>
        <v/>
      </c>
      <c r="T697" s="22" t="str">
        <f>IF(R697&lt;&gt;"",VLOOKUP(P697,Constants!$D$3:$E$10,2),"")</f>
        <v/>
      </c>
    </row>
    <row r="698" spans="2:20" x14ac:dyDescent="0.25">
      <c r="B698" s="59"/>
      <c r="C698" s="59"/>
      <c r="D698" s="60"/>
      <c r="E698" s="59"/>
      <c r="F698" s="59"/>
      <c r="G698" s="59"/>
      <c r="H698" s="61"/>
      <c r="I698" s="61"/>
      <c r="J698" s="61"/>
      <c r="K698" s="62"/>
      <c r="L698" s="10" t="str">
        <f t="shared" si="158"/>
        <v/>
      </c>
      <c r="M698" s="10" t="str">
        <f t="shared" si="159"/>
        <v/>
      </c>
      <c r="N698" s="11" t="str">
        <f t="shared" si="160"/>
        <v/>
      </c>
      <c r="O698" s="10" t="str">
        <f t="shared" si="161"/>
        <v/>
      </c>
      <c r="P698" s="12" t="str">
        <f t="shared" si="162"/>
        <v/>
      </c>
      <c r="Q698" s="10" t="str">
        <f t="shared" si="163"/>
        <v/>
      </c>
      <c r="R698" s="13" t="str">
        <f t="shared" si="164"/>
        <v/>
      </c>
      <c r="S698" s="13" t="str">
        <f t="shared" si="165"/>
        <v/>
      </c>
      <c r="T698" s="22" t="str">
        <f>IF(R698&lt;&gt;"",VLOOKUP(P698,Constants!$D$3:$E$10,2),"")</f>
        <v/>
      </c>
    </row>
    <row r="699" spans="2:20" x14ac:dyDescent="0.25">
      <c r="B699" s="59"/>
      <c r="C699" s="59"/>
      <c r="D699" s="60"/>
      <c r="E699" s="59"/>
      <c r="F699" s="59"/>
      <c r="G699" s="59"/>
      <c r="H699" s="61"/>
      <c r="I699" s="61"/>
      <c r="J699" s="61"/>
      <c r="K699" s="62"/>
      <c r="L699" s="10" t="str">
        <f t="shared" si="158"/>
        <v/>
      </c>
      <c r="M699" s="10" t="str">
        <f t="shared" si="159"/>
        <v/>
      </c>
      <c r="N699" s="11" t="str">
        <f t="shared" si="160"/>
        <v/>
      </c>
      <c r="O699" s="10" t="str">
        <f t="shared" si="161"/>
        <v/>
      </c>
      <c r="P699" s="12" t="str">
        <f t="shared" si="162"/>
        <v/>
      </c>
      <c r="Q699" s="10" t="str">
        <f t="shared" si="163"/>
        <v/>
      </c>
      <c r="R699" s="13" t="str">
        <f t="shared" si="164"/>
        <v/>
      </c>
      <c r="S699" s="13" t="str">
        <f t="shared" si="165"/>
        <v/>
      </c>
      <c r="T699" s="22" t="str">
        <f>IF(R699&lt;&gt;"",VLOOKUP(P699,Constants!$D$3:$E$10,2),"")</f>
        <v/>
      </c>
    </row>
    <row r="700" spans="2:20" x14ac:dyDescent="0.25">
      <c r="B700" s="59"/>
      <c r="C700" s="59"/>
      <c r="D700" s="60"/>
      <c r="E700" s="59"/>
      <c r="F700" s="59"/>
      <c r="G700" s="59"/>
      <c r="H700" s="61"/>
      <c r="I700" s="61"/>
      <c r="J700" s="61"/>
      <c r="K700" s="62"/>
      <c r="L700" s="10" t="str">
        <f t="shared" si="158"/>
        <v/>
      </c>
      <c r="M700" s="10" t="str">
        <f t="shared" si="159"/>
        <v/>
      </c>
      <c r="N700" s="11" t="str">
        <f t="shared" si="160"/>
        <v/>
      </c>
      <c r="O700" s="10" t="str">
        <f t="shared" si="161"/>
        <v/>
      </c>
      <c r="P700" s="12" t="str">
        <f t="shared" si="162"/>
        <v/>
      </c>
      <c r="Q700" s="10" t="str">
        <f t="shared" si="163"/>
        <v/>
      </c>
      <c r="R700" s="13" t="str">
        <f t="shared" si="164"/>
        <v/>
      </c>
      <c r="S700" s="13" t="str">
        <f t="shared" si="165"/>
        <v/>
      </c>
      <c r="T700" s="22" t="str">
        <f>IF(R700&lt;&gt;"",VLOOKUP(P700,Constants!$D$3:$E$10,2),"")</f>
        <v/>
      </c>
    </row>
    <row r="701" spans="2:20" x14ac:dyDescent="0.25">
      <c r="B701" s="59"/>
      <c r="C701" s="59"/>
      <c r="D701" s="60"/>
      <c r="E701" s="59"/>
      <c r="F701" s="59"/>
      <c r="G701" s="59"/>
      <c r="H701" s="61"/>
      <c r="I701" s="61"/>
      <c r="J701" s="61"/>
      <c r="K701" s="62"/>
      <c r="L701" s="10" t="str">
        <f t="shared" si="158"/>
        <v/>
      </c>
      <c r="M701" s="10" t="str">
        <f t="shared" si="159"/>
        <v/>
      </c>
      <c r="N701" s="11" t="str">
        <f t="shared" si="160"/>
        <v/>
      </c>
      <c r="O701" s="10" t="str">
        <f t="shared" si="161"/>
        <v/>
      </c>
      <c r="P701" s="12" t="str">
        <f t="shared" si="162"/>
        <v/>
      </c>
      <c r="Q701" s="10" t="str">
        <f t="shared" si="163"/>
        <v/>
      </c>
      <c r="R701" s="13" t="str">
        <f t="shared" si="164"/>
        <v/>
      </c>
      <c r="S701" s="13" t="str">
        <f t="shared" si="165"/>
        <v/>
      </c>
      <c r="T701" s="22" t="str">
        <f>IF(R701&lt;&gt;"",VLOOKUP(P701,Constants!$D$3:$E$10,2),"")</f>
        <v/>
      </c>
    </row>
    <row r="702" spans="2:20" x14ac:dyDescent="0.25">
      <c r="B702" s="59"/>
      <c r="C702" s="59"/>
      <c r="D702" s="60"/>
      <c r="E702" s="59"/>
      <c r="F702" s="59"/>
      <c r="G702" s="59"/>
      <c r="H702" s="61"/>
      <c r="I702" s="61"/>
      <c r="J702" s="61"/>
      <c r="K702" s="62"/>
      <c r="L702" s="10" t="str">
        <f t="shared" si="158"/>
        <v/>
      </c>
      <c r="M702" s="10" t="str">
        <f t="shared" si="159"/>
        <v/>
      </c>
      <c r="N702" s="11" t="str">
        <f t="shared" si="160"/>
        <v/>
      </c>
      <c r="O702" s="10" t="str">
        <f t="shared" si="161"/>
        <v/>
      </c>
      <c r="P702" s="12" t="str">
        <f t="shared" si="162"/>
        <v/>
      </c>
      <c r="Q702" s="10" t="str">
        <f t="shared" si="163"/>
        <v/>
      </c>
      <c r="R702" s="13" t="str">
        <f t="shared" si="164"/>
        <v/>
      </c>
      <c r="S702" s="13" t="str">
        <f t="shared" si="165"/>
        <v/>
      </c>
      <c r="T702" s="22" t="str">
        <f>IF(R702&lt;&gt;"",VLOOKUP(P702,Constants!$D$3:$E$10,2),"")</f>
        <v/>
      </c>
    </row>
    <row r="703" spans="2:20" x14ac:dyDescent="0.25">
      <c r="B703" s="59"/>
      <c r="C703" s="59"/>
      <c r="D703" s="60"/>
      <c r="E703" s="59"/>
      <c r="F703" s="59"/>
      <c r="G703" s="59"/>
      <c r="H703" s="61"/>
      <c r="I703" s="61"/>
      <c r="J703" s="61"/>
      <c r="K703" s="62"/>
      <c r="L703" s="10" t="str">
        <f t="shared" si="158"/>
        <v/>
      </c>
      <c r="M703" s="10" t="str">
        <f t="shared" si="159"/>
        <v/>
      </c>
      <c r="N703" s="11" t="str">
        <f t="shared" si="160"/>
        <v/>
      </c>
      <c r="O703" s="10" t="str">
        <f t="shared" si="161"/>
        <v/>
      </c>
      <c r="P703" s="12" t="str">
        <f t="shared" si="162"/>
        <v/>
      </c>
      <c r="Q703" s="10" t="str">
        <f t="shared" si="163"/>
        <v/>
      </c>
      <c r="R703" s="13" t="str">
        <f t="shared" si="164"/>
        <v/>
      </c>
      <c r="S703" s="13" t="str">
        <f t="shared" si="165"/>
        <v/>
      </c>
      <c r="T703" s="22" t="str">
        <f>IF(R703&lt;&gt;"",VLOOKUP(P703,Constants!$D$3:$E$10,2),"")</f>
        <v/>
      </c>
    </row>
    <row r="704" spans="2:20" x14ac:dyDescent="0.25">
      <c r="B704" s="59"/>
      <c r="C704" s="59"/>
      <c r="D704" s="60"/>
      <c r="E704" s="59"/>
      <c r="F704" s="59"/>
      <c r="G704" s="59"/>
      <c r="H704" s="61"/>
      <c r="I704" s="61"/>
      <c r="J704" s="61"/>
      <c r="K704" s="62"/>
      <c r="L704" s="10" t="str">
        <f t="shared" si="158"/>
        <v/>
      </c>
      <c r="M704" s="10" t="str">
        <f t="shared" si="159"/>
        <v/>
      </c>
      <c r="N704" s="11" t="str">
        <f t="shared" si="160"/>
        <v/>
      </c>
      <c r="O704" s="10" t="str">
        <f t="shared" si="161"/>
        <v/>
      </c>
      <c r="P704" s="12" t="str">
        <f t="shared" si="162"/>
        <v/>
      </c>
      <c r="Q704" s="10" t="str">
        <f t="shared" si="163"/>
        <v/>
      </c>
      <c r="R704" s="13" t="str">
        <f t="shared" si="164"/>
        <v/>
      </c>
      <c r="S704" s="13" t="str">
        <f t="shared" si="165"/>
        <v/>
      </c>
      <c r="T704" s="22" t="str">
        <f>IF(R704&lt;&gt;"",VLOOKUP(P704,Constants!$D$3:$E$10,2),"")</f>
        <v/>
      </c>
    </row>
    <row r="705" spans="2:20" x14ac:dyDescent="0.25">
      <c r="B705" s="59"/>
      <c r="C705" s="59"/>
      <c r="D705" s="60"/>
      <c r="E705" s="59"/>
      <c r="F705" s="59"/>
      <c r="G705" s="59"/>
      <c r="H705" s="61"/>
      <c r="I705" s="61"/>
      <c r="J705" s="61"/>
      <c r="K705" s="62"/>
      <c r="L705" s="10" t="str">
        <f t="shared" si="158"/>
        <v/>
      </c>
      <c r="M705" s="10" t="str">
        <f t="shared" si="159"/>
        <v/>
      </c>
      <c r="N705" s="11" t="str">
        <f t="shared" si="160"/>
        <v/>
      </c>
      <c r="O705" s="10" t="str">
        <f t="shared" si="161"/>
        <v/>
      </c>
      <c r="P705" s="12" t="str">
        <f t="shared" si="162"/>
        <v/>
      </c>
      <c r="Q705" s="10" t="str">
        <f t="shared" si="163"/>
        <v/>
      </c>
      <c r="R705" s="13" t="str">
        <f t="shared" si="164"/>
        <v/>
      </c>
      <c r="S705" s="13" t="str">
        <f t="shared" si="165"/>
        <v/>
      </c>
      <c r="T705" s="22" t="str">
        <f>IF(R705&lt;&gt;"",VLOOKUP(P705,Constants!$D$3:$E$10,2),"")</f>
        <v/>
      </c>
    </row>
    <row r="706" spans="2:20" x14ac:dyDescent="0.25">
      <c r="B706" s="59"/>
      <c r="C706" s="59"/>
      <c r="D706" s="60"/>
      <c r="E706" s="59"/>
      <c r="F706" s="59"/>
      <c r="G706" s="59"/>
      <c r="H706" s="61"/>
      <c r="I706" s="61"/>
      <c r="J706" s="61"/>
      <c r="K706" s="62"/>
      <c r="L706" s="10" t="str">
        <f t="shared" si="158"/>
        <v/>
      </c>
      <c r="M706" s="10" t="str">
        <f t="shared" si="159"/>
        <v/>
      </c>
      <c r="N706" s="11" t="str">
        <f t="shared" si="160"/>
        <v/>
      </c>
      <c r="O706" s="10" t="str">
        <f t="shared" si="161"/>
        <v/>
      </c>
      <c r="P706" s="12" t="str">
        <f t="shared" si="162"/>
        <v/>
      </c>
      <c r="Q706" s="10" t="str">
        <f t="shared" si="163"/>
        <v/>
      </c>
      <c r="R706" s="13" t="str">
        <f t="shared" si="164"/>
        <v/>
      </c>
      <c r="S706" s="13" t="str">
        <f t="shared" si="165"/>
        <v/>
      </c>
      <c r="T706" s="22" t="str">
        <f>IF(R706&lt;&gt;"",VLOOKUP(P706,Constants!$D$3:$E$10,2),"")</f>
        <v/>
      </c>
    </row>
    <row r="707" spans="2:20" x14ac:dyDescent="0.25">
      <c r="B707" s="59"/>
      <c r="C707" s="59"/>
      <c r="D707" s="60"/>
      <c r="E707" s="59"/>
      <c r="F707" s="59"/>
      <c r="G707" s="59"/>
      <c r="H707" s="61"/>
      <c r="I707" s="61"/>
      <c r="J707" s="61"/>
      <c r="K707" s="62"/>
      <c r="L707" s="10" t="str">
        <f t="shared" si="158"/>
        <v/>
      </c>
      <c r="M707" s="10" t="str">
        <f t="shared" si="159"/>
        <v/>
      </c>
      <c r="N707" s="11" t="str">
        <f t="shared" si="160"/>
        <v/>
      </c>
      <c r="O707" s="10" t="str">
        <f t="shared" si="161"/>
        <v/>
      </c>
      <c r="P707" s="12" t="str">
        <f t="shared" si="162"/>
        <v/>
      </c>
      <c r="Q707" s="10" t="str">
        <f t="shared" si="163"/>
        <v/>
      </c>
      <c r="R707" s="13" t="str">
        <f t="shared" si="164"/>
        <v/>
      </c>
      <c r="S707" s="13" t="str">
        <f t="shared" si="165"/>
        <v/>
      </c>
      <c r="T707" s="22" t="str">
        <f>IF(R707&lt;&gt;"",VLOOKUP(P707,Constants!$D$3:$E$10,2),"")</f>
        <v/>
      </c>
    </row>
    <row r="708" spans="2:20" x14ac:dyDescent="0.25">
      <c r="B708" s="59"/>
      <c r="C708" s="59"/>
      <c r="D708" s="60"/>
      <c r="E708" s="59"/>
      <c r="F708" s="59"/>
      <c r="G708" s="59"/>
      <c r="H708" s="61"/>
      <c r="I708" s="61"/>
      <c r="J708" s="61"/>
      <c r="K708" s="62"/>
      <c r="L708" s="10" t="str">
        <f t="shared" si="158"/>
        <v/>
      </c>
      <c r="M708" s="10" t="str">
        <f t="shared" si="159"/>
        <v/>
      </c>
      <c r="N708" s="11" t="str">
        <f t="shared" si="160"/>
        <v/>
      </c>
      <c r="O708" s="10" t="str">
        <f t="shared" si="161"/>
        <v/>
      </c>
      <c r="P708" s="12" t="str">
        <f t="shared" si="162"/>
        <v/>
      </c>
      <c r="Q708" s="10" t="str">
        <f t="shared" si="163"/>
        <v/>
      </c>
      <c r="R708" s="13" t="str">
        <f t="shared" si="164"/>
        <v/>
      </c>
      <c r="S708" s="13" t="str">
        <f t="shared" si="165"/>
        <v/>
      </c>
      <c r="T708" s="22" t="str">
        <f>IF(R708&lt;&gt;"",VLOOKUP(P708,Constants!$D$3:$E$10,2),"")</f>
        <v/>
      </c>
    </row>
    <row r="709" spans="2:20" x14ac:dyDescent="0.25">
      <c r="B709" s="59"/>
      <c r="C709" s="59"/>
      <c r="D709" s="60"/>
      <c r="E709" s="59"/>
      <c r="F709" s="59"/>
      <c r="G709" s="59"/>
      <c r="H709" s="61"/>
      <c r="I709" s="61"/>
      <c r="J709" s="61"/>
      <c r="K709" s="62"/>
      <c r="L709" s="10" t="str">
        <f t="shared" si="158"/>
        <v/>
      </c>
      <c r="M709" s="10" t="str">
        <f t="shared" si="159"/>
        <v/>
      </c>
      <c r="N709" s="11" t="str">
        <f t="shared" si="160"/>
        <v/>
      </c>
      <c r="O709" s="10" t="str">
        <f t="shared" si="161"/>
        <v/>
      </c>
      <c r="P709" s="12" t="str">
        <f t="shared" si="162"/>
        <v/>
      </c>
      <c r="Q709" s="10" t="str">
        <f t="shared" si="163"/>
        <v/>
      </c>
      <c r="R709" s="13" t="str">
        <f t="shared" si="164"/>
        <v/>
      </c>
      <c r="S709" s="13" t="str">
        <f t="shared" si="165"/>
        <v/>
      </c>
      <c r="T709" s="22" t="str">
        <f>IF(R709&lt;&gt;"",VLOOKUP(P709,Constants!$D$3:$E$10,2),"")</f>
        <v/>
      </c>
    </row>
    <row r="710" spans="2:20" x14ac:dyDescent="0.25">
      <c r="B710" s="59"/>
      <c r="C710" s="59"/>
      <c r="D710" s="60"/>
      <c r="E710" s="59"/>
      <c r="F710" s="59"/>
      <c r="G710" s="59"/>
      <c r="H710" s="61"/>
      <c r="I710" s="61"/>
      <c r="J710" s="61"/>
      <c r="K710" s="62"/>
      <c r="L710" s="10" t="str">
        <f t="shared" si="158"/>
        <v/>
      </c>
      <c r="M710" s="10" t="str">
        <f t="shared" si="159"/>
        <v/>
      </c>
      <c r="N710" s="11" t="str">
        <f t="shared" si="160"/>
        <v/>
      </c>
      <c r="O710" s="10" t="str">
        <f t="shared" si="161"/>
        <v/>
      </c>
      <c r="P710" s="12" t="str">
        <f t="shared" si="162"/>
        <v/>
      </c>
      <c r="Q710" s="10" t="str">
        <f t="shared" si="163"/>
        <v/>
      </c>
      <c r="R710" s="13" t="str">
        <f t="shared" si="164"/>
        <v/>
      </c>
      <c r="S710" s="13" t="str">
        <f t="shared" si="165"/>
        <v/>
      </c>
      <c r="T710" s="22" t="str">
        <f>IF(R710&lt;&gt;"",VLOOKUP(P710,Constants!$D$3:$E$10,2),"")</f>
        <v/>
      </c>
    </row>
    <row r="711" spans="2:20" x14ac:dyDescent="0.25">
      <c r="B711" s="59"/>
      <c r="C711" s="59"/>
      <c r="D711" s="60"/>
      <c r="E711" s="59"/>
      <c r="F711" s="59"/>
      <c r="G711" s="59"/>
      <c r="H711" s="61"/>
      <c r="I711" s="61"/>
      <c r="J711" s="61"/>
      <c r="K711" s="62"/>
      <c r="L711" s="10" t="str">
        <f t="shared" si="158"/>
        <v/>
      </c>
      <c r="M711" s="10" t="str">
        <f t="shared" si="159"/>
        <v/>
      </c>
      <c r="N711" s="11" t="str">
        <f t="shared" si="160"/>
        <v/>
      </c>
      <c r="O711" s="10" t="str">
        <f t="shared" si="161"/>
        <v/>
      </c>
      <c r="P711" s="12" t="str">
        <f t="shared" si="162"/>
        <v/>
      </c>
      <c r="Q711" s="10" t="str">
        <f t="shared" si="163"/>
        <v/>
      </c>
      <c r="R711" s="13" t="str">
        <f t="shared" si="164"/>
        <v/>
      </c>
      <c r="S711" s="13" t="str">
        <f t="shared" si="165"/>
        <v/>
      </c>
      <c r="T711" s="22" t="str">
        <f>IF(R711&lt;&gt;"",VLOOKUP(P711,Constants!$D$3:$E$10,2),"")</f>
        <v/>
      </c>
    </row>
    <row r="712" spans="2:20" x14ac:dyDescent="0.25">
      <c r="B712" s="59"/>
      <c r="C712" s="59"/>
      <c r="D712" s="60"/>
      <c r="E712" s="59"/>
      <c r="F712" s="59"/>
      <c r="G712" s="59"/>
      <c r="H712" s="61"/>
      <c r="I712" s="61"/>
      <c r="J712" s="61"/>
      <c r="K712" s="62"/>
      <c r="L712" s="10" t="str">
        <f t="shared" si="158"/>
        <v/>
      </c>
      <c r="M712" s="10" t="str">
        <f t="shared" si="159"/>
        <v/>
      </c>
      <c r="N712" s="11" t="str">
        <f t="shared" si="160"/>
        <v/>
      </c>
      <c r="O712" s="10" t="str">
        <f t="shared" si="161"/>
        <v/>
      </c>
      <c r="P712" s="12" t="str">
        <f t="shared" si="162"/>
        <v/>
      </c>
      <c r="Q712" s="10" t="str">
        <f t="shared" si="163"/>
        <v/>
      </c>
      <c r="R712" s="13" t="str">
        <f t="shared" si="164"/>
        <v/>
      </c>
      <c r="S712" s="13" t="str">
        <f t="shared" si="165"/>
        <v/>
      </c>
      <c r="T712" s="22" t="str">
        <f>IF(R712&lt;&gt;"",VLOOKUP(P712,Constants!$D$3:$E$10,2),"")</f>
        <v/>
      </c>
    </row>
    <row r="713" spans="2:20" x14ac:dyDescent="0.25">
      <c r="B713" s="59"/>
      <c r="C713" s="59"/>
      <c r="D713" s="60"/>
      <c r="E713" s="59"/>
      <c r="F713" s="59"/>
      <c r="G713" s="59"/>
      <c r="H713" s="61"/>
      <c r="I713" s="61"/>
      <c r="J713" s="61"/>
      <c r="K713" s="62"/>
      <c r="L713" s="10" t="str">
        <f t="shared" si="158"/>
        <v/>
      </c>
      <c r="M713" s="10" t="str">
        <f t="shared" si="159"/>
        <v/>
      </c>
      <c r="N713" s="11" t="str">
        <f t="shared" si="160"/>
        <v/>
      </c>
      <c r="O713" s="10" t="str">
        <f t="shared" si="161"/>
        <v/>
      </c>
      <c r="P713" s="12" t="str">
        <f t="shared" si="162"/>
        <v/>
      </c>
      <c r="Q713" s="10" t="str">
        <f t="shared" si="163"/>
        <v/>
      </c>
      <c r="R713" s="13" t="str">
        <f t="shared" si="164"/>
        <v/>
      </c>
      <c r="S713" s="13" t="str">
        <f t="shared" si="165"/>
        <v/>
      </c>
      <c r="T713" s="22" t="str">
        <f>IF(R713&lt;&gt;"",VLOOKUP(P713,Constants!$D$3:$E$10,2),"")</f>
        <v/>
      </c>
    </row>
    <row r="714" spans="2:20" x14ac:dyDescent="0.25">
      <c r="B714" s="59"/>
      <c r="C714" s="59"/>
      <c r="D714" s="60"/>
      <c r="E714" s="59"/>
      <c r="F714" s="59"/>
      <c r="G714" s="59"/>
      <c r="H714" s="61"/>
      <c r="I714" s="61"/>
      <c r="J714" s="61"/>
      <c r="K714" s="62"/>
      <c r="L714" s="10" t="str">
        <f t="shared" si="158"/>
        <v/>
      </c>
      <c r="M714" s="10" t="str">
        <f t="shared" si="159"/>
        <v/>
      </c>
      <c r="N714" s="11" t="str">
        <f t="shared" si="160"/>
        <v/>
      </c>
      <c r="O714" s="10" t="str">
        <f t="shared" si="161"/>
        <v/>
      </c>
      <c r="P714" s="12" t="str">
        <f t="shared" si="162"/>
        <v/>
      </c>
      <c r="Q714" s="10" t="str">
        <f t="shared" si="163"/>
        <v/>
      </c>
      <c r="R714" s="13" t="str">
        <f t="shared" si="164"/>
        <v/>
      </c>
      <c r="S714" s="13" t="str">
        <f t="shared" si="165"/>
        <v/>
      </c>
      <c r="T714" s="22" t="str">
        <f>IF(R714&lt;&gt;"",VLOOKUP(P714,Constants!$D$3:$E$10,2),"")</f>
        <v/>
      </c>
    </row>
    <row r="715" spans="2:20" x14ac:dyDescent="0.25">
      <c r="B715" s="59"/>
      <c r="C715" s="59"/>
      <c r="D715" s="60"/>
      <c r="E715" s="59"/>
      <c r="F715" s="59"/>
      <c r="G715" s="59"/>
      <c r="H715" s="61"/>
      <c r="I715" s="61"/>
      <c r="J715" s="61"/>
      <c r="K715" s="62"/>
      <c r="L715" s="10" t="str">
        <f t="shared" si="158"/>
        <v/>
      </c>
      <c r="M715" s="10" t="str">
        <f t="shared" si="159"/>
        <v/>
      </c>
      <c r="N715" s="11" t="str">
        <f t="shared" si="160"/>
        <v/>
      </c>
      <c r="O715" s="10" t="str">
        <f t="shared" si="161"/>
        <v/>
      </c>
      <c r="P715" s="12" t="str">
        <f t="shared" si="162"/>
        <v/>
      </c>
      <c r="Q715" s="10" t="str">
        <f t="shared" si="163"/>
        <v/>
      </c>
      <c r="R715" s="13" t="str">
        <f t="shared" si="164"/>
        <v/>
      </c>
      <c r="S715" s="13" t="str">
        <f t="shared" si="165"/>
        <v/>
      </c>
      <c r="T715" s="22" t="str">
        <f>IF(R715&lt;&gt;"",VLOOKUP(P715,Constants!$D$3:$E$10,2),"")</f>
        <v/>
      </c>
    </row>
    <row r="716" spans="2:20" x14ac:dyDescent="0.25">
      <c r="B716" s="59"/>
      <c r="C716" s="59"/>
      <c r="D716" s="60"/>
      <c r="E716" s="59"/>
      <c r="F716" s="59"/>
      <c r="G716" s="59"/>
      <c r="H716" s="61"/>
      <c r="I716" s="61"/>
      <c r="J716" s="61"/>
      <c r="K716" s="62"/>
      <c r="L716" s="10" t="str">
        <f t="shared" si="158"/>
        <v/>
      </c>
      <c r="M716" s="10" t="str">
        <f t="shared" si="159"/>
        <v/>
      </c>
      <c r="N716" s="11" t="str">
        <f t="shared" si="160"/>
        <v/>
      </c>
      <c r="O716" s="10" t="str">
        <f t="shared" si="161"/>
        <v/>
      </c>
      <c r="P716" s="12" t="str">
        <f t="shared" si="162"/>
        <v/>
      </c>
      <c r="Q716" s="10" t="str">
        <f t="shared" si="163"/>
        <v/>
      </c>
      <c r="R716" s="13" t="str">
        <f t="shared" si="164"/>
        <v/>
      </c>
      <c r="S716" s="13" t="str">
        <f t="shared" si="165"/>
        <v/>
      </c>
      <c r="T716" s="22" t="str">
        <f>IF(R716&lt;&gt;"",VLOOKUP(P716,Constants!$D$3:$E$10,2),"")</f>
        <v/>
      </c>
    </row>
    <row r="717" spans="2:20" x14ac:dyDescent="0.25">
      <c r="B717" s="59"/>
      <c r="C717" s="59"/>
      <c r="D717" s="60"/>
      <c r="E717" s="59"/>
      <c r="F717" s="59"/>
      <c r="G717" s="59"/>
      <c r="H717" s="61"/>
      <c r="I717" s="61"/>
      <c r="J717" s="61"/>
      <c r="K717" s="62"/>
      <c r="L717" s="10" t="str">
        <f t="shared" si="158"/>
        <v/>
      </c>
      <c r="M717" s="10" t="str">
        <f t="shared" si="159"/>
        <v/>
      </c>
      <c r="N717" s="11" t="str">
        <f t="shared" si="160"/>
        <v/>
      </c>
      <c r="O717" s="10" t="str">
        <f t="shared" si="161"/>
        <v/>
      </c>
      <c r="P717" s="12" t="str">
        <f t="shared" si="162"/>
        <v/>
      </c>
      <c r="Q717" s="10" t="str">
        <f t="shared" si="163"/>
        <v/>
      </c>
      <c r="R717" s="13" t="str">
        <f t="shared" si="164"/>
        <v/>
      </c>
      <c r="S717" s="13" t="str">
        <f t="shared" si="165"/>
        <v/>
      </c>
      <c r="T717" s="22" t="str">
        <f>IF(R717&lt;&gt;"",VLOOKUP(P717,Constants!$D$3:$E$10,2),"")</f>
        <v/>
      </c>
    </row>
    <row r="718" spans="2:20" x14ac:dyDescent="0.25">
      <c r="B718" s="59"/>
      <c r="C718" s="59"/>
      <c r="D718" s="60"/>
      <c r="E718" s="59"/>
      <c r="F718" s="59"/>
      <c r="G718" s="59"/>
      <c r="H718" s="61"/>
      <c r="I718" s="61"/>
      <c r="J718" s="61"/>
      <c r="K718" s="62"/>
      <c r="L718" s="10" t="str">
        <f t="shared" si="158"/>
        <v/>
      </c>
      <c r="M718" s="10" t="str">
        <f t="shared" si="159"/>
        <v/>
      </c>
      <c r="N718" s="11" t="str">
        <f t="shared" si="160"/>
        <v/>
      </c>
      <c r="O718" s="10" t="str">
        <f t="shared" si="161"/>
        <v/>
      </c>
      <c r="P718" s="12" t="str">
        <f t="shared" si="162"/>
        <v/>
      </c>
      <c r="Q718" s="10" t="str">
        <f t="shared" si="163"/>
        <v/>
      </c>
      <c r="R718" s="13" t="str">
        <f t="shared" si="164"/>
        <v/>
      </c>
      <c r="S718" s="13" t="str">
        <f t="shared" si="165"/>
        <v/>
      </c>
      <c r="T718" s="22" t="str">
        <f>IF(R718&lt;&gt;"",VLOOKUP(P718,Constants!$D$3:$E$10,2),"")</f>
        <v/>
      </c>
    </row>
    <row r="719" spans="2:20" x14ac:dyDescent="0.25">
      <c r="B719" s="59"/>
      <c r="C719" s="59"/>
      <c r="D719" s="60"/>
      <c r="E719" s="59"/>
      <c r="F719" s="59"/>
      <c r="G719" s="59"/>
      <c r="H719" s="61"/>
      <c r="I719" s="61"/>
      <c r="J719" s="61"/>
      <c r="K719" s="62"/>
      <c r="L719" s="10" t="str">
        <f t="shared" si="158"/>
        <v/>
      </c>
      <c r="M719" s="10" t="str">
        <f t="shared" si="159"/>
        <v/>
      </c>
      <c r="N719" s="11" t="str">
        <f t="shared" si="160"/>
        <v/>
      </c>
      <c r="O719" s="10" t="str">
        <f t="shared" si="161"/>
        <v/>
      </c>
      <c r="P719" s="12" t="str">
        <f t="shared" si="162"/>
        <v/>
      </c>
      <c r="Q719" s="10" t="str">
        <f t="shared" si="163"/>
        <v/>
      </c>
      <c r="R719" s="13" t="str">
        <f t="shared" si="164"/>
        <v/>
      </c>
      <c r="S719" s="13" t="str">
        <f t="shared" si="165"/>
        <v/>
      </c>
      <c r="T719" s="22" t="str">
        <f>IF(R719&lt;&gt;"",VLOOKUP(P719,Constants!$D$3:$E$10,2),"")</f>
        <v/>
      </c>
    </row>
    <row r="720" spans="2:20" x14ac:dyDescent="0.25">
      <c r="B720" s="59"/>
      <c r="C720" s="59"/>
      <c r="D720" s="60"/>
      <c r="E720" s="59"/>
      <c r="F720" s="59"/>
      <c r="G720" s="59"/>
      <c r="H720" s="61"/>
      <c r="I720" s="61"/>
      <c r="J720" s="61"/>
      <c r="K720" s="62"/>
      <c r="L720" s="10" t="str">
        <f t="shared" si="158"/>
        <v/>
      </c>
      <c r="M720" s="10" t="str">
        <f t="shared" si="159"/>
        <v/>
      </c>
      <c r="N720" s="11" t="str">
        <f t="shared" si="160"/>
        <v/>
      </c>
      <c r="O720" s="10" t="str">
        <f t="shared" si="161"/>
        <v/>
      </c>
      <c r="P720" s="12" t="str">
        <f t="shared" si="162"/>
        <v/>
      </c>
      <c r="Q720" s="10" t="str">
        <f t="shared" si="163"/>
        <v/>
      </c>
      <c r="R720" s="13" t="str">
        <f t="shared" si="164"/>
        <v/>
      </c>
      <c r="S720" s="13" t="str">
        <f t="shared" si="165"/>
        <v/>
      </c>
      <c r="T720" s="22" t="str">
        <f>IF(R720&lt;&gt;"",VLOOKUP(P720,Constants!$D$3:$E$10,2),"")</f>
        <v/>
      </c>
    </row>
    <row r="721" spans="2:20" x14ac:dyDescent="0.25">
      <c r="B721" s="59"/>
      <c r="C721" s="59"/>
      <c r="D721" s="60"/>
      <c r="E721" s="59"/>
      <c r="F721" s="59"/>
      <c r="G721" s="59"/>
      <c r="H721" s="61"/>
      <c r="I721" s="61"/>
      <c r="J721" s="61"/>
      <c r="K721" s="62"/>
      <c r="L721" s="10" t="str">
        <f t="shared" si="158"/>
        <v/>
      </c>
      <c r="M721" s="10" t="str">
        <f t="shared" si="159"/>
        <v/>
      </c>
      <c r="N721" s="11" t="str">
        <f t="shared" si="160"/>
        <v/>
      </c>
      <c r="O721" s="10" t="str">
        <f t="shared" si="161"/>
        <v/>
      </c>
      <c r="P721" s="12" t="str">
        <f t="shared" si="162"/>
        <v/>
      </c>
      <c r="Q721" s="10" t="str">
        <f t="shared" si="163"/>
        <v/>
      </c>
      <c r="R721" s="13" t="str">
        <f t="shared" si="164"/>
        <v/>
      </c>
      <c r="S721" s="13" t="str">
        <f t="shared" si="165"/>
        <v/>
      </c>
      <c r="T721" s="22" t="str">
        <f>IF(R721&lt;&gt;"",VLOOKUP(P721,Constants!$D$3:$E$10,2),"")</f>
        <v/>
      </c>
    </row>
    <row r="722" spans="2:20" x14ac:dyDescent="0.25">
      <c r="B722" s="59"/>
      <c r="C722" s="59"/>
      <c r="D722" s="60"/>
      <c r="E722" s="59"/>
      <c r="F722" s="59"/>
      <c r="G722" s="59"/>
      <c r="H722" s="61"/>
      <c r="I722" s="61"/>
      <c r="J722" s="61"/>
      <c r="K722" s="62"/>
      <c r="L722" s="10" t="str">
        <f t="shared" ref="L722:L785" si="166">IF($D722&lt;&gt;"",$D722*$E722/1000,"")</f>
        <v/>
      </c>
      <c r="M722" s="10" t="str">
        <f t="shared" ref="M722:M785" si="167">IF($D722&lt;&gt;"",$D722*$F722/1000,"")</f>
        <v/>
      </c>
      <c r="N722" s="11" t="str">
        <f t="shared" ref="N722:N785" si="168">IF($L722&lt;&gt;"",SQRT($L722*$L722+$M722*$M722),"")</f>
        <v/>
      </c>
      <c r="O722" s="10" t="str">
        <f t="shared" si="161"/>
        <v/>
      </c>
      <c r="P722" s="12" t="str">
        <f t="shared" si="162"/>
        <v/>
      </c>
      <c r="Q722" s="10" t="str">
        <f t="shared" si="163"/>
        <v/>
      </c>
      <c r="R722" s="13" t="str">
        <f t="shared" si="164"/>
        <v/>
      </c>
      <c r="S722" s="13" t="str">
        <f t="shared" si="165"/>
        <v/>
      </c>
      <c r="T722" s="22" t="str">
        <f>IF(R722&lt;&gt;"",VLOOKUP(P722,Constants!$D$3:$E$10,2),"")</f>
        <v/>
      </c>
    </row>
    <row r="723" spans="2:20" x14ac:dyDescent="0.25">
      <c r="B723" s="59"/>
      <c r="C723" s="59"/>
      <c r="D723" s="60"/>
      <c r="E723" s="59"/>
      <c r="F723" s="59"/>
      <c r="G723" s="59"/>
      <c r="H723" s="61"/>
      <c r="I723" s="61"/>
      <c r="J723" s="61"/>
      <c r="K723" s="62"/>
      <c r="L723" s="10" t="str">
        <f t="shared" si="166"/>
        <v/>
      </c>
      <c r="M723" s="10" t="str">
        <f t="shared" si="167"/>
        <v/>
      </c>
      <c r="N723" s="11" t="str">
        <f t="shared" si="168"/>
        <v/>
      </c>
      <c r="O723" s="10" t="str">
        <f t="shared" si="161"/>
        <v/>
      </c>
      <c r="P723" s="12" t="str">
        <f t="shared" si="162"/>
        <v/>
      </c>
      <c r="Q723" s="10" t="str">
        <f t="shared" si="163"/>
        <v/>
      </c>
      <c r="R723" s="13" t="str">
        <f t="shared" si="164"/>
        <v/>
      </c>
      <c r="S723" s="13" t="str">
        <f t="shared" si="165"/>
        <v/>
      </c>
      <c r="T723" s="22" t="str">
        <f>IF(R723&lt;&gt;"",VLOOKUP(P723,Constants!$D$3:$E$10,2),"")</f>
        <v/>
      </c>
    </row>
    <row r="724" spans="2:20" x14ac:dyDescent="0.25">
      <c r="B724" s="59"/>
      <c r="C724" s="59"/>
      <c r="D724" s="60"/>
      <c r="E724" s="59"/>
      <c r="F724" s="59"/>
      <c r="G724" s="59"/>
      <c r="H724" s="61"/>
      <c r="I724" s="61"/>
      <c r="J724" s="61"/>
      <c r="K724" s="62"/>
      <c r="L724" s="10" t="str">
        <f t="shared" si="166"/>
        <v/>
      </c>
      <c r="M724" s="10" t="str">
        <f t="shared" si="167"/>
        <v/>
      </c>
      <c r="N724" s="11" t="str">
        <f t="shared" si="168"/>
        <v/>
      </c>
      <c r="O724" s="10" t="str">
        <f t="shared" ref="O724:O787" si="169">IF(D724&lt;&gt;"",1000/(2*D724),"")</f>
        <v/>
      </c>
      <c r="P724" s="12" t="str">
        <f t="shared" ref="P724:P787" si="170">IF($N724&lt;&gt;"",D724*SQRT(E724*E724+F724*F724)/16000,"")</f>
        <v/>
      </c>
      <c r="Q724" s="10" t="str">
        <f t="shared" ref="Q724:Q787" si="171">IF(F724&lt;&gt;"",F724*E724/1000000,"")</f>
        <v/>
      </c>
      <c r="R724" s="13" t="str">
        <f t="shared" ref="R724:R787" si="172">IF(G724&lt;&gt;"",1000/G724,"")</f>
        <v/>
      </c>
      <c r="S724" s="13" t="str">
        <f t="shared" ref="S724:S787" si="173">IF(R724&lt;&gt;"",Q724/R724*1000,"")</f>
        <v/>
      </c>
      <c r="T724" s="22" t="str">
        <f>IF(R724&lt;&gt;"",VLOOKUP(P724,Constants!$D$3:$E$10,2),"")</f>
        <v/>
      </c>
    </row>
    <row r="725" spans="2:20" x14ac:dyDescent="0.25">
      <c r="B725" s="59"/>
      <c r="C725" s="59"/>
      <c r="D725" s="60"/>
      <c r="E725" s="59"/>
      <c r="F725" s="59"/>
      <c r="G725" s="59"/>
      <c r="H725" s="61"/>
      <c r="I725" s="61"/>
      <c r="J725" s="61"/>
      <c r="K725" s="62"/>
      <c r="L725" s="10" t="str">
        <f t="shared" si="166"/>
        <v/>
      </c>
      <c r="M725" s="10" t="str">
        <f t="shared" si="167"/>
        <v/>
      </c>
      <c r="N725" s="11" t="str">
        <f t="shared" si="168"/>
        <v/>
      </c>
      <c r="O725" s="10" t="str">
        <f t="shared" si="169"/>
        <v/>
      </c>
      <c r="P725" s="12" t="str">
        <f t="shared" si="170"/>
        <v/>
      </c>
      <c r="Q725" s="10" t="str">
        <f t="shared" si="171"/>
        <v/>
      </c>
      <c r="R725" s="13" t="str">
        <f t="shared" si="172"/>
        <v/>
      </c>
      <c r="S725" s="13" t="str">
        <f t="shared" si="173"/>
        <v/>
      </c>
      <c r="T725" s="22" t="str">
        <f>IF(R725&lt;&gt;"",VLOOKUP(P725,Constants!$D$3:$E$10,2),"")</f>
        <v/>
      </c>
    </row>
    <row r="726" spans="2:20" x14ac:dyDescent="0.25">
      <c r="B726" s="59"/>
      <c r="C726" s="59"/>
      <c r="D726" s="60"/>
      <c r="E726" s="59"/>
      <c r="F726" s="59"/>
      <c r="G726" s="59"/>
      <c r="H726" s="61"/>
      <c r="I726" s="61"/>
      <c r="J726" s="61"/>
      <c r="K726" s="62"/>
      <c r="L726" s="10" t="str">
        <f t="shared" si="166"/>
        <v/>
      </c>
      <c r="M726" s="10" t="str">
        <f t="shared" si="167"/>
        <v/>
      </c>
      <c r="N726" s="11" t="str">
        <f t="shared" si="168"/>
        <v/>
      </c>
      <c r="O726" s="10" t="str">
        <f t="shared" si="169"/>
        <v/>
      </c>
      <c r="P726" s="12" t="str">
        <f t="shared" si="170"/>
        <v/>
      </c>
      <c r="Q726" s="10" t="str">
        <f t="shared" si="171"/>
        <v/>
      </c>
      <c r="R726" s="13" t="str">
        <f t="shared" si="172"/>
        <v/>
      </c>
      <c r="S726" s="13" t="str">
        <f t="shared" si="173"/>
        <v/>
      </c>
      <c r="T726" s="22" t="str">
        <f>IF(R726&lt;&gt;"",VLOOKUP(P726,Constants!$D$3:$E$10,2),"")</f>
        <v/>
      </c>
    </row>
    <row r="727" spans="2:20" x14ac:dyDescent="0.25">
      <c r="B727" s="59"/>
      <c r="C727" s="59"/>
      <c r="D727" s="60"/>
      <c r="E727" s="59"/>
      <c r="F727" s="59"/>
      <c r="G727" s="59"/>
      <c r="H727" s="61"/>
      <c r="I727" s="61"/>
      <c r="J727" s="61"/>
      <c r="K727" s="62"/>
      <c r="L727" s="10" t="str">
        <f t="shared" si="166"/>
        <v/>
      </c>
      <c r="M727" s="10" t="str">
        <f t="shared" si="167"/>
        <v/>
      </c>
      <c r="N727" s="11" t="str">
        <f t="shared" si="168"/>
        <v/>
      </c>
      <c r="O727" s="10" t="str">
        <f t="shared" si="169"/>
        <v/>
      </c>
      <c r="P727" s="12" t="str">
        <f t="shared" si="170"/>
        <v/>
      </c>
      <c r="Q727" s="10" t="str">
        <f t="shared" si="171"/>
        <v/>
      </c>
      <c r="R727" s="13" t="str">
        <f t="shared" si="172"/>
        <v/>
      </c>
      <c r="S727" s="13" t="str">
        <f t="shared" si="173"/>
        <v/>
      </c>
      <c r="T727" s="22" t="str">
        <f>IF(R727&lt;&gt;"",VLOOKUP(P727,Constants!$D$3:$E$10,2),"")</f>
        <v/>
      </c>
    </row>
    <row r="728" spans="2:20" x14ac:dyDescent="0.25">
      <c r="B728" s="59"/>
      <c r="C728" s="59"/>
      <c r="D728" s="60"/>
      <c r="E728" s="59"/>
      <c r="F728" s="59"/>
      <c r="G728" s="59"/>
      <c r="H728" s="61"/>
      <c r="I728" s="61"/>
      <c r="J728" s="61"/>
      <c r="K728" s="62"/>
      <c r="L728" s="10" t="str">
        <f t="shared" si="166"/>
        <v/>
      </c>
      <c r="M728" s="10" t="str">
        <f t="shared" si="167"/>
        <v/>
      </c>
      <c r="N728" s="11" t="str">
        <f t="shared" si="168"/>
        <v/>
      </c>
      <c r="O728" s="10" t="str">
        <f t="shared" si="169"/>
        <v/>
      </c>
      <c r="P728" s="12" t="str">
        <f t="shared" si="170"/>
        <v/>
      </c>
      <c r="Q728" s="10" t="str">
        <f t="shared" si="171"/>
        <v/>
      </c>
      <c r="R728" s="13" t="str">
        <f t="shared" si="172"/>
        <v/>
      </c>
      <c r="S728" s="13" t="str">
        <f t="shared" si="173"/>
        <v/>
      </c>
      <c r="T728" s="22" t="str">
        <f>IF(R728&lt;&gt;"",VLOOKUP(P728,Constants!$D$3:$E$10,2),"")</f>
        <v/>
      </c>
    </row>
    <row r="729" spans="2:20" x14ac:dyDescent="0.25">
      <c r="B729" s="59"/>
      <c r="C729" s="59"/>
      <c r="D729" s="60"/>
      <c r="E729" s="59"/>
      <c r="F729" s="59"/>
      <c r="G729" s="59"/>
      <c r="H729" s="61"/>
      <c r="I729" s="61"/>
      <c r="J729" s="61"/>
      <c r="K729" s="62"/>
      <c r="L729" s="10" t="str">
        <f t="shared" si="166"/>
        <v/>
      </c>
      <c r="M729" s="10" t="str">
        <f t="shared" si="167"/>
        <v/>
      </c>
      <c r="N729" s="11" t="str">
        <f t="shared" si="168"/>
        <v/>
      </c>
      <c r="O729" s="10" t="str">
        <f t="shared" si="169"/>
        <v/>
      </c>
      <c r="P729" s="12" t="str">
        <f t="shared" si="170"/>
        <v/>
      </c>
      <c r="Q729" s="10" t="str">
        <f t="shared" si="171"/>
        <v/>
      </c>
      <c r="R729" s="13" t="str">
        <f t="shared" si="172"/>
        <v/>
      </c>
      <c r="S729" s="13" t="str">
        <f t="shared" si="173"/>
        <v/>
      </c>
      <c r="T729" s="22" t="str">
        <f>IF(R729&lt;&gt;"",VLOOKUP(P729,Constants!$D$3:$E$10,2),"")</f>
        <v/>
      </c>
    </row>
    <row r="730" spans="2:20" x14ac:dyDescent="0.25">
      <c r="B730" s="59"/>
      <c r="C730" s="59"/>
      <c r="D730" s="60"/>
      <c r="E730" s="59"/>
      <c r="F730" s="59"/>
      <c r="G730" s="59"/>
      <c r="H730" s="61"/>
      <c r="I730" s="61"/>
      <c r="J730" s="61"/>
      <c r="K730" s="62"/>
      <c r="L730" s="10" t="str">
        <f t="shared" si="166"/>
        <v/>
      </c>
      <c r="M730" s="10" t="str">
        <f t="shared" si="167"/>
        <v/>
      </c>
      <c r="N730" s="11" t="str">
        <f t="shared" si="168"/>
        <v/>
      </c>
      <c r="O730" s="10" t="str">
        <f t="shared" si="169"/>
        <v/>
      </c>
      <c r="P730" s="12" t="str">
        <f t="shared" si="170"/>
        <v/>
      </c>
      <c r="Q730" s="10" t="str">
        <f t="shared" si="171"/>
        <v/>
      </c>
      <c r="R730" s="13" t="str">
        <f t="shared" si="172"/>
        <v/>
      </c>
      <c r="S730" s="13" t="str">
        <f t="shared" si="173"/>
        <v/>
      </c>
      <c r="T730" s="22" t="str">
        <f>IF(R730&lt;&gt;"",VLOOKUP(P730,Constants!$D$3:$E$10,2),"")</f>
        <v/>
      </c>
    </row>
    <row r="731" spans="2:20" x14ac:dyDescent="0.25">
      <c r="B731" s="59"/>
      <c r="C731" s="59"/>
      <c r="D731" s="60"/>
      <c r="E731" s="59"/>
      <c r="F731" s="59"/>
      <c r="G731" s="59"/>
      <c r="H731" s="61"/>
      <c r="I731" s="61"/>
      <c r="J731" s="61"/>
      <c r="K731" s="62"/>
      <c r="L731" s="10" t="str">
        <f t="shared" si="166"/>
        <v/>
      </c>
      <c r="M731" s="10" t="str">
        <f t="shared" si="167"/>
        <v/>
      </c>
      <c r="N731" s="11" t="str">
        <f t="shared" si="168"/>
        <v/>
      </c>
      <c r="O731" s="10" t="str">
        <f t="shared" si="169"/>
        <v/>
      </c>
      <c r="P731" s="12" t="str">
        <f t="shared" si="170"/>
        <v/>
      </c>
      <c r="Q731" s="10" t="str">
        <f t="shared" si="171"/>
        <v/>
      </c>
      <c r="R731" s="13" t="str">
        <f t="shared" si="172"/>
        <v/>
      </c>
      <c r="S731" s="13" t="str">
        <f t="shared" si="173"/>
        <v/>
      </c>
      <c r="T731" s="22" t="str">
        <f>IF(R731&lt;&gt;"",VLOOKUP(P731,Constants!$D$3:$E$10,2),"")</f>
        <v/>
      </c>
    </row>
    <row r="732" spans="2:20" x14ac:dyDescent="0.25">
      <c r="B732" s="59"/>
      <c r="C732" s="59"/>
      <c r="D732" s="60"/>
      <c r="E732" s="59"/>
      <c r="F732" s="59"/>
      <c r="G732" s="59"/>
      <c r="H732" s="61"/>
      <c r="I732" s="61"/>
      <c r="J732" s="61"/>
      <c r="K732" s="62"/>
      <c r="L732" s="10" t="str">
        <f t="shared" si="166"/>
        <v/>
      </c>
      <c r="M732" s="10" t="str">
        <f t="shared" si="167"/>
        <v/>
      </c>
      <c r="N732" s="11" t="str">
        <f t="shared" si="168"/>
        <v/>
      </c>
      <c r="O732" s="10" t="str">
        <f t="shared" si="169"/>
        <v/>
      </c>
      <c r="P732" s="12" t="str">
        <f t="shared" si="170"/>
        <v/>
      </c>
      <c r="Q732" s="10" t="str">
        <f t="shared" si="171"/>
        <v/>
      </c>
      <c r="R732" s="13" t="str">
        <f t="shared" si="172"/>
        <v/>
      </c>
      <c r="S732" s="13" t="str">
        <f t="shared" si="173"/>
        <v/>
      </c>
      <c r="T732" s="22" t="str">
        <f>IF(R732&lt;&gt;"",VLOOKUP(P732,Constants!$D$3:$E$10,2),"")</f>
        <v/>
      </c>
    </row>
    <row r="733" spans="2:20" x14ac:dyDescent="0.25">
      <c r="B733" s="59"/>
      <c r="C733" s="59"/>
      <c r="D733" s="60"/>
      <c r="E733" s="59"/>
      <c r="F733" s="59"/>
      <c r="G733" s="59"/>
      <c r="H733" s="61"/>
      <c r="I733" s="61"/>
      <c r="J733" s="61"/>
      <c r="K733" s="62"/>
      <c r="L733" s="10" t="str">
        <f t="shared" si="166"/>
        <v/>
      </c>
      <c r="M733" s="10" t="str">
        <f t="shared" si="167"/>
        <v/>
      </c>
      <c r="N733" s="11" t="str">
        <f t="shared" si="168"/>
        <v/>
      </c>
      <c r="O733" s="10" t="str">
        <f t="shared" si="169"/>
        <v/>
      </c>
      <c r="P733" s="12" t="str">
        <f t="shared" si="170"/>
        <v/>
      </c>
      <c r="Q733" s="10" t="str">
        <f t="shared" si="171"/>
        <v/>
      </c>
      <c r="R733" s="13" t="str">
        <f t="shared" si="172"/>
        <v/>
      </c>
      <c r="S733" s="13" t="str">
        <f t="shared" si="173"/>
        <v/>
      </c>
      <c r="T733" s="22" t="str">
        <f>IF(R733&lt;&gt;"",VLOOKUP(P733,Constants!$D$3:$E$10,2),"")</f>
        <v/>
      </c>
    </row>
    <row r="734" spans="2:20" x14ac:dyDescent="0.25">
      <c r="B734" s="59"/>
      <c r="C734" s="59"/>
      <c r="D734" s="60"/>
      <c r="E734" s="59"/>
      <c r="F734" s="59"/>
      <c r="G734" s="59"/>
      <c r="H734" s="61"/>
      <c r="I734" s="61"/>
      <c r="J734" s="61"/>
      <c r="K734" s="62"/>
      <c r="L734" s="10" t="str">
        <f t="shared" si="166"/>
        <v/>
      </c>
      <c r="M734" s="10" t="str">
        <f t="shared" si="167"/>
        <v/>
      </c>
      <c r="N734" s="11" t="str">
        <f t="shared" si="168"/>
        <v/>
      </c>
      <c r="O734" s="10" t="str">
        <f t="shared" si="169"/>
        <v/>
      </c>
      <c r="P734" s="12" t="str">
        <f t="shared" si="170"/>
        <v/>
      </c>
      <c r="Q734" s="10" t="str">
        <f t="shared" si="171"/>
        <v/>
      </c>
      <c r="R734" s="13" t="str">
        <f t="shared" si="172"/>
        <v/>
      </c>
      <c r="S734" s="13" t="str">
        <f t="shared" si="173"/>
        <v/>
      </c>
      <c r="T734" s="22" t="str">
        <f>IF(R734&lt;&gt;"",VLOOKUP(P734,Constants!$D$3:$E$10,2),"")</f>
        <v/>
      </c>
    </row>
    <row r="735" spans="2:20" x14ac:dyDescent="0.25">
      <c r="B735" s="59"/>
      <c r="C735" s="59"/>
      <c r="D735" s="60"/>
      <c r="E735" s="59"/>
      <c r="F735" s="59"/>
      <c r="G735" s="59"/>
      <c r="H735" s="61"/>
      <c r="I735" s="61"/>
      <c r="J735" s="61"/>
      <c r="K735" s="62"/>
      <c r="L735" s="10" t="str">
        <f t="shared" si="166"/>
        <v/>
      </c>
      <c r="M735" s="10" t="str">
        <f t="shared" si="167"/>
        <v/>
      </c>
      <c r="N735" s="11" t="str">
        <f t="shared" si="168"/>
        <v/>
      </c>
      <c r="O735" s="10" t="str">
        <f t="shared" si="169"/>
        <v/>
      </c>
      <c r="P735" s="12" t="str">
        <f t="shared" si="170"/>
        <v/>
      </c>
      <c r="Q735" s="10" t="str">
        <f t="shared" si="171"/>
        <v/>
      </c>
      <c r="R735" s="13" t="str">
        <f t="shared" si="172"/>
        <v/>
      </c>
      <c r="S735" s="13" t="str">
        <f t="shared" si="173"/>
        <v/>
      </c>
      <c r="T735" s="22" t="str">
        <f>IF(R735&lt;&gt;"",VLOOKUP(P735,Constants!$D$3:$E$10,2),"")</f>
        <v/>
      </c>
    </row>
    <row r="736" spans="2:20" x14ac:dyDescent="0.25">
      <c r="B736" s="59"/>
      <c r="C736" s="59"/>
      <c r="D736" s="60"/>
      <c r="E736" s="59"/>
      <c r="F736" s="59"/>
      <c r="G736" s="59"/>
      <c r="H736" s="61"/>
      <c r="I736" s="61"/>
      <c r="J736" s="61"/>
      <c r="K736" s="62"/>
      <c r="L736" s="10" t="str">
        <f t="shared" si="166"/>
        <v/>
      </c>
      <c r="M736" s="10" t="str">
        <f t="shared" si="167"/>
        <v/>
      </c>
      <c r="N736" s="11" t="str">
        <f t="shared" si="168"/>
        <v/>
      </c>
      <c r="O736" s="10" t="str">
        <f t="shared" si="169"/>
        <v/>
      </c>
      <c r="P736" s="12" t="str">
        <f t="shared" si="170"/>
        <v/>
      </c>
      <c r="Q736" s="10" t="str">
        <f t="shared" si="171"/>
        <v/>
      </c>
      <c r="R736" s="13" t="str">
        <f t="shared" si="172"/>
        <v/>
      </c>
      <c r="S736" s="13" t="str">
        <f t="shared" si="173"/>
        <v/>
      </c>
      <c r="T736" s="22" t="str">
        <f>IF(R736&lt;&gt;"",VLOOKUP(P736,Constants!$D$3:$E$10,2),"")</f>
        <v/>
      </c>
    </row>
    <row r="737" spans="2:20" x14ac:dyDescent="0.25">
      <c r="B737" s="59"/>
      <c r="C737" s="59"/>
      <c r="D737" s="60"/>
      <c r="E737" s="59"/>
      <c r="F737" s="59"/>
      <c r="G737" s="59"/>
      <c r="H737" s="61"/>
      <c r="I737" s="61"/>
      <c r="J737" s="61"/>
      <c r="K737" s="62"/>
      <c r="L737" s="10" t="str">
        <f t="shared" si="166"/>
        <v/>
      </c>
      <c r="M737" s="10" t="str">
        <f t="shared" si="167"/>
        <v/>
      </c>
      <c r="N737" s="11" t="str">
        <f t="shared" si="168"/>
        <v/>
      </c>
      <c r="O737" s="10" t="str">
        <f t="shared" si="169"/>
        <v/>
      </c>
      <c r="P737" s="12" t="str">
        <f t="shared" si="170"/>
        <v/>
      </c>
      <c r="Q737" s="10" t="str">
        <f t="shared" si="171"/>
        <v/>
      </c>
      <c r="R737" s="13" t="str">
        <f t="shared" si="172"/>
        <v/>
      </c>
      <c r="S737" s="13" t="str">
        <f t="shared" si="173"/>
        <v/>
      </c>
      <c r="T737" s="22" t="str">
        <f>IF(R737&lt;&gt;"",VLOOKUP(P737,Constants!$D$3:$E$10,2),"")</f>
        <v/>
      </c>
    </row>
    <row r="738" spans="2:20" x14ac:dyDescent="0.25">
      <c r="B738" s="59"/>
      <c r="C738" s="59"/>
      <c r="D738" s="60"/>
      <c r="E738" s="59"/>
      <c r="F738" s="59"/>
      <c r="G738" s="59"/>
      <c r="H738" s="61"/>
      <c r="I738" s="61"/>
      <c r="J738" s="61"/>
      <c r="K738" s="62"/>
      <c r="L738" s="10" t="str">
        <f t="shared" si="166"/>
        <v/>
      </c>
      <c r="M738" s="10" t="str">
        <f t="shared" si="167"/>
        <v/>
      </c>
      <c r="N738" s="11" t="str">
        <f t="shared" si="168"/>
        <v/>
      </c>
      <c r="O738" s="10" t="str">
        <f t="shared" si="169"/>
        <v/>
      </c>
      <c r="P738" s="12" t="str">
        <f t="shared" si="170"/>
        <v/>
      </c>
      <c r="Q738" s="10" t="str">
        <f t="shared" si="171"/>
        <v/>
      </c>
      <c r="R738" s="13" t="str">
        <f t="shared" si="172"/>
        <v/>
      </c>
      <c r="S738" s="13" t="str">
        <f t="shared" si="173"/>
        <v/>
      </c>
      <c r="T738" s="22" t="str">
        <f>IF(R738&lt;&gt;"",VLOOKUP(P738,Constants!$D$3:$E$10,2),"")</f>
        <v/>
      </c>
    </row>
    <row r="739" spans="2:20" x14ac:dyDescent="0.25">
      <c r="B739" s="59"/>
      <c r="C739" s="59"/>
      <c r="D739" s="60"/>
      <c r="E739" s="59"/>
      <c r="F739" s="59"/>
      <c r="G739" s="59"/>
      <c r="H739" s="61"/>
      <c r="I739" s="61"/>
      <c r="J739" s="61"/>
      <c r="K739" s="62"/>
      <c r="L739" s="10" t="str">
        <f t="shared" si="166"/>
        <v/>
      </c>
      <c r="M739" s="10" t="str">
        <f t="shared" si="167"/>
        <v/>
      </c>
      <c r="N739" s="11" t="str">
        <f t="shared" si="168"/>
        <v/>
      </c>
      <c r="O739" s="10" t="str">
        <f t="shared" si="169"/>
        <v/>
      </c>
      <c r="P739" s="12" t="str">
        <f t="shared" si="170"/>
        <v/>
      </c>
      <c r="Q739" s="10" t="str">
        <f t="shared" si="171"/>
        <v/>
      </c>
      <c r="R739" s="13" t="str">
        <f t="shared" si="172"/>
        <v/>
      </c>
      <c r="S739" s="13" t="str">
        <f t="shared" si="173"/>
        <v/>
      </c>
      <c r="T739" s="22" t="str">
        <f>IF(R739&lt;&gt;"",VLOOKUP(P739,Constants!$D$3:$E$10,2),"")</f>
        <v/>
      </c>
    </row>
    <row r="740" spans="2:20" x14ac:dyDescent="0.25">
      <c r="B740" s="59"/>
      <c r="C740" s="59"/>
      <c r="D740" s="60"/>
      <c r="E740" s="59"/>
      <c r="F740" s="59"/>
      <c r="G740" s="59"/>
      <c r="H740" s="61"/>
      <c r="I740" s="61"/>
      <c r="J740" s="61"/>
      <c r="K740" s="62"/>
      <c r="L740" s="10" t="str">
        <f t="shared" si="166"/>
        <v/>
      </c>
      <c r="M740" s="10" t="str">
        <f t="shared" si="167"/>
        <v/>
      </c>
      <c r="N740" s="11" t="str">
        <f t="shared" si="168"/>
        <v/>
      </c>
      <c r="O740" s="10" t="str">
        <f t="shared" si="169"/>
        <v/>
      </c>
      <c r="P740" s="12" t="str">
        <f t="shared" si="170"/>
        <v/>
      </c>
      <c r="Q740" s="10" t="str">
        <f t="shared" si="171"/>
        <v/>
      </c>
      <c r="R740" s="13" t="str">
        <f t="shared" si="172"/>
        <v/>
      </c>
      <c r="S740" s="13" t="str">
        <f t="shared" si="173"/>
        <v/>
      </c>
      <c r="T740" s="22" t="str">
        <f>IF(R740&lt;&gt;"",VLOOKUP(P740,Constants!$D$3:$E$10,2),"")</f>
        <v/>
      </c>
    </row>
    <row r="741" spans="2:20" x14ac:dyDescent="0.25">
      <c r="B741" s="59"/>
      <c r="C741" s="59"/>
      <c r="D741" s="60"/>
      <c r="E741" s="59"/>
      <c r="F741" s="59"/>
      <c r="G741" s="59"/>
      <c r="H741" s="61"/>
      <c r="I741" s="61"/>
      <c r="J741" s="61"/>
      <c r="K741" s="62"/>
      <c r="L741" s="10" t="str">
        <f t="shared" si="166"/>
        <v/>
      </c>
      <c r="M741" s="10" t="str">
        <f t="shared" si="167"/>
        <v/>
      </c>
      <c r="N741" s="11" t="str">
        <f t="shared" si="168"/>
        <v/>
      </c>
      <c r="O741" s="10" t="str">
        <f t="shared" si="169"/>
        <v/>
      </c>
      <c r="P741" s="12" t="str">
        <f t="shared" si="170"/>
        <v/>
      </c>
      <c r="Q741" s="10" t="str">
        <f t="shared" si="171"/>
        <v/>
      </c>
      <c r="R741" s="13" t="str">
        <f t="shared" si="172"/>
        <v/>
      </c>
      <c r="S741" s="13" t="str">
        <f t="shared" si="173"/>
        <v/>
      </c>
      <c r="T741" s="22" t="str">
        <f>IF(R741&lt;&gt;"",VLOOKUP(P741,Constants!$D$3:$E$10,2),"")</f>
        <v/>
      </c>
    </row>
    <row r="742" spans="2:20" x14ac:dyDescent="0.25">
      <c r="B742" s="59"/>
      <c r="C742" s="59"/>
      <c r="D742" s="60"/>
      <c r="E742" s="59"/>
      <c r="F742" s="59"/>
      <c r="G742" s="59"/>
      <c r="H742" s="61"/>
      <c r="I742" s="61"/>
      <c r="J742" s="61"/>
      <c r="K742" s="62"/>
      <c r="L742" s="10" t="str">
        <f t="shared" si="166"/>
        <v/>
      </c>
      <c r="M742" s="10" t="str">
        <f t="shared" si="167"/>
        <v/>
      </c>
      <c r="N742" s="11" t="str">
        <f t="shared" si="168"/>
        <v/>
      </c>
      <c r="O742" s="10" t="str">
        <f t="shared" si="169"/>
        <v/>
      </c>
      <c r="P742" s="12" t="str">
        <f t="shared" si="170"/>
        <v/>
      </c>
      <c r="Q742" s="10" t="str">
        <f t="shared" si="171"/>
        <v/>
      </c>
      <c r="R742" s="13" t="str">
        <f t="shared" si="172"/>
        <v/>
      </c>
      <c r="S742" s="13" t="str">
        <f t="shared" si="173"/>
        <v/>
      </c>
      <c r="T742" s="22" t="str">
        <f>IF(R742&lt;&gt;"",VLOOKUP(P742,Constants!$D$3:$E$10,2),"")</f>
        <v/>
      </c>
    </row>
    <row r="743" spans="2:20" x14ac:dyDescent="0.25">
      <c r="B743" s="59"/>
      <c r="C743" s="59"/>
      <c r="D743" s="60"/>
      <c r="E743" s="59"/>
      <c r="F743" s="59"/>
      <c r="G743" s="59"/>
      <c r="H743" s="61"/>
      <c r="I743" s="61"/>
      <c r="J743" s="61"/>
      <c r="K743" s="62"/>
      <c r="L743" s="10" t="str">
        <f t="shared" si="166"/>
        <v/>
      </c>
      <c r="M743" s="10" t="str">
        <f t="shared" si="167"/>
        <v/>
      </c>
      <c r="N743" s="11" t="str">
        <f t="shared" si="168"/>
        <v/>
      </c>
      <c r="O743" s="10" t="str">
        <f t="shared" si="169"/>
        <v/>
      </c>
      <c r="P743" s="12" t="str">
        <f t="shared" si="170"/>
        <v/>
      </c>
      <c r="Q743" s="10" t="str">
        <f t="shared" si="171"/>
        <v/>
      </c>
      <c r="R743" s="13" t="str">
        <f t="shared" si="172"/>
        <v/>
      </c>
      <c r="S743" s="13" t="str">
        <f t="shared" si="173"/>
        <v/>
      </c>
      <c r="T743" s="22" t="str">
        <f>IF(R743&lt;&gt;"",VLOOKUP(P743,Constants!$D$3:$E$10,2),"")</f>
        <v/>
      </c>
    </row>
    <row r="744" spans="2:20" x14ac:dyDescent="0.25">
      <c r="B744" s="59"/>
      <c r="C744" s="59"/>
      <c r="D744" s="60"/>
      <c r="E744" s="59"/>
      <c r="F744" s="59"/>
      <c r="G744" s="59"/>
      <c r="H744" s="61"/>
      <c r="I744" s="61"/>
      <c r="J744" s="61"/>
      <c r="K744" s="62"/>
      <c r="L744" s="10" t="str">
        <f t="shared" si="166"/>
        <v/>
      </c>
      <c r="M744" s="10" t="str">
        <f t="shared" si="167"/>
        <v/>
      </c>
      <c r="N744" s="11" t="str">
        <f t="shared" si="168"/>
        <v/>
      </c>
      <c r="O744" s="10" t="str">
        <f t="shared" si="169"/>
        <v/>
      </c>
      <c r="P744" s="12" t="str">
        <f t="shared" si="170"/>
        <v/>
      </c>
      <c r="Q744" s="10" t="str">
        <f t="shared" si="171"/>
        <v/>
      </c>
      <c r="R744" s="13" t="str">
        <f t="shared" si="172"/>
        <v/>
      </c>
      <c r="S744" s="13" t="str">
        <f t="shared" si="173"/>
        <v/>
      </c>
      <c r="T744" s="22" t="str">
        <f>IF(R744&lt;&gt;"",VLOOKUP(P744,Constants!$D$3:$E$10,2),"")</f>
        <v/>
      </c>
    </row>
    <row r="745" spans="2:20" x14ac:dyDescent="0.25">
      <c r="B745" s="59"/>
      <c r="C745" s="59"/>
      <c r="D745" s="60"/>
      <c r="E745" s="59"/>
      <c r="F745" s="59"/>
      <c r="G745" s="59"/>
      <c r="H745" s="61"/>
      <c r="I745" s="61"/>
      <c r="J745" s="61"/>
      <c r="K745" s="62"/>
      <c r="L745" s="10" t="str">
        <f t="shared" si="166"/>
        <v/>
      </c>
      <c r="M745" s="10" t="str">
        <f t="shared" si="167"/>
        <v/>
      </c>
      <c r="N745" s="11" t="str">
        <f t="shared" si="168"/>
        <v/>
      </c>
      <c r="O745" s="10" t="str">
        <f t="shared" si="169"/>
        <v/>
      </c>
      <c r="P745" s="12" t="str">
        <f t="shared" si="170"/>
        <v/>
      </c>
      <c r="Q745" s="10" t="str">
        <f t="shared" si="171"/>
        <v/>
      </c>
      <c r="R745" s="13" t="str">
        <f t="shared" si="172"/>
        <v/>
      </c>
      <c r="S745" s="13" t="str">
        <f t="shared" si="173"/>
        <v/>
      </c>
      <c r="T745" s="22" t="str">
        <f>IF(R745&lt;&gt;"",VLOOKUP(P745,Constants!$D$3:$E$10,2),"")</f>
        <v/>
      </c>
    </row>
    <row r="746" spans="2:20" x14ac:dyDescent="0.25">
      <c r="B746" s="59"/>
      <c r="C746" s="59"/>
      <c r="D746" s="60"/>
      <c r="E746" s="59"/>
      <c r="F746" s="59"/>
      <c r="G746" s="59"/>
      <c r="H746" s="61"/>
      <c r="I746" s="61"/>
      <c r="J746" s="61"/>
      <c r="K746" s="62"/>
      <c r="L746" s="10" t="str">
        <f t="shared" si="166"/>
        <v/>
      </c>
      <c r="M746" s="10" t="str">
        <f t="shared" si="167"/>
        <v/>
      </c>
      <c r="N746" s="11" t="str">
        <f t="shared" si="168"/>
        <v/>
      </c>
      <c r="O746" s="10" t="str">
        <f t="shared" si="169"/>
        <v/>
      </c>
      <c r="P746" s="12" t="str">
        <f t="shared" si="170"/>
        <v/>
      </c>
      <c r="Q746" s="10" t="str">
        <f t="shared" si="171"/>
        <v/>
      </c>
      <c r="R746" s="13" t="str">
        <f t="shared" si="172"/>
        <v/>
      </c>
      <c r="S746" s="13" t="str">
        <f t="shared" si="173"/>
        <v/>
      </c>
      <c r="T746" s="22" t="str">
        <f>IF(R746&lt;&gt;"",VLOOKUP(P746,Constants!$D$3:$E$10,2),"")</f>
        <v/>
      </c>
    </row>
    <row r="747" spans="2:20" x14ac:dyDescent="0.25">
      <c r="B747" s="59"/>
      <c r="C747" s="59"/>
      <c r="D747" s="60"/>
      <c r="E747" s="59"/>
      <c r="F747" s="59"/>
      <c r="G747" s="59"/>
      <c r="H747" s="61"/>
      <c r="I747" s="61"/>
      <c r="J747" s="61"/>
      <c r="K747" s="62"/>
      <c r="L747" s="10" t="str">
        <f t="shared" si="166"/>
        <v/>
      </c>
      <c r="M747" s="10" t="str">
        <f t="shared" si="167"/>
        <v/>
      </c>
      <c r="N747" s="11" t="str">
        <f t="shared" si="168"/>
        <v/>
      </c>
      <c r="O747" s="10" t="str">
        <f t="shared" si="169"/>
        <v/>
      </c>
      <c r="P747" s="12" t="str">
        <f t="shared" si="170"/>
        <v/>
      </c>
      <c r="Q747" s="10" t="str">
        <f t="shared" si="171"/>
        <v/>
      </c>
      <c r="R747" s="13" t="str">
        <f t="shared" si="172"/>
        <v/>
      </c>
      <c r="S747" s="13" t="str">
        <f t="shared" si="173"/>
        <v/>
      </c>
      <c r="T747" s="22" t="str">
        <f>IF(R747&lt;&gt;"",VLOOKUP(P747,Constants!$D$3:$E$10,2),"")</f>
        <v/>
      </c>
    </row>
    <row r="748" spans="2:20" x14ac:dyDescent="0.25">
      <c r="B748" s="59"/>
      <c r="C748" s="59"/>
      <c r="D748" s="60"/>
      <c r="E748" s="59"/>
      <c r="F748" s="59"/>
      <c r="G748" s="59"/>
      <c r="H748" s="61"/>
      <c r="I748" s="61"/>
      <c r="J748" s="61"/>
      <c r="K748" s="62"/>
      <c r="L748" s="10" t="str">
        <f t="shared" si="166"/>
        <v/>
      </c>
      <c r="M748" s="10" t="str">
        <f t="shared" si="167"/>
        <v/>
      </c>
      <c r="N748" s="11" t="str">
        <f t="shared" si="168"/>
        <v/>
      </c>
      <c r="O748" s="10" t="str">
        <f t="shared" si="169"/>
        <v/>
      </c>
      <c r="P748" s="12" t="str">
        <f t="shared" si="170"/>
        <v/>
      </c>
      <c r="Q748" s="10" t="str">
        <f t="shared" si="171"/>
        <v/>
      </c>
      <c r="R748" s="13" t="str">
        <f t="shared" si="172"/>
        <v/>
      </c>
      <c r="S748" s="13" t="str">
        <f t="shared" si="173"/>
        <v/>
      </c>
      <c r="T748" s="22" t="str">
        <f>IF(R748&lt;&gt;"",VLOOKUP(P748,Constants!$D$3:$E$10,2),"")</f>
        <v/>
      </c>
    </row>
    <row r="749" spans="2:20" x14ac:dyDescent="0.25">
      <c r="B749" s="59"/>
      <c r="C749" s="59"/>
      <c r="D749" s="60"/>
      <c r="E749" s="59"/>
      <c r="F749" s="59"/>
      <c r="G749" s="59"/>
      <c r="H749" s="61"/>
      <c r="I749" s="61"/>
      <c r="J749" s="61"/>
      <c r="K749" s="62"/>
      <c r="L749" s="10" t="str">
        <f t="shared" si="166"/>
        <v/>
      </c>
      <c r="M749" s="10" t="str">
        <f t="shared" si="167"/>
        <v/>
      </c>
      <c r="N749" s="11" t="str">
        <f t="shared" si="168"/>
        <v/>
      </c>
      <c r="O749" s="10" t="str">
        <f t="shared" si="169"/>
        <v/>
      </c>
      <c r="P749" s="12" t="str">
        <f t="shared" si="170"/>
        <v/>
      </c>
      <c r="Q749" s="10" t="str">
        <f t="shared" si="171"/>
        <v/>
      </c>
      <c r="R749" s="13" t="str">
        <f t="shared" si="172"/>
        <v/>
      </c>
      <c r="S749" s="13" t="str">
        <f t="shared" si="173"/>
        <v/>
      </c>
      <c r="T749" s="22" t="str">
        <f>IF(R749&lt;&gt;"",VLOOKUP(P749,Constants!$D$3:$E$10,2),"")</f>
        <v/>
      </c>
    </row>
    <row r="750" spans="2:20" x14ac:dyDescent="0.25">
      <c r="B750" s="59"/>
      <c r="C750" s="59"/>
      <c r="D750" s="60"/>
      <c r="E750" s="59"/>
      <c r="F750" s="59"/>
      <c r="G750" s="59"/>
      <c r="H750" s="61"/>
      <c r="I750" s="61"/>
      <c r="J750" s="61"/>
      <c r="K750" s="62"/>
      <c r="L750" s="10" t="str">
        <f t="shared" si="166"/>
        <v/>
      </c>
      <c r="M750" s="10" t="str">
        <f t="shared" si="167"/>
        <v/>
      </c>
      <c r="N750" s="11" t="str">
        <f t="shared" si="168"/>
        <v/>
      </c>
      <c r="O750" s="10" t="str">
        <f t="shared" si="169"/>
        <v/>
      </c>
      <c r="P750" s="12" t="str">
        <f t="shared" si="170"/>
        <v/>
      </c>
      <c r="Q750" s="10" t="str">
        <f t="shared" si="171"/>
        <v/>
      </c>
      <c r="R750" s="13" t="str">
        <f t="shared" si="172"/>
        <v/>
      </c>
      <c r="S750" s="13" t="str">
        <f t="shared" si="173"/>
        <v/>
      </c>
      <c r="T750" s="22" t="str">
        <f>IF(R750&lt;&gt;"",VLOOKUP(P750,Constants!$D$3:$E$10,2),"")</f>
        <v/>
      </c>
    </row>
    <row r="751" spans="2:20" x14ac:dyDescent="0.25">
      <c r="B751" s="59"/>
      <c r="C751" s="59"/>
      <c r="D751" s="60"/>
      <c r="E751" s="59"/>
      <c r="F751" s="59"/>
      <c r="G751" s="59"/>
      <c r="H751" s="61"/>
      <c r="I751" s="61"/>
      <c r="J751" s="61"/>
      <c r="K751" s="62"/>
      <c r="L751" s="10" t="str">
        <f t="shared" si="166"/>
        <v/>
      </c>
      <c r="M751" s="10" t="str">
        <f t="shared" si="167"/>
        <v/>
      </c>
      <c r="N751" s="11" t="str">
        <f t="shared" si="168"/>
        <v/>
      </c>
      <c r="O751" s="10" t="str">
        <f t="shared" si="169"/>
        <v/>
      </c>
      <c r="P751" s="12" t="str">
        <f t="shared" si="170"/>
        <v/>
      </c>
      <c r="Q751" s="10" t="str">
        <f t="shared" si="171"/>
        <v/>
      </c>
      <c r="R751" s="13" t="str">
        <f t="shared" si="172"/>
        <v/>
      </c>
      <c r="S751" s="13" t="str">
        <f t="shared" si="173"/>
        <v/>
      </c>
      <c r="T751" s="22" t="str">
        <f>IF(R751&lt;&gt;"",VLOOKUP(P751,Constants!$D$3:$E$10,2),"")</f>
        <v/>
      </c>
    </row>
    <row r="752" spans="2:20" x14ac:dyDescent="0.25">
      <c r="B752" s="59"/>
      <c r="C752" s="59"/>
      <c r="D752" s="60"/>
      <c r="E752" s="59"/>
      <c r="F752" s="59"/>
      <c r="G752" s="59"/>
      <c r="H752" s="61"/>
      <c r="I752" s="61"/>
      <c r="J752" s="61"/>
      <c r="K752" s="62"/>
      <c r="L752" s="10" t="str">
        <f t="shared" si="166"/>
        <v/>
      </c>
      <c r="M752" s="10" t="str">
        <f t="shared" si="167"/>
        <v/>
      </c>
      <c r="N752" s="11" t="str">
        <f t="shared" si="168"/>
        <v/>
      </c>
      <c r="O752" s="10" t="str">
        <f t="shared" si="169"/>
        <v/>
      </c>
      <c r="P752" s="12" t="str">
        <f t="shared" si="170"/>
        <v/>
      </c>
      <c r="Q752" s="10" t="str">
        <f t="shared" si="171"/>
        <v/>
      </c>
      <c r="R752" s="13" t="str">
        <f t="shared" si="172"/>
        <v/>
      </c>
      <c r="S752" s="13" t="str">
        <f t="shared" si="173"/>
        <v/>
      </c>
      <c r="T752" s="22" t="str">
        <f>IF(R752&lt;&gt;"",VLOOKUP(P752,Constants!$D$3:$E$10,2),"")</f>
        <v/>
      </c>
    </row>
    <row r="753" spans="2:20" x14ac:dyDescent="0.25">
      <c r="B753" s="59"/>
      <c r="C753" s="59"/>
      <c r="D753" s="60"/>
      <c r="E753" s="59"/>
      <c r="F753" s="59"/>
      <c r="G753" s="59"/>
      <c r="H753" s="61"/>
      <c r="I753" s="61"/>
      <c r="J753" s="61"/>
      <c r="K753" s="62"/>
      <c r="L753" s="10" t="str">
        <f t="shared" si="166"/>
        <v/>
      </c>
      <c r="M753" s="10" t="str">
        <f t="shared" si="167"/>
        <v/>
      </c>
      <c r="N753" s="11" t="str">
        <f t="shared" si="168"/>
        <v/>
      </c>
      <c r="O753" s="10" t="str">
        <f t="shared" si="169"/>
        <v/>
      </c>
      <c r="P753" s="12" t="str">
        <f t="shared" si="170"/>
        <v/>
      </c>
      <c r="Q753" s="10" t="str">
        <f t="shared" si="171"/>
        <v/>
      </c>
      <c r="R753" s="13" t="str">
        <f t="shared" si="172"/>
        <v/>
      </c>
      <c r="S753" s="13" t="str">
        <f t="shared" si="173"/>
        <v/>
      </c>
      <c r="T753" s="22" t="str">
        <f>IF(R753&lt;&gt;"",VLOOKUP(P753,Constants!$D$3:$E$10,2),"")</f>
        <v/>
      </c>
    </row>
    <row r="754" spans="2:20" x14ac:dyDescent="0.25">
      <c r="B754" s="59"/>
      <c r="C754" s="59"/>
      <c r="D754" s="60"/>
      <c r="E754" s="59"/>
      <c r="F754" s="59"/>
      <c r="G754" s="59"/>
      <c r="H754" s="61"/>
      <c r="I754" s="61"/>
      <c r="J754" s="61"/>
      <c r="K754" s="62"/>
      <c r="L754" s="10" t="str">
        <f t="shared" si="166"/>
        <v/>
      </c>
      <c r="M754" s="10" t="str">
        <f t="shared" si="167"/>
        <v/>
      </c>
      <c r="N754" s="11" t="str">
        <f t="shared" si="168"/>
        <v/>
      </c>
      <c r="O754" s="10" t="str">
        <f t="shared" si="169"/>
        <v/>
      </c>
      <c r="P754" s="12" t="str">
        <f t="shared" si="170"/>
        <v/>
      </c>
      <c r="Q754" s="10" t="str">
        <f t="shared" si="171"/>
        <v/>
      </c>
      <c r="R754" s="13" t="str">
        <f t="shared" si="172"/>
        <v/>
      </c>
      <c r="S754" s="13" t="str">
        <f t="shared" si="173"/>
        <v/>
      </c>
      <c r="T754" s="22" t="str">
        <f>IF(R754&lt;&gt;"",VLOOKUP(P754,Constants!$D$3:$E$10,2),"")</f>
        <v/>
      </c>
    </row>
    <row r="755" spans="2:20" x14ac:dyDescent="0.25">
      <c r="B755" s="59"/>
      <c r="C755" s="59"/>
      <c r="D755" s="60"/>
      <c r="E755" s="59"/>
      <c r="F755" s="59"/>
      <c r="G755" s="59"/>
      <c r="H755" s="61"/>
      <c r="I755" s="61"/>
      <c r="J755" s="61"/>
      <c r="K755" s="62"/>
      <c r="L755" s="10" t="str">
        <f t="shared" si="166"/>
        <v/>
      </c>
      <c r="M755" s="10" t="str">
        <f t="shared" si="167"/>
        <v/>
      </c>
      <c r="N755" s="11" t="str">
        <f t="shared" si="168"/>
        <v/>
      </c>
      <c r="O755" s="10" t="str">
        <f t="shared" si="169"/>
        <v/>
      </c>
      <c r="P755" s="12" t="str">
        <f t="shared" si="170"/>
        <v/>
      </c>
      <c r="Q755" s="10" t="str">
        <f t="shared" si="171"/>
        <v/>
      </c>
      <c r="R755" s="13" t="str">
        <f t="shared" si="172"/>
        <v/>
      </c>
      <c r="S755" s="13" t="str">
        <f t="shared" si="173"/>
        <v/>
      </c>
      <c r="T755" s="22" t="str">
        <f>IF(R755&lt;&gt;"",VLOOKUP(P755,Constants!$D$3:$E$10,2),"")</f>
        <v/>
      </c>
    </row>
    <row r="756" spans="2:20" x14ac:dyDescent="0.25">
      <c r="B756" s="59"/>
      <c r="C756" s="59"/>
      <c r="D756" s="60"/>
      <c r="E756" s="59"/>
      <c r="F756" s="59"/>
      <c r="G756" s="59"/>
      <c r="H756" s="61"/>
      <c r="I756" s="61"/>
      <c r="J756" s="61"/>
      <c r="K756" s="62"/>
      <c r="L756" s="10" t="str">
        <f t="shared" si="166"/>
        <v/>
      </c>
      <c r="M756" s="10" t="str">
        <f t="shared" si="167"/>
        <v/>
      </c>
      <c r="N756" s="11" t="str">
        <f t="shared" si="168"/>
        <v/>
      </c>
      <c r="O756" s="10" t="str">
        <f t="shared" si="169"/>
        <v/>
      </c>
      <c r="P756" s="12" t="str">
        <f t="shared" si="170"/>
        <v/>
      </c>
      <c r="Q756" s="10" t="str">
        <f t="shared" si="171"/>
        <v/>
      </c>
      <c r="R756" s="13" t="str">
        <f t="shared" si="172"/>
        <v/>
      </c>
      <c r="S756" s="13" t="str">
        <f t="shared" si="173"/>
        <v/>
      </c>
      <c r="T756" s="22" t="str">
        <f>IF(R756&lt;&gt;"",VLOOKUP(P756,Constants!$D$3:$E$10,2),"")</f>
        <v/>
      </c>
    </row>
    <row r="757" spans="2:20" x14ac:dyDescent="0.25">
      <c r="B757" s="59"/>
      <c r="C757" s="59"/>
      <c r="D757" s="60"/>
      <c r="E757" s="59"/>
      <c r="F757" s="59"/>
      <c r="G757" s="59"/>
      <c r="H757" s="61"/>
      <c r="I757" s="61"/>
      <c r="J757" s="61"/>
      <c r="K757" s="62"/>
      <c r="L757" s="10" t="str">
        <f t="shared" si="166"/>
        <v/>
      </c>
      <c r="M757" s="10" t="str">
        <f t="shared" si="167"/>
        <v/>
      </c>
      <c r="N757" s="11" t="str">
        <f t="shared" si="168"/>
        <v/>
      </c>
      <c r="O757" s="10" t="str">
        <f t="shared" si="169"/>
        <v/>
      </c>
      <c r="P757" s="12" t="str">
        <f t="shared" si="170"/>
        <v/>
      </c>
      <c r="Q757" s="10" t="str">
        <f t="shared" si="171"/>
        <v/>
      </c>
      <c r="R757" s="13" t="str">
        <f t="shared" si="172"/>
        <v/>
      </c>
      <c r="S757" s="13" t="str">
        <f t="shared" si="173"/>
        <v/>
      </c>
      <c r="T757" s="22" t="str">
        <f>IF(R757&lt;&gt;"",VLOOKUP(P757,Constants!$D$3:$E$10,2),"")</f>
        <v/>
      </c>
    </row>
    <row r="758" spans="2:20" x14ac:dyDescent="0.25">
      <c r="B758" s="59"/>
      <c r="C758" s="59"/>
      <c r="D758" s="60"/>
      <c r="E758" s="59"/>
      <c r="F758" s="59"/>
      <c r="G758" s="59"/>
      <c r="H758" s="61"/>
      <c r="I758" s="61"/>
      <c r="J758" s="61"/>
      <c r="K758" s="62"/>
      <c r="L758" s="10" t="str">
        <f t="shared" si="166"/>
        <v/>
      </c>
      <c r="M758" s="10" t="str">
        <f t="shared" si="167"/>
        <v/>
      </c>
      <c r="N758" s="11" t="str">
        <f t="shared" si="168"/>
        <v/>
      </c>
      <c r="O758" s="10" t="str">
        <f t="shared" si="169"/>
        <v/>
      </c>
      <c r="P758" s="12" t="str">
        <f t="shared" si="170"/>
        <v/>
      </c>
      <c r="Q758" s="10" t="str">
        <f t="shared" si="171"/>
        <v/>
      </c>
      <c r="R758" s="13" t="str">
        <f t="shared" si="172"/>
        <v/>
      </c>
      <c r="S758" s="13" t="str">
        <f t="shared" si="173"/>
        <v/>
      </c>
      <c r="T758" s="22" t="str">
        <f>IF(R758&lt;&gt;"",VLOOKUP(P758,Constants!$D$3:$E$10,2),"")</f>
        <v/>
      </c>
    </row>
    <row r="759" spans="2:20" x14ac:dyDescent="0.25">
      <c r="B759" s="59"/>
      <c r="C759" s="59"/>
      <c r="D759" s="60"/>
      <c r="E759" s="59"/>
      <c r="F759" s="59"/>
      <c r="G759" s="59"/>
      <c r="H759" s="61"/>
      <c r="I759" s="61"/>
      <c r="J759" s="61"/>
      <c r="K759" s="62"/>
      <c r="L759" s="10" t="str">
        <f t="shared" si="166"/>
        <v/>
      </c>
      <c r="M759" s="10" t="str">
        <f t="shared" si="167"/>
        <v/>
      </c>
      <c r="N759" s="11" t="str">
        <f t="shared" si="168"/>
        <v/>
      </c>
      <c r="O759" s="10" t="str">
        <f t="shared" si="169"/>
        <v/>
      </c>
      <c r="P759" s="12" t="str">
        <f t="shared" si="170"/>
        <v/>
      </c>
      <c r="Q759" s="10" t="str">
        <f t="shared" si="171"/>
        <v/>
      </c>
      <c r="R759" s="13" t="str">
        <f t="shared" si="172"/>
        <v/>
      </c>
      <c r="S759" s="13" t="str">
        <f t="shared" si="173"/>
        <v/>
      </c>
      <c r="T759" s="22" t="str">
        <f>IF(R759&lt;&gt;"",VLOOKUP(P759,Constants!$D$3:$E$10,2),"")</f>
        <v/>
      </c>
    </row>
    <row r="760" spans="2:20" x14ac:dyDescent="0.25">
      <c r="B760" s="59"/>
      <c r="C760" s="59"/>
      <c r="D760" s="60"/>
      <c r="E760" s="59"/>
      <c r="F760" s="59"/>
      <c r="G760" s="59"/>
      <c r="H760" s="61"/>
      <c r="I760" s="61"/>
      <c r="J760" s="61"/>
      <c r="K760" s="62"/>
      <c r="L760" s="10" t="str">
        <f t="shared" si="166"/>
        <v/>
      </c>
      <c r="M760" s="10" t="str">
        <f t="shared" si="167"/>
        <v/>
      </c>
      <c r="N760" s="11" t="str">
        <f t="shared" si="168"/>
        <v/>
      </c>
      <c r="O760" s="10" t="str">
        <f t="shared" si="169"/>
        <v/>
      </c>
      <c r="P760" s="12" t="str">
        <f t="shared" si="170"/>
        <v/>
      </c>
      <c r="Q760" s="10" t="str">
        <f t="shared" si="171"/>
        <v/>
      </c>
      <c r="R760" s="13" t="str">
        <f t="shared" si="172"/>
        <v/>
      </c>
      <c r="S760" s="13" t="str">
        <f t="shared" si="173"/>
        <v/>
      </c>
      <c r="T760" s="22" t="str">
        <f>IF(R760&lt;&gt;"",VLOOKUP(P760,Constants!$D$3:$E$10,2),"")</f>
        <v/>
      </c>
    </row>
    <row r="761" spans="2:20" x14ac:dyDescent="0.25">
      <c r="B761" s="59"/>
      <c r="C761" s="59"/>
      <c r="D761" s="60"/>
      <c r="E761" s="59"/>
      <c r="F761" s="59"/>
      <c r="G761" s="59"/>
      <c r="H761" s="61"/>
      <c r="I761" s="61"/>
      <c r="J761" s="61"/>
      <c r="K761" s="62"/>
      <c r="L761" s="10" t="str">
        <f t="shared" si="166"/>
        <v/>
      </c>
      <c r="M761" s="10" t="str">
        <f t="shared" si="167"/>
        <v/>
      </c>
      <c r="N761" s="11" t="str">
        <f t="shared" si="168"/>
        <v/>
      </c>
      <c r="O761" s="10" t="str">
        <f t="shared" si="169"/>
        <v/>
      </c>
      <c r="P761" s="12" t="str">
        <f t="shared" si="170"/>
        <v/>
      </c>
      <c r="Q761" s="10" t="str">
        <f t="shared" si="171"/>
        <v/>
      </c>
      <c r="R761" s="13" t="str">
        <f t="shared" si="172"/>
        <v/>
      </c>
      <c r="S761" s="13" t="str">
        <f t="shared" si="173"/>
        <v/>
      </c>
      <c r="T761" s="22" t="str">
        <f>IF(R761&lt;&gt;"",VLOOKUP(P761,Constants!$D$3:$E$10,2),"")</f>
        <v/>
      </c>
    </row>
    <row r="762" spans="2:20" x14ac:dyDescent="0.25">
      <c r="B762" s="59"/>
      <c r="C762" s="59"/>
      <c r="D762" s="60"/>
      <c r="E762" s="59"/>
      <c r="F762" s="59"/>
      <c r="G762" s="59"/>
      <c r="H762" s="61"/>
      <c r="I762" s="61"/>
      <c r="J762" s="61"/>
      <c r="K762" s="62"/>
      <c r="L762" s="10" t="str">
        <f t="shared" si="166"/>
        <v/>
      </c>
      <c r="M762" s="10" t="str">
        <f t="shared" si="167"/>
        <v/>
      </c>
      <c r="N762" s="11" t="str">
        <f t="shared" si="168"/>
        <v/>
      </c>
      <c r="O762" s="10" t="str">
        <f t="shared" si="169"/>
        <v/>
      </c>
      <c r="P762" s="12" t="str">
        <f t="shared" si="170"/>
        <v/>
      </c>
      <c r="Q762" s="10" t="str">
        <f t="shared" si="171"/>
        <v/>
      </c>
      <c r="R762" s="13" t="str">
        <f t="shared" si="172"/>
        <v/>
      </c>
      <c r="S762" s="13" t="str">
        <f t="shared" si="173"/>
        <v/>
      </c>
      <c r="T762" s="22" t="str">
        <f>IF(R762&lt;&gt;"",VLOOKUP(P762,Constants!$D$3:$E$10,2),"")</f>
        <v/>
      </c>
    </row>
    <row r="763" spans="2:20" x14ac:dyDescent="0.25">
      <c r="B763" s="59"/>
      <c r="C763" s="59"/>
      <c r="D763" s="60"/>
      <c r="E763" s="59"/>
      <c r="F763" s="59"/>
      <c r="G763" s="59"/>
      <c r="H763" s="61"/>
      <c r="I763" s="61"/>
      <c r="J763" s="61"/>
      <c r="K763" s="62"/>
      <c r="L763" s="10" t="str">
        <f t="shared" si="166"/>
        <v/>
      </c>
      <c r="M763" s="10" t="str">
        <f t="shared" si="167"/>
        <v/>
      </c>
      <c r="N763" s="11" t="str">
        <f t="shared" si="168"/>
        <v/>
      </c>
      <c r="O763" s="10" t="str">
        <f t="shared" si="169"/>
        <v/>
      </c>
      <c r="P763" s="12" t="str">
        <f t="shared" si="170"/>
        <v/>
      </c>
      <c r="Q763" s="10" t="str">
        <f t="shared" si="171"/>
        <v/>
      </c>
      <c r="R763" s="13" t="str">
        <f t="shared" si="172"/>
        <v/>
      </c>
      <c r="S763" s="13" t="str">
        <f t="shared" si="173"/>
        <v/>
      </c>
      <c r="T763" s="22" t="str">
        <f>IF(R763&lt;&gt;"",VLOOKUP(P763,Constants!$D$3:$E$10,2),"")</f>
        <v/>
      </c>
    </row>
    <row r="764" spans="2:20" x14ac:dyDescent="0.25">
      <c r="B764" s="59"/>
      <c r="C764" s="59"/>
      <c r="D764" s="60"/>
      <c r="E764" s="59"/>
      <c r="F764" s="59"/>
      <c r="G764" s="59"/>
      <c r="H764" s="61"/>
      <c r="I764" s="61"/>
      <c r="J764" s="61"/>
      <c r="K764" s="62"/>
      <c r="L764" s="10" t="str">
        <f t="shared" si="166"/>
        <v/>
      </c>
      <c r="M764" s="10" t="str">
        <f t="shared" si="167"/>
        <v/>
      </c>
      <c r="N764" s="11" t="str">
        <f t="shared" si="168"/>
        <v/>
      </c>
      <c r="O764" s="10" t="str">
        <f t="shared" si="169"/>
        <v/>
      </c>
      <c r="P764" s="12" t="str">
        <f t="shared" si="170"/>
        <v/>
      </c>
      <c r="Q764" s="10" t="str">
        <f t="shared" si="171"/>
        <v/>
      </c>
      <c r="R764" s="13" t="str">
        <f t="shared" si="172"/>
        <v/>
      </c>
      <c r="S764" s="13" t="str">
        <f t="shared" si="173"/>
        <v/>
      </c>
      <c r="T764" s="22" t="str">
        <f>IF(R764&lt;&gt;"",VLOOKUP(P764,Constants!$D$3:$E$10,2),"")</f>
        <v/>
      </c>
    </row>
    <row r="765" spans="2:20" x14ac:dyDescent="0.25">
      <c r="B765" s="59"/>
      <c r="C765" s="59"/>
      <c r="D765" s="60"/>
      <c r="E765" s="59"/>
      <c r="F765" s="59"/>
      <c r="G765" s="59"/>
      <c r="H765" s="61"/>
      <c r="I765" s="61"/>
      <c r="J765" s="61"/>
      <c r="K765" s="62"/>
      <c r="L765" s="10" t="str">
        <f t="shared" si="166"/>
        <v/>
      </c>
      <c r="M765" s="10" t="str">
        <f t="shared" si="167"/>
        <v/>
      </c>
      <c r="N765" s="11" t="str">
        <f t="shared" si="168"/>
        <v/>
      </c>
      <c r="O765" s="10" t="str">
        <f t="shared" si="169"/>
        <v/>
      </c>
      <c r="P765" s="12" t="str">
        <f t="shared" si="170"/>
        <v/>
      </c>
      <c r="Q765" s="10" t="str">
        <f t="shared" si="171"/>
        <v/>
      </c>
      <c r="R765" s="13" t="str">
        <f t="shared" si="172"/>
        <v/>
      </c>
      <c r="S765" s="13" t="str">
        <f t="shared" si="173"/>
        <v/>
      </c>
      <c r="T765" s="22" t="str">
        <f>IF(R765&lt;&gt;"",VLOOKUP(P765,Constants!$D$3:$E$10,2),"")</f>
        <v/>
      </c>
    </row>
    <row r="766" spans="2:20" x14ac:dyDescent="0.25">
      <c r="B766" s="59"/>
      <c r="C766" s="59"/>
      <c r="D766" s="60"/>
      <c r="E766" s="59"/>
      <c r="F766" s="59"/>
      <c r="G766" s="59"/>
      <c r="H766" s="61"/>
      <c r="I766" s="61"/>
      <c r="J766" s="61"/>
      <c r="K766" s="62"/>
      <c r="L766" s="10" t="str">
        <f t="shared" si="166"/>
        <v/>
      </c>
      <c r="M766" s="10" t="str">
        <f t="shared" si="167"/>
        <v/>
      </c>
      <c r="N766" s="11" t="str">
        <f t="shared" si="168"/>
        <v/>
      </c>
      <c r="O766" s="10" t="str">
        <f t="shared" si="169"/>
        <v/>
      </c>
      <c r="P766" s="12" t="str">
        <f t="shared" si="170"/>
        <v/>
      </c>
      <c r="Q766" s="10" t="str">
        <f t="shared" si="171"/>
        <v/>
      </c>
      <c r="R766" s="13" t="str">
        <f t="shared" si="172"/>
        <v/>
      </c>
      <c r="S766" s="13" t="str">
        <f t="shared" si="173"/>
        <v/>
      </c>
      <c r="T766" s="22" t="str">
        <f>IF(R766&lt;&gt;"",VLOOKUP(P766,Constants!$D$3:$E$10,2),"")</f>
        <v/>
      </c>
    </row>
    <row r="767" spans="2:20" x14ac:dyDescent="0.25">
      <c r="B767" s="59"/>
      <c r="C767" s="59"/>
      <c r="D767" s="60"/>
      <c r="E767" s="59"/>
      <c r="F767" s="59"/>
      <c r="G767" s="59"/>
      <c r="H767" s="61"/>
      <c r="I767" s="61"/>
      <c r="J767" s="61"/>
      <c r="K767" s="62"/>
      <c r="L767" s="10" t="str">
        <f t="shared" si="166"/>
        <v/>
      </c>
      <c r="M767" s="10" t="str">
        <f t="shared" si="167"/>
        <v/>
      </c>
      <c r="N767" s="11" t="str">
        <f t="shared" si="168"/>
        <v/>
      </c>
      <c r="O767" s="10" t="str">
        <f t="shared" si="169"/>
        <v/>
      </c>
      <c r="P767" s="12" t="str">
        <f t="shared" si="170"/>
        <v/>
      </c>
      <c r="Q767" s="10" t="str">
        <f t="shared" si="171"/>
        <v/>
      </c>
      <c r="R767" s="13" t="str">
        <f t="shared" si="172"/>
        <v/>
      </c>
      <c r="S767" s="13" t="str">
        <f t="shared" si="173"/>
        <v/>
      </c>
      <c r="T767" s="22" t="str">
        <f>IF(R767&lt;&gt;"",VLOOKUP(P767,Constants!$D$3:$E$10,2),"")</f>
        <v/>
      </c>
    </row>
    <row r="768" spans="2:20" x14ac:dyDescent="0.25">
      <c r="B768" s="59"/>
      <c r="C768" s="59"/>
      <c r="D768" s="60"/>
      <c r="E768" s="59"/>
      <c r="F768" s="59"/>
      <c r="G768" s="59"/>
      <c r="H768" s="61"/>
      <c r="I768" s="61"/>
      <c r="J768" s="61"/>
      <c r="K768" s="62"/>
      <c r="L768" s="10" t="str">
        <f t="shared" si="166"/>
        <v/>
      </c>
      <c r="M768" s="10" t="str">
        <f t="shared" si="167"/>
        <v/>
      </c>
      <c r="N768" s="11" t="str">
        <f t="shared" si="168"/>
        <v/>
      </c>
      <c r="O768" s="10" t="str">
        <f t="shared" si="169"/>
        <v/>
      </c>
      <c r="P768" s="12" t="str">
        <f t="shared" si="170"/>
        <v/>
      </c>
      <c r="Q768" s="10" t="str">
        <f t="shared" si="171"/>
        <v/>
      </c>
      <c r="R768" s="13" t="str">
        <f t="shared" si="172"/>
        <v/>
      </c>
      <c r="S768" s="13" t="str">
        <f t="shared" si="173"/>
        <v/>
      </c>
      <c r="T768" s="22" t="str">
        <f>IF(R768&lt;&gt;"",VLOOKUP(P768,Constants!$D$3:$E$10,2),"")</f>
        <v/>
      </c>
    </row>
    <row r="769" spans="2:20" x14ac:dyDescent="0.25">
      <c r="B769" s="59"/>
      <c r="C769" s="59"/>
      <c r="D769" s="60"/>
      <c r="E769" s="59"/>
      <c r="F769" s="59"/>
      <c r="G769" s="59"/>
      <c r="H769" s="61"/>
      <c r="I769" s="61"/>
      <c r="J769" s="61"/>
      <c r="K769" s="62"/>
      <c r="L769" s="10" t="str">
        <f t="shared" si="166"/>
        <v/>
      </c>
      <c r="M769" s="10" t="str">
        <f t="shared" si="167"/>
        <v/>
      </c>
      <c r="N769" s="11" t="str">
        <f t="shared" si="168"/>
        <v/>
      </c>
      <c r="O769" s="10" t="str">
        <f t="shared" si="169"/>
        <v/>
      </c>
      <c r="P769" s="12" t="str">
        <f t="shared" si="170"/>
        <v/>
      </c>
      <c r="Q769" s="10" t="str">
        <f t="shared" si="171"/>
        <v/>
      </c>
      <c r="R769" s="13" t="str">
        <f t="shared" si="172"/>
        <v/>
      </c>
      <c r="S769" s="13" t="str">
        <f t="shared" si="173"/>
        <v/>
      </c>
      <c r="T769" s="22" t="str">
        <f>IF(R769&lt;&gt;"",VLOOKUP(P769,Constants!$D$3:$E$10,2),"")</f>
        <v/>
      </c>
    </row>
    <row r="770" spans="2:20" x14ac:dyDescent="0.25">
      <c r="B770" s="59"/>
      <c r="C770" s="59"/>
      <c r="D770" s="60"/>
      <c r="E770" s="59"/>
      <c r="F770" s="59"/>
      <c r="G770" s="59"/>
      <c r="H770" s="61"/>
      <c r="I770" s="61"/>
      <c r="J770" s="61"/>
      <c r="K770" s="62"/>
      <c r="L770" s="10" t="str">
        <f t="shared" si="166"/>
        <v/>
      </c>
      <c r="M770" s="10" t="str">
        <f t="shared" si="167"/>
        <v/>
      </c>
      <c r="N770" s="11" t="str">
        <f t="shared" si="168"/>
        <v/>
      </c>
      <c r="O770" s="10" t="str">
        <f t="shared" si="169"/>
        <v/>
      </c>
      <c r="P770" s="12" t="str">
        <f t="shared" si="170"/>
        <v/>
      </c>
      <c r="Q770" s="10" t="str">
        <f t="shared" si="171"/>
        <v/>
      </c>
      <c r="R770" s="13" t="str">
        <f t="shared" si="172"/>
        <v/>
      </c>
      <c r="S770" s="13" t="str">
        <f t="shared" si="173"/>
        <v/>
      </c>
      <c r="T770" s="22" t="str">
        <f>IF(R770&lt;&gt;"",VLOOKUP(P770,Constants!$D$3:$E$10,2),"")</f>
        <v/>
      </c>
    </row>
    <row r="771" spans="2:20" x14ac:dyDescent="0.25">
      <c r="B771" s="59"/>
      <c r="C771" s="59"/>
      <c r="D771" s="60"/>
      <c r="E771" s="59"/>
      <c r="F771" s="59"/>
      <c r="G771" s="59"/>
      <c r="H771" s="61"/>
      <c r="I771" s="61"/>
      <c r="J771" s="61"/>
      <c r="K771" s="62"/>
      <c r="L771" s="10" t="str">
        <f t="shared" si="166"/>
        <v/>
      </c>
      <c r="M771" s="10" t="str">
        <f t="shared" si="167"/>
        <v/>
      </c>
      <c r="N771" s="11" t="str">
        <f t="shared" si="168"/>
        <v/>
      </c>
      <c r="O771" s="10" t="str">
        <f t="shared" si="169"/>
        <v/>
      </c>
      <c r="P771" s="12" t="str">
        <f t="shared" si="170"/>
        <v/>
      </c>
      <c r="Q771" s="10" t="str">
        <f t="shared" si="171"/>
        <v/>
      </c>
      <c r="R771" s="13" t="str">
        <f t="shared" si="172"/>
        <v/>
      </c>
      <c r="S771" s="13" t="str">
        <f t="shared" si="173"/>
        <v/>
      </c>
      <c r="T771" s="22" t="str">
        <f>IF(R771&lt;&gt;"",VLOOKUP(P771,Constants!$D$3:$E$10,2),"")</f>
        <v/>
      </c>
    </row>
    <row r="772" spans="2:20" x14ac:dyDescent="0.25">
      <c r="B772" s="59"/>
      <c r="C772" s="59"/>
      <c r="D772" s="60"/>
      <c r="E772" s="59"/>
      <c r="F772" s="59"/>
      <c r="G772" s="59"/>
      <c r="H772" s="61"/>
      <c r="I772" s="61"/>
      <c r="J772" s="61"/>
      <c r="K772" s="62"/>
      <c r="L772" s="10" t="str">
        <f t="shared" si="166"/>
        <v/>
      </c>
      <c r="M772" s="10" t="str">
        <f t="shared" si="167"/>
        <v/>
      </c>
      <c r="N772" s="11" t="str">
        <f t="shared" si="168"/>
        <v/>
      </c>
      <c r="O772" s="10" t="str">
        <f t="shared" si="169"/>
        <v/>
      </c>
      <c r="P772" s="12" t="str">
        <f t="shared" si="170"/>
        <v/>
      </c>
      <c r="Q772" s="10" t="str">
        <f t="shared" si="171"/>
        <v/>
      </c>
      <c r="R772" s="13" t="str">
        <f t="shared" si="172"/>
        <v/>
      </c>
      <c r="S772" s="13" t="str">
        <f t="shared" si="173"/>
        <v/>
      </c>
      <c r="T772" s="22" t="str">
        <f>IF(R772&lt;&gt;"",VLOOKUP(P772,Constants!$D$3:$E$10,2),"")</f>
        <v/>
      </c>
    </row>
    <row r="773" spans="2:20" x14ac:dyDescent="0.25">
      <c r="B773" s="59"/>
      <c r="C773" s="59"/>
      <c r="D773" s="60"/>
      <c r="E773" s="59"/>
      <c r="F773" s="59"/>
      <c r="G773" s="59"/>
      <c r="H773" s="61"/>
      <c r="I773" s="61"/>
      <c r="J773" s="61"/>
      <c r="K773" s="62"/>
      <c r="L773" s="10" t="str">
        <f t="shared" si="166"/>
        <v/>
      </c>
      <c r="M773" s="10" t="str">
        <f t="shared" si="167"/>
        <v/>
      </c>
      <c r="N773" s="11" t="str">
        <f t="shared" si="168"/>
        <v/>
      </c>
      <c r="O773" s="10" t="str">
        <f t="shared" si="169"/>
        <v/>
      </c>
      <c r="P773" s="12" t="str">
        <f t="shared" si="170"/>
        <v/>
      </c>
      <c r="Q773" s="10" t="str">
        <f t="shared" si="171"/>
        <v/>
      </c>
      <c r="R773" s="13" t="str">
        <f t="shared" si="172"/>
        <v/>
      </c>
      <c r="S773" s="13" t="str">
        <f t="shared" si="173"/>
        <v/>
      </c>
      <c r="T773" s="22" t="str">
        <f>IF(R773&lt;&gt;"",VLOOKUP(P773,Constants!$D$3:$E$10,2),"")</f>
        <v/>
      </c>
    </row>
    <row r="774" spans="2:20" x14ac:dyDescent="0.25">
      <c r="B774" s="59"/>
      <c r="C774" s="59"/>
      <c r="D774" s="60"/>
      <c r="E774" s="59"/>
      <c r="F774" s="59"/>
      <c r="G774" s="59"/>
      <c r="H774" s="61"/>
      <c r="I774" s="61"/>
      <c r="J774" s="61"/>
      <c r="K774" s="62"/>
      <c r="L774" s="10" t="str">
        <f t="shared" si="166"/>
        <v/>
      </c>
      <c r="M774" s="10" t="str">
        <f t="shared" si="167"/>
        <v/>
      </c>
      <c r="N774" s="11" t="str">
        <f t="shared" si="168"/>
        <v/>
      </c>
      <c r="O774" s="10" t="str">
        <f t="shared" si="169"/>
        <v/>
      </c>
      <c r="P774" s="12" t="str">
        <f t="shared" si="170"/>
        <v/>
      </c>
      <c r="Q774" s="10" t="str">
        <f t="shared" si="171"/>
        <v/>
      </c>
      <c r="R774" s="13" t="str">
        <f t="shared" si="172"/>
        <v/>
      </c>
      <c r="S774" s="13" t="str">
        <f t="shared" si="173"/>
        <v/>
      </c>
      <c r="T774" s="22" t="str">
        <f>IF(R774&lt;&gt;"",VLOOKUP(P774,Constants!$D$3:$E$10,2),"")</f>
        <v/>
      </c>
    </row>
    <row r="775" spans="2:20" x14ac:dyDescent="0.25">
      <c r="B775" s="59"/>
      <c r="C775" s="59"/>
      <c r="D775" s="60"/>
      <c r="E775" s="59"/>
      <c r="F775" s="59"/>
      <c r="G775" s="59"/>
      <c r="H775" s="61"/>
      <c r="I775" s="61"/>
      <c r="J775" s="61"/>
      <c r="K775" s="62"/>
      <c r="L775" s="10" t="str">
        <f t="shared" si="166"/>
        <v/>
      </c>
      <c r="M775" s="10" t="str">
        <f t="shared" si="167"/>
        <v/>
      </c>
      <c r="N775" s="11" t="str">
        <f t="shared" si="168"/>
        <v/>
      </c>
      <c r="O775" s="10" t="str">
        <f t="shared" si="169"/>
        <v/>
      </c>
      <c r="P775" s="12" t="str">
        <f t="shared" si="170"/>
        <v/>
      </c>
      <c r="Q775" s="10" t="str">
        <f t="shared" si="171"/>
        <v/>
      </c>
      <c r="R775" s="13" t="str">
        <f t="shared" si="172"/>
        <v/>
      </c>
      <c r="S775" s="13" t="str">
        <f t="shared" si="173"/>
        <v/>
      </c>
      <c r="T775" s="22" t="str">
        <f>IF(R775&lt;&gt;"",VLOOKUP(P775,Constants!$D$3:$E$10,2),"")</f>
        <v/>
      </c>
    </row>
    <row r="776" spans="2:20" x14ac:dyDescent="0.25">
      <c r="B776" s="59"/>
      <c r="C776" s="59"/>
      <c r="D776" s="60"/>
      <c r="E776" s="59"/>
      <c r="F776" s="59"/>
      <c r="G776" s="59"/>
      <c r="H776" s="61"/>
      <c r="I776" s="61"/>
      <c r="J776" s="61"/>
      <c r="K776" s="62"/>
      <c r="L776" s="10" t="str">
        <f t="shared" si="166"/>
        <v/>
      </c>
      <c r="M776" s="10" t="str">
        <f t="shared" si="167"/>
        <v/>
      </c>
      <c r="N776" s="11" t="str">
        <f t="shared" si="168"/>
        <v/>
      </c>
      <c r="O776" s="10" t="str">
        <f t="shared" si="169"/>
        <v/>
      </c>
      <c r="P776" s="12" t="str">
        <f t="shared" si="170"/>
        <v/>
      </c>
      <c r="Q776" s="10" t="str">
        <f t="shared" si="171"/>
        <v/>
      </c>
      <c r="R776" s="13" t="str">
        <f t="shared" si="172"/>
        <v/>
      </c>
      <c r="S776" s="13" t="str">
        <f t="shared" si="173"/>
        <v/>
      </c>
      <c r="T776" s="22" t="str">
        <f>IF(R776&lt;&gt;"",VLOOKUP(P776,Constants!$D$3:$E$10,2),"")</f>
        <v/>
      </c>
    </row>
    <row r="777" spans="2:20" x14ac:dyDescent="0.25">
      <c r="B777" s="59"/>
      <c r="C777" s="59"/>
      <c r="D777" s="60"/>
      <c r="E777" s="59"/>
      <c r="F777" s="59"/>
      <c r="G777" s="59"/>
      <c r="H777" s="61"/>
      <c r="I777" s="61"/>
      <c r="J777" s="61"/>
      <c r="K777" s="62"/>
      <c r="L777" s="10" t="str">
        <f t="shared" si="166"/>
        <v/>
      </c>
      <c r="M777" s="10" t="str">
        <f t="shared" si="167"/>
        <v/>
      </c>
      <c r="N777" s="11" t="str">
        <f t="shared" si="168"/>
        <v/>
      </c>
      <c r="O777" s="10" t="str">
        <f t="shared" si="169"/>
        <v/>
      </c>
      <c r="P777" s="12" t="str">
        <f t="shared" si="170"/>
        <v/>
      </c>
      <c r="Q777" s="10" t="str">
        <f t="shared" si="171"/>
        <v/>
      </c>
      <c r="R777" s="13" t="str">
        <f t="shared" si="172"/>
        <v/>
      </c>
      <c r="S777" s="13" t="str">
        <f t="shared" si="173"/>
        <v/>
      </c>
      <c r="T777" s="22" t="str">
        <f>IF(R777&lt;&gt;"",VLOOKUP(P777,Constants!$D$3:$E$10,2),"")</f>
        <v/>
      </c>
    </row>
    <row r="778" spans="2:20" x14ac:dyDescent="0.25">
      <c r="B778" s="59"/>
      <c r="C778" s="59"/>
      <c r="D778" s="60"/>
      <c r="E778" s="59"/>
      <c r="F778" s="59"/>
      <c r="G778" s="59"/>
      <c r="H778" s="61"/>
      <c r="I778" s="61"/>
      <c r="J778" s="61"/>
      <c r="K778" s="62"/>
      <c r="L778" s="10" t="str">
        <f t="shared" si="166"/>
        <v/>
      </c>
      <c r="M778" s="10" t="str">
        <f t="shared" si="167"/>
        <v/>
      </c>
      <c r="N778" s="11" t="str">
        <f t="shared" si="168"/>
        <v/>
      </c>
      <c r="O778" s="10" t="str">
        <f t="shared" si="169"/>
        <v/>
      </c>
      <c r="P778" s="12" t="str">
        <f t="shared" si="170"/>
        <v/>
      </c>
      <c r="Q778" s="10" t="str">
        <f t="shared" si="171"/>
        <v/>
      </c>
      <c r="R778" s="13" t="str">
        <f t="shared" si="172"/>
        <v/>
      </c>
      <c r="S778" s="13" t="str">
        <f t="shared" si="173"/>
        <v/>
      </c>
      <c r="T778" s="22" t="str">
        <f>IF(R778&lt;&gt;"",VLOOKUP(P778,Constants!$D$3:$E$10,2),"")</f>
        <v/>
      </c>
    </row>
    <row r="779" spans="2:20" x14ac:dyDescent="0.25">
      <c r="B779" s="59"/>
      <c r="C779" s="59"/>
      <c r="D779" s="60"/>
      <c r="E779" s="59"/>
      <c r="F779" s="59"/>
      <c r="G779" s="59"/>
      <c r="H779" s="61"/>
      <c r="I779" s="61"/>
      <c r="J779" s="61"/>
      <c r="K779" s="62"/>
      <c r="L779" s="10" t="str">
        <f t="shared" si="166"/>
        <v/>
      </c>
      <c r="M779" s="10" t="str">
        <f t="shared" si="167"/>
        <v/>
      </c>
      <c r="N779" s="11" t="str">
        <f t="shared" si="168"/>
        <v/>
      </c>
      <c r="O779" s="10" t="str">
        <f t="shared" si="169"/>
        <v/>
      </c>
      <c r="P779" s="12" t="str">
        <f t="shared" si="170"/>
        <v/>
      </c>
      <c r="Q779" s="10" t="str">
        <f t="shared" si="171"/>
        <v/>
      </c>
      <c r="R779" s="13" t="str">
        <f t="shared" si="172"/>
        <v/>
      </c>
      <c r="S779" s="13" t="str">
        <f t="shared" si="173"/>
        <v/>
      </c>
      <c r="T779" s="22" t="str">
        <f>IF(R779&lt;&gt;"",VLOOKUP(P779,Constants!$D$3:$E$10,2),"")</f>
        <v/>
      </c>
    </row>
    <row r="780" spans="2:20" x14ac:dyDescent="0.25">
      <c r="B780" s="59"/>
      <c r="C780" s="59"/>
      <c r="D780" s="60"/>
      <c r="E780" s="59"/>
      <c r="F780" s="59"/>
      <c r="G780" s="59"/>
      <c r="H780" s="61"/>
      <c r="I780" s="61"/>
      <c r="J780" s="61"/>
      <c r="K780" s="62"/>
      <c r="L780" s="10" t="str">
        <f t="shared" si="166"/>
        <v/>
      </c>
      <c r="M780" s="10" t="str">
        <f t="shared" si="167"/>
        <v/>
      </c>
      <c r="N780" s="11" t="str">
        <f t="shared" si="168"/>
        <v/>
      </c>
      <c r="O780" s="10" t="str">
        <f t="shared" si="169"/>
        <v/>
      </c>
      <c r="P780" s="12" t="str">
        <f t="shared" si="170"/>
        <v/>
      </c>
      <c r="Q780" s="10" t="str">
        <f t="shared" si="171"/>
        <v/>
      </c>
      <c r="R780" s="13" t="str">
        <f t="shared" si="172"/>
        <v/>
      </c>
      <c r="S780" s="13" t="str">
        <f t="shared" si="173"/>
        <v/>
      </c>
      <c r="T780" s="22" t="str">
        <f>IF(R780&lt;&gt;"",VLOOKUP(P780,Constants!$D$3:$E$10,2),"")</f>
        <v/>
      </c>
    </row>
    <row r="781" spans="2:20" x14ac:dyDescent="0.25">
      <c r="B781" s="59"/>
      <c r="C781" s="59"/>
      <c r="D781" s="60"/>
      <c r="E781" s="59"/>
      <c r="F781" s="59"/>
      <c r="G781" s="59"/>
      <c r="H781" s="61"/>
      <c r="I781" s="61"/>
      <c r="J781" s="61"/>
      <c r="K781" s="62"/>
      <c r="L781" s="10" t="str">
        <f t="shared" si="166"/>
        <v/>
      </c>
      <c r="M781" s="10" t="str">
        <f t="shared" si="167"/>
        <v/>
      </c>
      <c r="N781" s="11" t="str">
        <f t="shared" si="168"/>
        <v/>
      </c>
      <c r="O781" s="10" t="str">
        <f t="shared" si="169"/>
        <v/>
      </c>
      <c r="P781" s="12" t="str">
        <f t="shared" si="170"/>
        <v/>
      </c>
      <c r="Q781" s="10" t="str">
        <f t="shared" si="171"/>
        <v/>
      </c>
      <c r="R781" s="13" t="str">
        <f t="shared" si="172"/>
        <v/>
      </c>
      <c r="S781" s="13" t="str">
        <f t="shared" si="173"/>
        <v/>
      </c>
      <c r="T781" s="22" t="str">
        <f>IF(R781&lt;&gt;"",VLOOKUP(P781,Constants!$D$3:$E$10,2),"")</f>
        <v/>
      </c>
    </row>
    <row r="782" spans="2:20" x14ac:dyDescent="0.25">
      <c r="B782" s="59"/>
      <c r="C782" s="59"/>
      <c r="D782" s="60"/>
      <c r="E782" s="59"/>
      <c r="F782" s="59"/>
      <c r="G782" s="59"/>
      <c r="H782" s="61"/>
      <c r="I782" s="61"/>
      <c r="J782" s="61"/>
      <c r="K782" s="62"/>
      <c r="L782" s="10" t="str">
        <f t="shared" si="166"/>
        <v/>
      </c>
      <c r="M782" s="10" t="str">
        <f t="shared" si="167"/>
        <v/>
      </c>
      <c r="N782" s="11" t="str">
        <f t="shared" si="168"/>
        <v/>
      </c>
      <c r="O782" s="10" t="str">
        <f t="shared" si="169"/>
        <v/>
      </c>
      <c r="P782" s="12" t="str">
        <f t="shared" si="170"/>
        <v/>
      </c>
      <c r="Q782" s="10" t="str">
        <f t="shared" si="171"/>
        <v/>
      </c>
      <c r="R782" s="13" t="str">
        <f t="shared" si="172"/>
        <v/>
      </c>
      <c r="S782" s="13" t="str">
        <f t="shared" si="173"/>
        <v/>
      </c>
      <c r="T782" s="22" t="str">
        <f>IF(R782&lt;&gt;"",VLOOKUP(P782,Constants!$D$3:$E$10,2),"")</f>
        <v/>
      </c>
    </row>
    <row r="783" spans="2:20" x14ac:dyDescent="0.25">
      <c r="B783" s="59"/>
      <c r="C783" s="59"/>
      <c r="D783" s="60"/>
      <c r="E783" s="59"/>
      <c r="F783" s="59"/>
      <c r="G783" s="59"/>
      <c r="H783" s="61"/>
      <c r="I783" s="61"/>
      <c r="J783" s="61"/>
      <c r="K783" s="62"/>
      <c r="L783" s="10" t="str">
        <f t="shared" si="166"/>
        <v/>
      </c>
      <c r="M783" s="10" t="str">
        <f t="shared" si="167"/>
        <v/>
      </c>
      <c r="N783" s="11" t="str">
        <f t="shared" si="168"/>
        <v/>
      </c>
      <c r="O783" s="10" t="str">
        <f t="shared" si="169"/>
        <v/>
      </c>
      <c r="P783" s="12" t="str">
        <f t="shared" si="170"/>
        <v/>
      </c>
      <c r="Q783" s="10" t="str">
        <f t="shared" si="171"/>
        <v/>
      </c>
      <c r="R783" s="13" t="str">
        <f t="shared" si="172"/>
        <v/>
      </c>
      <c r="S783" s="13" t="str">
        <f t="shared" si="173"/>
        <v/>
      </c>
      <c r="T783" s="22" t="str">
        <f>IF(R783&lt;&gt;"",VLOOKUP(P783,Constants!$D$3:$E$10,2),"")</f>
        <v/>
      </c>
    </row>
    <row r="784" spans="2:20" x14ac:dyDescent="0.25">
      <c r="B784" s="59"/>
      <c r="C784" s="59"/>
      <c r="D784" s="60"/>
      <c r="E784" s="59"/>
      <c r="F784" s="59"/>
      <c r="G784" s="59"/>
      <c r="H784" s="61"/>
      <c r="I784" s="61"/>
      <c r="J784" s="61"/>
      <c r="K784" s="62"/>
      <c r="L784" s="10" t="str">
        <f t="shared" si="166"/>
        <v/>
      </c>
      <c r="M784" s="10" t="str">
        <f t="shared" si="167"/>
        <v/>
      </c>
      <c r="N784" s="11" t="str">
        <f t="shared" si="168"/>
        <v/>
      </c>
      <c r="O784" s="10" t="str">
        <f t="shared" si="169"/>
        <v/>
      </c>
      <c r="P784" s="12" t="str">
        <f t="shared" si="170"/>
        <v/>
      </c>
      <c r="Q784" s="10" t="str">
        <f t="shared" si="171"/>
        <v/>
      </c>
      <c r="R784" s="13" t="str">
        <f t="shared" si="172"/>
        <v/>
      </c>
      <c r="S784" s="13" t="str">
        <f t="shared" si="173"/>
        <v/>
      </c>
      <c r="T784" s="22" t="str">
        <f>IF(R784&lt;&gt;"",VLOOKUP(P784,Constants!$D$3:$E$10,2),"")</f>
        <v/>
      </c>
    </row>
    <row r="785" spans="2:20" x14ac:dyDescent="0.25">
      <c r="B785" s="59"/>
      <c r="C785" s="59"/>
      <c r="D785" s="60"/>
      <c r="E785" s="59"/>
      <c r="F785" s="59"/>
      <c r="G785" s="59"/>
      <c r="H785" s="61"/>
      <c r="I785" s="61"/>
      <c r="J785" s="61"/>
      <c r="K785" s="62"/>
      <c r="L785" s="10" t="str">
        <f t="shared" si="166"/>
        <v/>
      </c>
      <c r="M785" s="10" t="str">
        <f t="shared" si="167"/>
        <v/>
      </c>
      <c r="N785" s="11" t="str">
        <f t="shared" si="168"/>
        <v/>
      </c>
      <c r="O785" s="10" t="str">
        <f t="shared" si="169"/>
        <v/>
      </c>
      <c r="P785" s="12" t="str">
        <f t="shared" si="170"/>
        <v/>
      </c>
      <c r="Q785" s="10" t="str">
        <f t="shared" si="171"/>
        <v/>
      </c>
      <c r="R785" s="13" t="str">
        <f t="shared" si="172"/>
        <v/>
      </c>
      <c r="S785" s="13" t="str">
        <f t="shared" si="173"/>
        <v/>
      </c>
      <c r="T785" s="22" t="str">
        <f>IF(R785&lt;&gt;"",VLOOKUP(P785,Constants!$D$3:$E$10,2),"")</f>
        <v/>
      </c>
    </row>
    <row r="786" spans="2:20" x14ac:dyDescent="0.25">
      <c r="B786" s="59"/>
      <c r="C786" s="59"/>
      <c r="D786" s="60"/>
      <c r="E786" s="59"/>
      <c r="F786" s="59"/>
      <c r="G786" s="59"/>
      <c r="H786" s="61"/>
      <c r="I786" s="61"/>
      <c r="J786" s="61"/>
      <c r="K786" s="62"/>
      <c r="L786" s="10" t="str">
        <f t="shared" ref="L786:L849" si="174">IF($D786&lt;&gt;"",$D786*$E786/1000,"")</f>
        <v/>
      </c>
      <c r="M786" s="10" t="str">
        <f t="shared" ref="M786:M849" si="175">IF($D786&lt;&gt;"",$D786*$F786/1000,"")</f>
        <v/>
      </c>
      <c r="N786" s="11" t="str">
        <f t="shared" ref="N786:N849" si="176">IF($L786&lt;&gt;"",SQRT($L786*$L786+$M786*$M786),"")</f>
        <v/>
      </c>
      <c r="O786" s="10" t="str">
        <f t="shared" si="169"/>
        <v/>
      </c>
      <c r="P786" s="12" t="str">
        <f t="shared" si="170"/>
        <v/>
      </c>
      <c r="Q786" s="10" t="str">
        <f t="shared" si="171"/>
        <v/>
      </c>
      <c r="R786" s="13" t="str">
        <f t="shared" si="172"/>
        <v/>
      </c>
      <c r="S786" s="13" t="str">
        <f t="shared" si="173"/>
        <v/>
      </c>
      <c r="T786" s="22" t="str">
        <f>IF(R786&lt;&gt;"",VLOOKUP(P786,Constants!$D$3:$E$10,2),"")</f>
        <v/>
      </c>
    </row>
    <row r="787" spans="2:20" x14ac:dyDescent="0.25">
      <c r="B787" s="59"/>
      <c r="C787" s="59"/>
      <c r="D787" s="60"/>
      <c r="E787" s="59"/>
      <c r="F787" s="59"/>
      <c r="G787" s="59"/>
      <c r="H787" s="61"/>
      <c r="I787" s="61"/>
      <c r="J787" s="61"/>
      <c r="K787" s="62"/>
      <c r="L787" s="10" t="str">
        <f t="shared" si="174"/>
        <v/>
      </c>
      <c r="M787" s="10" t="str">
        <f t="shared" si="175"/>
        <v/>
      </c>
      <c r="N787" s="11" t="str">
        <f t="shared" si="176"/>
        <v/>
      </c>
      <c r="O787" s="10" t="str">
        <f t="shared" si="169"/>
        <v/>
      </c>
      <c r="P787" s="12" t="str">
        <f t="shared" si="170"/>
        <v/>
      </c>
      <c r="Q787" s="10" t="str">
        <f t="shared" si="171"/>
        <v/>
      </c>
      <c r="R787" s="13" t="str">
        <f t="shared" si="172"/>
        <v/>
      </c>
      <c r="S787" s="13" t="str">
        <f t="shared" si="173"/>
        <v/>
      </c>
      <c r="T787" s="22" t="str">
        <f>IF(R787&lt;&gt;"",VLOOKUP(P787,Constants!$D$3:$E$10,2),"")</f>
        <v/>
      </c>
    </row>
    <row r="788" spans="2:20" x14ac:dyDescent="0.25">
      <c r="B788" s="59"/>
      <c r="C788" s="59"/>
      <c r="D788" s="60"/>
      <c r="E788" s="59"/>
      <c r="F788" s="59"/>
      <c r="G788" s="59"/>
      <c r="H788" s="61"/>
      <c r="I788" s="61"/>
      <c r="J788" s="61"/>
      <c r="K788" s="62"/>
      <c r="L788" s="10" t="str">
        <f t="shared" si="174"/>
        <v/>
      </c>
      <c r="M788" s="10" t="str">
        <f t="shared" si="175"/>
        <v/>
      </c>
      <c r="N788" s="11" t="str">
        <f t="shared" si="176"/>
        <v/>
      </c>
      <c r="O788" s="10" t="str">
        <f t="shared" ref="O788:O851" si="177">IF(D788&lt;&gt;"",1000/(2*D788),"")</f>
        <v/>
      </c>
      <c r="P788" s="12" t="str">
        <f t="shared" ref="P788:P851" si="178">IF($N788&lt;&gt;"",D788*SQRT(E788*E788+F788*F788)/16000,"")</f>
        <v/>
      </c>
      <c r="Q788" s="10" t="str">
        <f t="shared" ref="Q788:Q851" si="179">IF(F788&lt;&gt;"",F788*E788/1000000,"")</f>
        <v/>
      </c>
      <c r="R788" s="13" t="str">
        <f t="shared" ref="R788:R851" si="180">IF(G788&lt;&gt;"",1000/G788,"")</f>
        <v/>
      </c>
      <c r="S788" s="13" t="str">
        <f t="shared" ref="S788:S851" si="181">IF(R788&lt;&gt;"",Q788/R788*1000,"")</f>
        <v/>
      </c>
      <c r="T788" s="22" t="str">
        <f>IF(R788&lt;&gt;"",VLOOKUP(P788,Constants!$D$3:$E$10,2),"")</f>
        <v/>
      </c>
    </row>
    <row r="789" spans="2:20" x14ac:dyDescent="0.25">
      <c r="B789" s="59"/>
      <c r="C789" s="59"/>
      <c r="D789" s="60"/>
      <c r="E789" s="59"/>
      <c r="F789" s="59"/>
      <c r="G789" s="59"/>
      <c r="H789" s="61"/>
      <c r="I789" s="61"/>
      <c r="J789" s="61"/>
      <c r="K789" s="62"/>
      <c r="L789" s="10" t="str">
        <f t="shared" si="174"/>
        <v/>
      </c>
      <c r="M789" s="10" t="str">
        <f t="shared" si="175"/>
        <v/>
      </c>
      <c r="N789" s="11" t="str">
        <f t="shared" si="176"/>
        <v/>
      </c>
      <c r="O789" s="10" t="str">
        <f t="shared" si="177"/>
        <v/>
      </c>
      <c r="P789" s="12" t="str">
        <f t="shared" si="178"/>
        <v/>
      </c>
      <c r="Q789" s="10" t="str">
        <f t="shared" si="179"/>
        <v/>
      </c>
      <c r="R789" s="13" t="str">
        <f t="shared" si="180"/>
        <v/>
      </c>
      <c r="S789" s="13" t="str">
        <f t="shared" si="181"/>
        <v/>
      </c>
      <c r="T789" s="22" t="str">
        <f>IF(R789&lt;&gt;"",VLOOKUP(P789,Constants!$D$3:$E$10,2),"")</f>
        <v/>
      </c>
    </row>
    <row r="790" spans="2:20" x14ac:dyDescent="0.25">
      <c r="B790" s="59"/>
      <c r="C790" s="59"/>
      <c r="D790" s="60"/>
      <c r="E790" s="59"/>
      <c r="F790" s="59"/>
      <c r="G790" s="59"/>
      <c r="H790" s="61"/>
      <c r="I790" s="61"/>
      <c r="J790" s="61"/>
      <c r="K790" s="62"/>
      <c r="L790" s="10" t="str">
        <f t="shared" si="174"/>
        <v/>
      </c>
      <c r="M790" s="10" t="str">
        <f t="shared" si="175"/>
        <v/>
      </c>
      <c r="N790" s="11" t="str">
        <f t="shared" si="176"/>
        <v/>
      </c>
      <c r="O790" s="10" t="str">
        <f t="shared" si="177"/>
        <v/>
      </c>
      <c r="P790" s="12" t="str">
        <f t="shared" si="178"/>
        <v/>
      </c>
      <c r="Q790" s="10" t="str">
        <f t="shared" si="179"/>
        <v/>
      </c>
      <c r="R790" s="13" t="str">
        <f t="shared" si="180"/>
        <v/>
      </c>
      <c r="S790" s="13" t="str">
        <f t="shared" si="181"/>
        <v/>
      </c>
      <c r="T790" s="22" t="str">
        <f>IF(R790&lt;&gt;"",VLOOKUP(P790,Constants!$D$3:$E$10,2),"")</f>
        <v/>
      </c>
    </row>
    <row r="791" spans="2:20" x14ac:dyDescent="0.25">
      <c r="B791" s="59"/>
      <c r="C791" s="59"/>
      <c r="D791" s="60"/>
      <c r="E791" s="59"/>
      <c r="F791" s="59"/>
      <c r="G791" s="59"/>
      <c r="H791" s="61"/>
      <c r="I791" s="61"/>
      <c r="J791" s="61"/>
      <c r="K791" s="62"/>
      <c r="L791" s="10" t="str">
        <f t="shared" si="174"/>
        <v/>
      </c>
      <c r="M791" s="10" t="str">
        <f t="shared" si="175"/>
        <v/>
      </c>
      <c r="N791" s="11" t="str">
        <f t="shared" si="176"/>
        <v/>
      </c>
      <c r="O791" s="10" t="str">
        <f t="shared" si="177"/>
        <v/>
      </c>
      <c r="P791" s="12" t="str">
        <f t="shared" si="178"/>
        <v/>
      </c>
      <c r="Q791" s="10" t="str">
        <f t="shared" si="179"/>
        <v/>
      </c>
      <c r="R791" s="13" t="str">
        <f t="shared" si="180"/>
        <v/>
      </c>
      <c r="S791" s="13" t="str">
        <f t="shared" si="181"/>
        <v/>
      </c>
      <c r="T791" s="22" t="str">
        <f>IF(R791&lt;&gt;"",VLOOKUP(P791,Constants!$D$3:$E$10,2),"")</f>
        <v/>
      </c>
    </row>
    <row r="792" spans="2:20" x14ac:dyDescent="0.25">
      <c r="B792" s="59"/>
      <c r="C792" s="59"/>
      <c r="D792" s="60"/>
      <c r="E792" s="59"/>
      <c r="F792" s="59"/>
      <c r="G792" s="59"/>
      <c r="H792" s="61"/>
      <c r="I792" s="61"/>
      <c r="J792" s="61"/>
      <c r="K792" s="62"/>
      <c r="L792" s="10" t="str">
        <f t="shared" si="174"/>
        <v/>
      </c>
      <c r="M792" s="10" t="str">
        <f t="shared" si="175"/>
        <v/>
      </c>
      <c r="N792" s="11" t="str">
        <f t="shared" si="176"/>
        <v/>
      </c>
      <c r="O792" s="10" t="str">
        <f t="shared" si="177"/>
        <v/>
      </c>
      <c r="P792" s="12" t="str">
        <f t="shared" si="178"/>
        <v/>
      </c>
      <c r="Q792" s="10" t="str">
        <f t="shared" si="179"/>
        <v/>
      </c>
      <c r="R792" s="13" t="str">
        <f t="shared" si="180"/>
        <v/>
      </c>
      <c r="S792" s="13" t="str">
        <f t="shared" si="181"/>
        <v/>
      </c>
      <c r="T792" s="22" t="str">
        <f>IF(R792&lt;&gt;"",VLOOKUP(P792,Constants!$D$3:$E$10,2),"")</f>
        <v/>
      </c>
    </row>
    <row r="793" spans="2:20" x14ac:dyDescent="0.25">
      <c r="B793" s="59"/>
      <c r="C793" s="59"/>
      <c r="D793" s="60"/>
      <c r="E793" s="59"/>
      <c r="F793" s="59"/>
      <c r="G793" s="59"/>
      <c r="H793" s="61"/>
      <c r="I793" s="61"/>
      <c r="J793" s="61"/>
      <c r="K793" s="62"/>
      <c r="L793" s="10" t="str">
        <f t="shared" si="174"/>
        <v/>
      </c>
      <c r="M793" s="10" t="str">
        <f t="shared" si="175"/>
        <v/>
      </c>
      <c r="N793" s="11" t="str">
        <f t="shared" si="176"/>
        <v/>
      </c>
      <c r="O793" s="10" t="str">
        <f t="shared" si="177"/>
        <v/>
      </c>
      <c r="P793" s="12" t="str">
        <f t="shared" si="178"/>
        <v/>
      </c>
      <c r="Q793" s="10" t="str">
        <f t="shared" si="179"/>
        <v/>
      </c>
      <c r="R793" s="13" t="str">
        <f t="shared" si="180"/>
        <v/>
      </c>
      <c r="S793" s="13" t="str">
        <f t="shared" si="181"/>
        <v/>
      </c>
      <c r="T793" s="22" t="str">
        <f>IF(R793&lt;&gt;"",VLOOKUP(P793,Constants!$D$3:$E$10,2),"")</f>
        <v/>
      </c>
    </row>
    <row r="794" spans="2:20" x14ac:dyDescent="0.25">
      <c r="B794" s="59"/>
      <c r="C794" s="59"/>
      <c r="D794" s="60"/>
      <c r="E794" s="59"/>
      <c r="F794" s="59"/>
      <c r="G794" s="59"/>
      <c r="H794" s="61"/>
      <c r="I794" s="61"/>
      <c r="J794" s="61"/>
      <c r="K794" s="62"/>
      <c r="L794" s="10" t="str">
        <f t="shared" si="174"/>
        <v/>
      </c>
      <c r="M794" s="10" t="str">
        <f t="shared" si="175"/>
        <v/>
      </c>
      <c r="N794" s="11" t="str">
        <f t="shared" si="176"/>
        <v/>
      </c>
      <c r="O794" s="10" t="str">
        <f t="shared" si="177"/>
        <v/>
      </c>
      <c r="P794" s="12" t="str">
        <f t="shared" si="178"/>
        <v/>
      </c>
      <c r="Q794" s="10" t="str">
        <f t="shared" si="179"/>
        <v/>
      </c>
      <c r="R794" s="13" t="str">
        <f t="shared" si="180"/>
        <v/>
      </c>
      <c r="S794" s="13" t="str">
        <f t="shared" si="181"/>
        <v/>
      </c>
      <c r="T794" s="22" t="str">
        <f>IF(R794&lt;&gt;"",VLOOKUP(P794,Constants!$D$3:$E$10,2),"")</f>
        <v/>
      </c>
    </row>
    <row r="795" spans="2:20" x14ac:dyDescent="0.25">
      <c r="B795" s="59"/>
      <c r="C795" s="59"/>
      <c r="D795" s="60"/>
      <c r="E795" s="59"/>
      <c r="F795" s="59"/>
      <c r="G795" s="59"/>
      <c r="H795" s="61"/>
      <c r="I795" s="61"/>
      <c r="J795" s="61"/>
      <c r="K795" s="62"/>
      <c r="L795" s="10" t="str">
        <f t="shared" si="174"/>
        <v/>
      </c>
      <c r="M795" s="10" t="str">
        <f t="shared" si="175"/>
        <v/>
      </c>
      <c r="N795" s="11" t="str">
        <f t="shared" si="176"/>
        <v/>
      </c>
      <c r="O795" s="10" t="str">
        <f t="shared" si="177"/>
        <v/>
      </c>
      <c r="P795" s="12" t="str">
        <f t="shared" si="178"/>
        <v/>
      </c>
      <c r="Q795" s="10" t="str">
        <f t="shared" si="179"/>
        <v/>
      </c>
      <c r="R795" s="13" t="str">
        <f t="shared" si="180"/>
        <v/>
      </c>
      <c r="S795" s="13" t="str">
        <f t="shared" si="181"/>
        <v/>
      </c>
      <c r="T795" s="22" t="str">
        <f>IF(R795&lt;&gt;"",VLOOKUP(P795,Constants!$D$3:$E$10,2),"")</f>
        <v/>
      </c>
    </row>
    <row r="796" spans="2:20" x14ac:dyDescent="0.25">
      <c r="B796" s="59"/>
      <c r="C796" s="59"/>
      <c r="D796" s="60"/>
      <c r="E796" s="59"/>
      <c r="F796" s="59"/>
      <c r="G796" s="59"/>
      <c r="H796" s="61"/>
      <c r="I796" s="61"/>
      <c r="J796" s="61"/>
      <c r="K796" s="62"/>
      <c r="L796" s="10" t="str">
        <f t="shared" si="174"/>
        <v/>
      </c>
      <c r="M796" s="10" t="str">
        <f t="shared" si="175"/>
        <v/>
      </c>
      <c r="N796" s="11" t="str">
        <f t="shared" si="176"/>
        <v/>
      </c>
      <c r="O796" s="10" t="str">
        <f t="shared" si="177"/>
        <v/>
      </c>
      <c r="P796" s="12" t="str">
        <f t="shared" si="178"/>
        <v/>
      </c>
      <c r="Q796" s="10" t="str">
        <f t="shared" si="179"/>
        <v/>
      </c>
      <c r="R796" s="13" t="str">
        <f t="shared" si="180"/>
        <v/>
      </c>
      <c r="S796" s="13" t="str">
        <f t="shared" si="181"/>
        <v/>
      </c>
      <c r="T796" s="22" t="str">
        <f>IF(R796&lt;&gt;"",VLOOKUP(P796,Constants!$D$3:$E$10,2),"")</f>
        <v/>
      </c>
    </row>
    <row r="797" spans="2:20" x14ac:dyDescent="0.25">
      <c r="B797" s="59"/>
      <c r="C797" s="59"/>
      <c r="D797" s="60"/>
      <c r="E797" s="59"/>
      <c r="F797" s="59"/>
      <c r="G797" s="59"/>
      <c r="H797" s="61"/>
      <c r="I797" s="61"/>
      <c r="J797" s="61"/>
      <c r="K797" s="62"/>
      <c r="L797" s="10" t="str">
        <f t="shared" si="174"/>
        <v/>
      </c>
      <c r="M797" s="10" t="str">
        <f t="shared" si="175"/>
        <v/>
      </c>
      <c r="N797" s="11" t="str">
        <f t="shared" si="176"/>
        <v/>
      </c>
      <c r="O797" s="10" t="str">
        <f t="shared" si="177"/>
        <v/>
      </c>
      <c r="P797" s="12" t="str">
        <f t="shared" si="178"/>
        <v/>
      </c>
      <c r="Q797" s="10" t="str">
        <f t="shared" si="179"/>
        <v/>
      </c>
      <c r="R797" s="13" t="str">
        <f t="shared" si="180"/>
        <v/>
      </c>
      <c r="S797" s="13" t="str">
        <f t="shared" si="181"/>
        <v/>
      </c>
      <c r="T797" s="22" t="str">
        <f>IF(R797&lt;&gt;"",VLOOKUP(P797,Constants!$D$3:$E$10,2),"")</f>
        <v/>
      </c>
    </row>
    <row r="798" spans="2:20" x14ac:dyDescent="0.25">
      <c r="B798" s="59"/>
      <c r="C798" s="59"/>
      <c r="D798" s="60"/>
      <c r="E798" s="59"/>
      <c r="F798" s="59"/>
      <c r="G798" s="59"/>
      <c r="H798" s="61"/>
      <c r="I798" s="61"/>
      <c r="J798" s="61"/>
      <c r="K798" s="62"/>
      <c r="L798" s="10" t="str">
        <f t="shared" si="174"/>
        <v/>
      </c>
      <c r="M798" s="10" t="str">
        <f t="shared" si="175"/>
        <v/>
      </c>
      <c r="N798" s="11" t="str">
        <f t="shared" si="176"/>
        <v/>
      </c>
      <c r="O798" s="10" t="str">
        <f t="shared" si="177"/>
        <v/>
      </c>
      <c r="P798" s="12" t="str">
        <f t="shared" si="178"/>
        <v/>
      </c>
      <c r="Q798" s="10" t="str">
        <f t="shared" si="179"/>
        <v/>
      </c>
      <c r="R798" s="13" t="str">
        <f t="shared" si="180"/>
        <v/>
      </c>
      <c r="S798" s="13" t="str">
        <f t="shared" si="181"/>
        <v/>
      </c>
      <c r="T798" s="22" t="str">
        <f>IF(R798&lt;&gt;"",VLOOKUP(P798,Constants!$D$3:$E$10,2),"")</f>
        <v/>
      </c>
    </row>
    <row r="799" spans="2:20" x14ac:dyDescent="0.25">
      <c r="B799" s="59"/>
      <c r="C799" s="59"/>
      <c r="D799" s="60"/>
      <c r="E799" s="59"/>
      <c r="F799" s="59"/>
      <c r="G799" s="59"/>
      <c r="H799" s="61"/>
      <c r="I799" s="61"/>
      <c r="J799" s="61"/>
      <c r="K799" s="62"/>
      <c r="L799" s="10" t="str">
        <f t="shared" si="174"/>
        <v/>
      </c>
      <c r="M799" s="10" t="str">
        <f t="shared" si="175"/>
        <v/>
      </c>
      <c r="N799" s="11" t="str">
        <f t="shared" si="176"/>
        <v/>
      </c>
      <c r="O799" s="10" t="str">
        <f t="shared" si="177"/>
        <v/>
      </c>
      <c r="P799" s="12" t="str">
        <f t="shared" si="178"/>
        <v/>
      </c>
      <c r="Q799" s="10" t="str">
        <f t="shared" si="179"/>
        <v/>
      </c>
      <c r="R799" s="13" t="str">
        <f t="shared" si="180"/>
        <v/>
      </c>
      <c r="S799" s="13" t="str">
        <f t="shared" si="181"/>
        <v/>
      </c>
      <c r="T799" s="22" t="str">
        <f>IF(R799&lt;&gt;"",VLOOKUP(P799,Constants!$D$3:$E$10,2),"")</f>
        <v/>
      </c>
    </row>
    <row r="800" spans="2:20" x14ac:dyDescent="0.25">
      <c r="B800" s="59"/>
      <c r="C800" s="59"/>
      <c r="D800" s="60"/>
      <c r="E800" s="59"/>
      <c r="F800" s="59"/>
      <c r="G800" s="59"/>
      <c r="H800" s="61"/>
      <c r="I800" s="61"/>
      <c r="J800" s="61"/>
      <c r="K800" s="62"/>
      <c r="L800" s="10" t="str">
        <f t="shared" si="174"/>
        <v/>
      </c>
      <c r="M800" s="10" t="str">
        <f t="shared" si="175"/>
        <v/>
      </c>
      <c r="N800" s="11" t="str">
        <f t="shared" si="176"/>
        <v/>
      </c>
      <c r="O800" s="10" t="str">
        <f t="shared" si="177"/>
        <v/>
      </c>
      <c r="P800" s="12" t="str">
        <f t="shared" si="178"/>
        <v/>
      </c>
      <c r="Q800" s="10" t="str">
        <f t="shared" si="179"/>
        <v/>
      </c>
      <c r="R800" s="13" t="str">
        <f t="shared" si="180"/>
        <v/>
      </c>
      <c r="S800" s="13" t="str">
        <f t="shared" si="181"/>
        <v/>
      </c>
      <c r="T800" s="22" t="str">
        <f>IF(R800&lt;&gt;"",VLOOKUP(P800,Constants!$D$3:$E$10,2),"")</f>
        <v/>
      </c>
    </row>
    <row r="801" spans="2:20" x14ac:dyDescent="0.25">
      <c r="B801" s="59"/>
      <c r="C801" s="59"/>
      <c r="D801" s="60"/>
      <c r="E801" s="59"/>
      <c r="F801" s="59"/>
      <c r="G801" s="59"/>
      <c r="H801" s="61"/>
      <c r="I801" s="61"/>
      <c r="J801" s="61"/>
      <c r="K801" s="62"/>
      <c r="L801" s="10" t="str">
        <f t="shared" si="174"/>
        <v/>
      </c>
      <c r="M801" s="10" t="str">
        <f t="shared" si="175"/>
        <v/>
      </c>
      <c r="N801" s="11" t="str">
        <f t="shared" si="176"/>
        <v/>
      </c>
      <c r="O801" s="10" t="str">
        <f t="shared" si="177"/>
        <v/>
      </c>
      <c r="P801" s="12" t="str">
        <f t="shared" si="178"/>
        <v/>
      </c>
      <c r="Q801" s="10" t="str">
        <f t="shared" si="179"/>
        <v/>
      </c>
      <c r="R801" s="13" t="str">
        <f t="shared" si="180"/>
        <v/>
      </c>
      <c r="S801" s="13" t="str">
        <f t="shared" si="181"/>
        <v/>
      </c>
      <c r="T801" s="22" t="str">
        <f>IF(R801&lt;&gt;"",VLOOKUP(P801,Constants!$D$3:$E$10,2),"")</f>
        <v/>
      </c>
    </row>
    <row r="802" spans="2:20" x14ac:dyDescent="0.25">
      <c r="B802" s="59"/>
      <c r="C802" s="59"/>
      <c r="D802" s="60"/>
      <c r="E802" s="59"/>
      <c r="F802" s="59"/>
      <c r="G802" s="59"/>
      <c r="H802" s="61"/>
      <c r="I802" s="61"/>
      <c r="J802" s="61"/>
      <c r="K802" s="62"/>
      <c r="L802" s="10" t="str">
        <f t="shared" si="174"/>
        <v/>
      </c>
      <c r="M802" s="10" t="str">
        <f t="shared" si="175"/>
        <v/>
      </c>
      <c r="N802" s="11" t="str">
        <f t="shared" si="176"/>
        <v/>
      </c>
      <c r="O802" s="10" t="str">
        <f t="shared" si="177"/>
        <v/>
      </c>
      <c r="P802" s="12" t="str">
        <f t="shared" si="178"/>
        <v/>
      </c>
      <c r="Q802" s="10" t="str">
        <f t="shared" si="179"/>
        <v/>
      </c>
      <c r="R802" s="13" t="str">
        <f t="shared" si="180"/>
        <v/>
      </c>
      <c r="S802" s="13" t="str">
        <f t="shared" si="181"/>
        <v/>
      </c>
      <c r="T802" s="22" t="str">
        <f>IF(R802&lt;&gt;"",VLOOKUP(P802,Constants!$D$3:$E$10,2),"")</f>
        <v/>
      </c>
    </row>
    <row r="803" spans="2:20" x14ac:dyDescent="0.25">
      <c r="B803" s="59"/>
      <c r="C803" s="59"/>
      <c r="D803" s="60"/>
      <c r="E803" s="59"/>
      <c r="F803" s="59"/>
      <c r="G803" s="59"/>
      <c r="H803" s="61"/>
      <c r="I803" s="61"/>
      <c r="J803" s="61"/>
      <c r="K803" s="62"/>
      <c r="L803" s="10" t="str">
        <f t="shared" si="174"/>
        <v/>
      </c>
      <c r="M803" s="10" t="str">
        <f t="shared" si="175"/>
        <v/>
      </c>
      <c r="N803" s="11" t="str">
        <f t="shared" si="176"/>
        <v/>
      </c>
      <c r="O803" s="10" t="str">
        <f t="shared" si="177"/>
        <v/>
      </c>
      <c r="P803" s="12" t="str">
        <f t="shared" si="178"/>
        <v/>
      </c>
      <c r="Q803" s="10" t="str">
        <f t="shared" si="179"/>
        <v/>
      </c>
      <c r="R803" s="13" t="str">
        <f t="shared" si="180"/>
        <v/>
      </c>
      <c r="S803" s="13" t="str">
        <f t="shared" si="181"/>
        <v/>
      </c>
      <c r="T803" s="22" t="str">
        <f>IF(R803&lt;&gt;"",VLOOKUP(P803,Constants!$D$3:$E$10,2),"")</f>
        <v/>
      </c>
    </row>
    <row r="804" spans="2:20" x14ac:dyDescent="0.25">
      <c r="B804" s="59"/>
      <c r="C804" s="59"/>
      <c r="D804" s="60"/>
      <c r="E804" s="59"/>
      <c r="F804" s="59"/>
      <c r="G804" s="59"/>
      <c r="H804" s="61"/>
      <c r="I804" s="61"/>
      <c r="J804" s="61"/>
      <c r="K804" s="62"/>
      <c r="L804" s="10" t="str">
        <f t="shared" si="174"/>
        <v/>
      </c>
      <c r="M804" s="10" t="str">
        <f t="shared" si="175"/>
        <v/>
      </c>
      <c r="N804" s="11" t="str">
        <f t="shared" si="176"/>
        <v/>
      </c>
      <c r="O804" s="10" t="str">
        <f t="shared" si="177"/>
        <v/>
      </c>
      <c r="P804" s="12" t="str">
        <f t="shared" si="178"/>
        <v/>
      </c>
      <c r="Q804" s="10" t="str">
        <f t="shared" si="179"/>
        <v/>
      </c>
      <c r="R804" s="13" t="str">
        <f t="shared" si="180"/>
        <v/>
      </c>
      <c r="S804" s="13" t="str">
        <f t="shared" si="181"/>
        <v/>
      </c>
      <c r="T804" s="22" t="str">
        <f>IF(R804&lt;&gt;"",VLOOKUP(P804,Constants!$D$3:$E$10,2),"")</f>
        <v/>
      </c>
    </row>
    <row r="805" spans="2:20" x14ac:dyDescent="0.25">
      <c r="B805" s="59"/>
      <c r="C805" s="59"/>
      <c r="D805" s="60"/>
      <c r="E805" s="59"/>
      <c r="F805" s="59"/>
      <c r="G805" s="59"/>
      <c r="H805" s="61"/>
      <c r="I805" s="61"/>
      <c r="J805" s="61"/>
      <c r="K805" s="62"/>
      <c r="L805" s="10" t="str">
        <f t="shared" si="174"/>
        <v/>
      </c>
      <c r="M805" s="10" t="str">
        <f t="shared" si="175"/>
        <v/>
      </c>
      <c r="N805" s="11" t="str">
        <f t="shared" si="176"/>
        <v/>
      </c>
      <c r="O805" s="10" t="str">
        <f t="shared" si="177"/>
        <v/>
      </c>
      <c r="P805" s="12" t="str">
        <f t="shared" si="178"/>
        <v/>
      </c>
      <c r="Q805" s="10" t="str">
        <f t="shared" si="179"/>
        <v/>
      </c>
      <c r="R805" s="13" t="str">
        <f t="shared" si="180"/>
        <v/>
      </c>
      <c r="S805" s="13" t="str">
        <f t="shared" si="181"/>
        <v/>
      </c>
      <c r="T805" s="22" t="str">
        <f>IF(R805&lt;&gt;"",VLOOKUP(P805,Constants!$D$3:$E$10,2),"")</f>
        <v/>
      </c>
    </row>
    <row r="806" spans="2:20" x14ac:dyDescent="0.25">
      <c r="B806" s="59"/>
      <c r="C806" s="59"/>
      <c r="D806" s="60"/>
      <c r="E806" s="59"/>
      <c r="F806" s="59"/>
      <c r="G806" s="59"/>
      <c r="H806" s="61"/>
      <c r="I806" s="61"/>
      <c r="J806" s="61"/>
      <c r="K806" s="62"/>
      <c r="L806" s="10" t="str">
        <f t="shared" si="174"/>
        <v/>
      </c>
      <c r="M806" s="10" t="str">
        <f t="shared" si="175"/>
        <v/>
      </c>
      <c r="N806" s="11" t="str">
        <f t="shared" si="176"/>
        <v/>
      </c>
      <c r="O806" s="10" t="str">
        <f t="shared" si="177"/>
        <v/>
      </c>
      <c r="P806" s="12" t="str">
        <f t="shared" si="178"/>
        <v/>
      </c>
      <c r="Q806" s="10" t="str">
        <f t="shared" si="179"/>
        <v/>
      </c>
      <c r="R806" s="13" t="str">
        <f t="shared" si="180"/>
        <v/>
      </c>
      <c r="S806" s="13" t="str">
        <f t="shared" si="181"/>
        <v/>
      </c>
      <c r="T806" s="22" t="str">
        <f>IF(R806&lt;&gt;"",VLOOKUP(P806,Constants!$D$3:$E$10,2),"")</f>
        <v/>
      </c>
    </row>
    <row r="807" spans="2:20" x14ac:dyDescent="0.25">
      <c r="B807" s="59"/>
      <c r="C807" s="59"/>
      <c r="D807" s="60"/>
      <c r="E807" s="59"/>
      <c r="F807" s="59"/>
      <c r="G807" s="59"/>
      <c r="H807" s="61"/>
      <c r="I807" s="61"/>
      <c r="J807" s="61"/>
      <c r="K807" s="62"/>
      <c r="L807" s="10" t="str">
        <f t="shared" si="174"/>
        <v/>
      </c>
      <c r="M807" s="10" t="str">
        <f t="shared" si="175"/>
        <v/>
      </c>
      <c r="N807" s="11" t="str">
        <f t="shared" si="176"/>
        <v/>
      </c>
      <c r="O807" s="10" t="str">
        <f t="shared" si="177"/>
        <v/>
      </c>
      <c r="P807" s="12" t="str">
        <f t="shared" si="178"/>
        <v/>
      </c>
      <c r="Q807" s="10" t="str">
        <f t="shared" si="179"/>
        <v/>
      </c>
      <c r="R807" s="13" t="str">
        <f t="shared" si="180"/>
        <v/>
      </c>
      <c r="S807" s="13" t="str">
        <f t="shared" si="181"/>
        <v/>
      </c>
      <c r="T807" s="22" t="str">
        <f>IF(R807&lt;&gt;"",VLOOKUP(P807,Constants!$D$3:$E$10,2),"")</f>
        <v/>
      </c>
    </row>
    <row r="808" spans="2:20" x14ac:dyDescent="0.25">
      <c r="B808" s="59"/>
      <c r="C808" s="59"/>
      <c r="D808" s="60"/>
      <c r="E808" s="59"/>
      <c r="F808" s="59"/>
      <c r="G808" s="59"/>
      <c r="H808" s="61"/>
      <c r="I808" s="61"/>
      <c r="J808" s="61"/>
      <c r="K808" s="62"/>
      <c r="L808" s="10" t="str">
        <f t="shared" si="174"/>
        <v/>
      </c>
      <c r="M808" s="10" t="str">
        <f t="shared" si="175"/>
        <v/>
      </c>
      <c r="N808" s="11" t="str">
        <f t="shared" si="176"/>
        <v/>
      </c>
      <c r="O808" s="10" t="str">
        <f t="shared" si="177"/>
        <v/>
      </c>
      <c r="P808" s="12" t="str">
        <f t="shared" si="178"/>
        <v/>
      </c>
      <c r="Q808" s="10" t="str">
        <f t="shared" si="179"/>
        <v/>
      </c>
      <c r="R808" s="13" t="str">
        <f t="shared" si="180"/>
        <v/>
      </c>
      <c r="S808" s="13" t="str">
        <f t="shared" si="181"/>
        <v/>
      </c>
      <c r="T808" s="22" t="str">
        <f>IF(R808&lt;&gt;"",VLOOKUP(P808,Constants!$D$3:$E$10,2),"")</f>
        <v/>
      </c>
    </row>
    <row r="809" spans="2:20" x14ac:dyDescent="0.25">
      <c r="B809" s="59"/>
      <c r="C809" s="59"/>
      <c r="D809" s="60"/>
      <c r="E809" s="59"/>
      <c r="F809" s="59"/>
      <c r="G809" s="59"/>
      <c r="H809" s="61"/>
      <c r="I809" s="61"/>
      <c r="J809" s="61"/>
      <c r="K809" s="62"/>
      <c r="L809" s="10" t="str">
        <f t="shared" si="174"/>
        <v/>
      </c>
      <c r="M809" s="10" t="str">
        <f t="shared" si="175"/>
        <v/>
      </c>
      <c r="N809" s="11" t="str">
        <f t="shared" si="176"/>
        <v/>
      </c>
      <c r="O809" s="10" t="str">
        <f t="shared" si="177"/>
        <v/>
      </c>
      <c r="P809" s="12" t="str">
        <f t="shared" si="178"/>
        <v/>
      </c>
      <c r="Q809" s="10" t="str">
        <f t="shared" si="179"/>
        <v/>
      </c>
      <c r="R809" s="13" t="str">
        <f t="shared" si="180"/>
        <v/>
      </c>
      <c r="S809" s="13" t="str">
        <f t="shared" si="181"/>
        <v/>
      </c>
      <c r="T809" s="22" t="str">
        <f>IF(R809&lt;&gt;"",VLOOKUP(P809,Constants!$D$3:$E$10,2),"")</f>
        <v/>
      </c>
    </row>
    <row r="810" spans="2:20" x14ac:dyDescent="0.25">
      <c r="B810" s="59"/>
      <c r="C810" s="59"/>
      <c r="D810" s="60"/>
      <c r="E810" s="59"/>
      <c r="F810" s="59"/>
      <c r="G810" s="59"/>
      <c r="H810" s="61"/>
      <c r="I810" s="61"/>
      <c r="J810" s="61"/>
      <c r="K810" s="62"/>
      <c r="L810" s="10" t="str">
        <f t="shared" si="174"/>
        <v/>
      </c>
      <c r="M810" s="10" t="str">
        <f t="shared" si="175"/>
        <v/>
      </c>
      <c r="N810" s="11" t="str">
        <f t="shared" si="176"/>
        <v/>
      </c>
      <c r="O810" s="10" t="str">
        <f t="shared" si="177"/>
        <v/>
      </c>
      <c r="P810" s="12" t="str">
        <f t="shared" si="178"/>
        <v/>
      </c>
      <c r="Q810" s="10" t="str">
        <f t="shared" si="179"/>
        <v/>
      </c>
      <c r="R810" s="13" t="str">
        <f t="shared" si="180"/>
        <v/>
      </c>
      <c r="S810" s="13" t="str">
        <f t="shared" si="181"/>
        <v/>
      </c>
      <c r="T810" s="22" t="str">
        <f>IF(R810&lt;&gt;"",VLOOKUP(P810,Constants!$D$3:$E$10,2),"")</f>
        <v/>
      </c>
    </row>
    <row r="811" spans="2:20" x14ac:dyDescent="0.25">
      <c r="B811" s="59"/>
      <c r="C811" s="59"/>
      <c r="D811" s="60"/>
      <c r="E811" s="59"/>
      <c r="F811" s="59"/>
      <c r="G811" s="59"/>
      <c r="H811" s="61"/>
      <c r="I811" s="61"/>
      <c r="J811" s="61"/>
      <c r="K811" s="62"/>
      <c r="L811" s="10" t="str">
        <f t="shared" si="174"/>
        <v/>
      </c>
      <c r="M811" s="10" t="str">
        <f t="shared" si="175"/>
        <v/>
      </c>
      <c r="N811" s="11" t="str">
        <f t="shared" si="176"/>
        <v/>
      </c>
      <c r="O811" s="10" t="str">
        <f t="shared" si="177"/>
        <v/>
      </c>
      <c r="P811" s="12" t="str">
        <f t="shared" si="178"/>
        <v/>
      </c>
      <c r="Q811" s="10" t="str">
        <f t="shared" si="179"/>
        <v/>
      </c>
      <c r="R811" s="13" t="str">
        <f t="shared" si="180"/>
        <v/>
      </c>
      <c r="S811" s="13" t="str">
        <f t="shared" si="181"/>
        <v/>
      </c>
      <c r="T811" s="22" t="str">
        <f>IF(R811&lt;&gt;"",VLOOKUP(P811,Constants!$D$3:$E$10,2),"")</f>
        <v/>
      </c>
    </row>
    <row r="812" spans="2:20" x14ac:dyDescent="0.25">
      <c r="B812" s="59"/>
      <c r="C812" s="59"/>
      <c r="D812" s="60"/>
      <c r="E812" s="59"/>
      <c r="F812" s="59"/>
      <c r="G812" s="59"/>
      <c r="H812" s="61"/>
      <c r="I812" s="61"/>
      <c r="J812" s="61"/>
      <c r="K812" s="62"/>
      <c r="L812" s="10" t="str">
        <f t="shared" si="174"/>
        <v/>
      </c>
      <c r="M812" s="10" t="str">
        <f t="shared" si="175"/>
        <v/>
      </c>
      <c r="N812" s="11" t="str">
        <f t="shared" si="176"/>
        <v/>
      </c>
      <c r="O812" s="10" t="str">
        <f t="shared" si="177"/>
        <v/>
      </c>
      <c r="P812" s="12" t="str">
        <f t="shared" si="178"/>
        <v/>
      </c>
      <c r="Q812" s="10" t="str">
        <f t="shared" si="179"/>
        <v/>
      </c>
      <c r="R812" s="13" t="str">
        <f t="shared" si="180"/>
        <v/>
      </c>
      <c r="S812" s="13" t="str">
        <f t="shared" si="181"/>
        <v/>
      </c>
      <c r="T812" s="22" t="str">
        <f>IF(R812&lt;&gt;"",VLOOKUP(P812,Constants!$D$3:$E$10,2),"")</f>
        <v/>
      </c>
    </row>
    <row r="813" spans="2:20" x14ac:dyDescent="0.25">
      <c r="B813" s="59"/>
      <c r="C813" s="59"/>
      <c r="D813" s="60"/>
      <c r="E813" s="59"/>
      <c r="F813" s="59"/>
      <c r="G813" s="59"/>
      <c r="H813" s="61"/>
      <c r="I813" s="61"/>
      <c r="J813" s="61"/>
      <c r="K813" s="62"/>
      <c r="L813" s="10" t="str">
        <f t="shared" si="174"/>
        <v/>
      </c>
      <c r="M813" s="10" t="str">
        <f t="shared" si="175"/>
        <v/>
      </c>
      <c r="N813" s="11" t="str">
        <f t="shared" si="176"/>
        <v/>
      </c>
      <c r="O813" s="10" t="str">
        <f t="shared" si="177"/>
        <v/>
      </c>
      <c r="P813" s="12" t="str">
        <f t="shared" si="178"/>
        <v/>
      </c>
      <c r="Q813" s="10" t="str">
        <f t="shared" si="179"/>
        <v/>
      </c>
      <c r="R813" s="13" t="str">
        <f t="shared" si="180"/>
        <v/>
      </c>
      <c r="S813" s="13" t="str">
        <f t="shared" si="181"/>
        <v/>
      </c>
      <c r="T813" s="22" t="str">
        <f>IF(R813&lt;&gt;"",VLOOKUP(P813,Constants!$D$3:$E$10,2),"")</f>
        <v/>
      </c>
    </row>
    <row r="814" spans="2:20" x14ac:dyDescent="0.25">
      <c r="B814" s="59"/>
      <c r="C814" s="59"/>
      <c r="D814" s="60"/>
      <c r="E814" s="59"/>
      <c r="F814" s="59"/>
      <c r="G814" s="59"/>
      <c r="H814" s="61"/>
      <c r="I814" s="61"/>
      <c r="J814" s="61"/>
      <c r="K814" s="62"/>
      <c r="L814" s="10" t="str">
        <f t="shared" si="174"/>
        <v/>
      </c>
      <c r="M814" s="10" t="str">
        <f t="shared" si="175"/>
        <v/>
      </c>
      <c r="N814" s="11" t="str">
        <f t="shared" si="176"/>
        <v/>
      </c>
      <c r="O814" s="10" t="str">
        <f t="shared" si="177"/>
        <v/>
      </c>
      <c r="P814" s="12" t="str">
        <f t="shared" si="178"/>
        <v/>
      </c>
      <c r="Q814" s="10" t="str">
        <f t="shared" si="179"/>
        <v/>
      </c>
      <c r="R814" s="13" t="str">
        <f t="shared" si="180"/>
        <v/>
      </c>
      <c r="S814" s="13" t="str">
        <f t="shared" si="181"/>
        <v/>
      </c>
      <c r="T814" s="22" t="str">
        <f>IF(R814&lt;&gt;"",VLOOKUP(P814,Constants!$D$3:$E$10,2),"")</f>
        <v/>
      </c>
    </row>
    <row r="815" spans="2:20" x14ac:dyDescent="0.25">
      <c r="B815" s="59"/>
      <c r="C815" s="59"/>
      <c r="D815" s="60"/>
      <c r="E815" s="59"/>
      <c r="F815" s="59"/>
      <c r="G815" s="59"/>
      <c r="H815" s="61"/>
      <c r="I815" s="61"/>
      <c r="J815" s="61"/>
      <c r="K815" s="62"/>
      <c r="L815" s="10" t="str">
        <f t="shared" si="174"/>
        <v/>
      </c>
      <c r="M815" s="10" t="str">
        <f t="shared" si="175"/>
        <v/>
      </c>
      <c r="N815" s="11" t="str">
        <f t="shared" si="176"/>
        <v/>
      </c>
      <c r="O815" s="10" t="str">
        <f t="shared" si="177"/>
        <v/>
      </c>
      <c r="P815" s="12" t="str">
        <f t="shared" si="178"/>
        <v/>
      </c>
      <c r="Q815" s="10" t="str">
        <f t="shared" si="179"/>
        <v/>
      </c>
      <c r="R815" s="13" t="str">
        <f t="shared" si="180"/>
        <v/>
      </c>
      <c r="S815" s="13" t="str">
        <f t="shared" si="181"/>
        <v/>
      </c>
      <c r="T815" s="22" t="str">
        <f>IF(R815&lt;&gt;"",VLOOKUP(P815,Constants!$D$3:$E$10,2),"")</f>
        <v/>
      </c>
    </row>
    <row r="816" spans="2:20" x14ac:dyDescent="0.25">
      <c r="B816" s="59"/>
      <c r="C816" s="59"/>
      <c r="D816" s="60"/>
      <c r="E816" s="59"/>
      <c r="F816" s="59"/>
      <c r="G816" s="59"/>
      <c r="H816" s="61"/>
      <c r="I816" s="61"/>
      <c r="J816" s="61"/>
      <c r="K816" s="62"/>
      <c r="L816" s="10" t="str">
        <f t="shared" si="174"/>
        <v/>
      </c>
      <c r="M816" s="10" t="str">
        <f t="shared" si="175"/>
        <v/>
      </c>
      <c r="N816" s="11" t="str">
        <f t="shared" si="176"/>
        <v/>
      </c>
      <c r="O816" s="10" t="str">
        <f t="shared" si="177"/>
        <v/>
      </c>
      <c r="P816" s="12" t="str">
        <f t="shared" si="178"/>
        <v/>
      </c>
      <c r="Q816" s="10" t="str">
        <f t="shared" si="179"/>
        <v/>
      </c>
      <c r="R816" s="13" t="str">
        <f t="shared" si="180"/>
        <v/>
      </c>
      <c r="S816" s="13" t="str">
        <f t="shared" si="181"/>
        <v/>
      </c>
      <c r="T816" s="22" t="str">
        <f>IF(R816&lt;&gt;"",VLOOKUP(P816,Constants!$D$3:$E$10,2),"")</f>
        <v/>
      </c>
    </row>
    <row r="817" spans="2:20" x14ac:dyDescent="0.25">
      <c r="B817" s="59"/>
      <c r="C817" s="59"/>
      <c r="D817" s="60"/>
      <c r="E817" s="59"/>
      <c r="F817" s="59"/>
      <c r="G817" s="59"/>
      <c r="H817" s="61"/>
      <c r="I817" s="61"/>
      <c r="J817" s="61"/>
      <c r="K817" s="62"/>
      <c r="L817" s="10" t="str">
        <f t="shared" si="174"/>
        <v/>
      </c>
      <c r="M817" s="10" t="str">
        <f t="shared" si="175"/>
        <v/>
      </c>
      <c r="N817" s="11" t="str">
        <f t="shared" si="176"/>
        <v/>
      </c>
      <c r="O817" s="10" t="str">
        <f t="shared" si="177"/>
        <v/>
      </c>
      <c r="P817" s="12" t="str">
        <f t="shared" si="178"/>
        <v/>
      </c>
      <c r="Q817" s="10" t="str">
        <f t="shared" si="179"/>
        <v/>
      </c>
      <c r="R817" s="13" t="str">
        <f t="shared" si="180"/>
        <v/>
      </c>
      <c r="S817" s="13" t="str">
        <f t="shared" si="181"/>
        <v/>
      </c>
      <c r="T817" s="22" t="str">
        <f>IF(R817&lt;&gt;"",VLOOKUP(P817,Constants!$D$3:$E$10,2),"")</f>
        <v/>
      </c>
    </row>
    <row r="818" spans="2:20" x14ac:dyDescent="0.25">
      <c r="B818" s="59"/>
      <c r="C818" s="59"/>
      <c r="D818" s="60"/>
      <c r="E818" s="59"/>
      <c r="F818" s="59"/>
      <c r="G818" s="59"/>
      <c r="H818" s="61"/>
      <c r="I818" s="61"/>
      <c r="J818" s="61"/>
      <c r="K818" s="62"/>
      <c r="L818" s="10" t="str">
        <f t="shared" si="174"/>
        <v/>
      </c>
      <c r="M818" s="10" t="str">
        <f t="shared" si="175"/>
        <v/>
      </c>
      <c r="N818" s="11" t="str">
        <f t="shared" si="176"/>
        <v/>
      </c>
      <c r="O818" s="10" t="str">
        <f t="shared" si="177"/>
        <v/>
      </c>
      <c r="P818" s="12" t="str">
        <f t="shared" si="178"/>
        <v/>
      </c>
      <c r="Q818" s="10" t="str">
        <f t="shared" si="179"/>
        <v/>
      </c>
      <c r="R818" s="13" t="str">
        <f t="shared" si="180"/>
        <v/>
      </c>
      <c r="S818" s="13" t="str">
        <f t="shared" si="181"/>
        <v/>
      </c>
      <c r="T818" s="22" t="str">
        <f>IF(R818&lt;&gt;"",VLOOKUP(P818,Constants!$D$3:$E$10,2),"")</f>
        <v/>
      </c>
    </row>
    <row r="819" spans="2:20" x14ac:dyDescent="0.25">
      <c r="B819" s="59"/>
      <c r="C819" s="59"/>
      <c r="D819" s="60"/>
      <c r="E819" s="59"/>
      <c r="F819" s="59"/>
      <c r="G819" s="59"/>
      <c r="H819" s="61"/>
      <c r="I819" s="61"/>
      <c r="J819" s="61"/>
      <c r="K819" s="62"/>
      <c r="L819" s="10" t="str">
        <f t="shared" si="174"/>
        <v/>
      </c>
      <c r="M819" s="10" t="str">
        <f t="shared" si="175"/>
        <v/>
      </c>
      <c r="N819" s="11" t="str">
        <f t="shared" si="176"/>
        <v/>
      </c>
      <c r="O819" s="10" t="str">
        <f t="shared" si="177"/>
        <v/>
      </c>
      <c r="P819" s="12" t="str">
        <f t="shared" si="178"/>
        <v/>
      </c>
      <c r="Q819" s="10" t="str">
        <f t="shared" si="179"/>
        <v/>
      </c>
      <c r="R819" s="13" t="str">
        <f t="shared" si="180"/>
        <v/>
      </c>
      <c r="S819" s="13" t="str">
        <f t="shared" si="181"/>
        <v/>
      </c>
      <c r="T819" s="22" t="str">
        <f>IF(R819&lt;&gt;"",VLOOKUP(P819,Constants!$D$3:$E$10,2),"")</f>
        <v/>
      </c>
    </row>
    <row r="820" spans="2:20" x14ac:dyDescent="0.25">
      <c r="B820" s="59"/>
      <c r="C820" s="59"/>
      <c r="D820" s="60"/>
      <c r="E820" s="59"/>
      <c r="F820" s="59"/>
      <c r="G820" s="59"/>
      <c r="H820" s="61"/>
      <c r="I820" s="61"/>
      <c r="J820" s="61"/>
      <c r="K820" s="62"/>
      <c r="L820" s="10" t="str">
        <f t="shared" si="174"/>
        <v/>
      </c>
      <c r="M820" s="10" t="str">
        <f t="shared" si="175"/>
        <v/>
      </c>
      <c r="N820" s="11" t="str">
        <f t="shared" si="176"/>
        <v/>
      </c>
      <c r="O820" s="10" t="str">
        <f t="shared" si="177"/>
        <v/>
      </c>
      <c r="P820" s="12" t="str">
        <f t="shared" si="178"/>
        <v/>
      </c>
      <c r="Q820" s="10" t="str">
        <f t="shared" si="179"/>
        <v/>
      </c>
      <c r="R820" s="13" t="str">
        <f t="shared" si="180"/>
        <v/>
      </c>
      <c r="S820" s="13" t="str">
        <f t="shared" si="181"/>
        <v/>
      </c>
      <c r="T820" s="22" t="str">
        <f>IF(R820&lt;&gt;"",VLOOKUP(P820,Constants!$D$3:$E$10,2),"")</f>
        <v/>
      </c>
    </row>
    <row r="821" spans="2:20" x14ac:dyDescent="0.25">
      <c r="B821" s="59"/>
      <c r="C821" s="59"/>
      <c r="D821" s="60"/>
      <c r="E821" s="59"/>
      <c r="F821" s="59"/>
      <c r="G821" s="59"/>
      <c r="H821" s="61"/>
      <c r="I821" s="61"/>
      <c r="J821" s="61"/>
      <c r="K821" s="62"/>
      <c r="L821" s="10" t="str">
        <f t="shared" si="174"/>
        <v/>
      </c>
      <c r="M821" s="10" t="str">
        <f t="shared" si="175"/>
        <v/>
      </c>
      <c r="N821" s="11" t="str">
        <f t="shared" si="176"/>
        <v/>
      </c>
      <c r="O821" s="10" t="str">
        <f t="shared" si="177"/>
        <v/>
      </c>
      <c r="P821" s="12" t="str">
        <f t="shared" si="178"/>
        <v/>
      </c>
      <c r="Q821" s="10" t="str">
        <f t="shared" si="179"/>
        <v/>
      </c>
      <c r="R821" s="13" t="str">
        <f t="shared" si="180"/>
        <v/>
      </c>
      <c r="S821" s="13" t="str">
        <f t="shared" si="181"/>
        <v/>
      </c>
      <c r="T821" s="22" t="str">
        <f>IF(R821&lt;&gt;"",VLOOKUP(P821,Constants!$D$3:$E$10,2),"")</f>
        <v/>
      </c>
    </row>
    <row r="822" spans="2:20" x14ac:dyDescent="0.25">
      <c r="B822" s="59"/>
      <c r="C822" s="59"/>
      <c r="D822" s="60"/>
      <c r="E822" s="59"/>
      <c r="F822" s="59"/>
      <c r="G822" s="59"/>
      <c r="H822" s="61"/>
      <c r="I822" s="61"/>
      <c r="J822" s="61"/>
      <c r="K822" s="62"/>
      <c r="L822" s="10" t="str">
        <f t="shared" si="174"/>
        <v/>
      </c>
      <c r="M822" s="10" t="str">
        <f t="shared" si="175"/>
        <v/>
      </c>
      <c r="N822" s="11" t="str">
        <f t="shared" si="176"/>
        <v/>
      </c>
      <c r="O822" s="10" t="str">
        <f t="shared" si="177"/>
        <v/>
      </c>
      <c r="P822" s="12" t="str">
        <f t="shared" si="178"/>
        <v/>
      </c>
      <c r="Q822" s="10" t="str">
        <f t="shared" si="179"/>
        <v/>
      </c>
      <c r="R822" s="13" t="str">
        <f t="shared" si="180"/>
        <v/>
      </c>
      <c r="S822" s="13" t="str">
        <f t="shared" si="181"/>
        <v/>
      </c>
      <c r="T822" s="22" t="str">
        <f>IF(R822&lt;&gt;"",VLOOKUP(P822,Constants!$D$3:$E$10,2),"")</f>
        <v/>
      </c>
    </row>
    <row r="823" spans="2:20" x14ac:dyDescent="0.25">
      <c r="B823" s="59"/>
      <c r="C823" s="59"/>
      <c r="D823" s="60"/>
      <c r="E823" s="59"/>
      <c r="F823" s="59"/>
      <c r="G823" s="59"/>
      <c r="H823" s="61"/>
      <c r="I823" s="61"/>
      <c r="J823" s="61"/>
      <c r="K823" s="62"/>
      <c r="L823" s="10" t="str">
        <f t="shared" si="174"/>
        <v/>
      </c>
      <c r="M823" s="10" t="str">
        <f t="shared" si="175"/>
        <v/>
      </c>
      <c r="N823" s="11" t="str">
        <f t="shared" si="176"/>
        <v/>
      </c>
      <c r="O823" s="10" t="str">
        <f t="shared" si="177"/>
        <v/>
      </c>
      <c r="P823" s="12" t="str">
        <f t="shared" si="178"/>
        <v/>
      </c>
      <c r="Q823" s="10" t="str">
        <f t="shared" si="179"/>
        <v/>
      </c>
      <c r="R823" s="13" t="str">
        <f t="shared" si="180"/>
        <v/>
      </c>
      <c r="S823" s="13" t="str">
        <f t="shared" si="181"/>
        <v/>
      </c>
      <c r="T823" s="22" t="str">
        <f>IF(R823&lt;&gt;"",VLOOKUP(P823,Constants!$D$3:$E$10,2),"")</f>
        <v/>
      </c>
    </row>
    <row r="824" spans="2:20" x14ac:dyDescent="0.25">
      <c r="B824" s="59"/>
      <c r="C824" s="59"/>
      <c r="D824" s="60"/>
      <c r="E824" s="59"/>
      <c r="F824" s="59"/>
      <c r="G824" s="59"/>
      <c r="H824" s="61"/>
      <c r="I824" s="61"/>
      <c r="J824" s="61"/>
      <c r="K824" s="62"/>
      <c r="L824" s="10" t="str">
        <f t="shared" si="174"/>
        <v/>
      </c>
      <c r="M824" s="10" t="str">
        <f t="shared" si="175"/>
        <v/>
      </c>
      <c r="N824" s="11" t="str">
        <f t="shared" si="176"/>
        <v/>
      </c>
      <c r="O824" s="10" t="str">
        <f t="shared" si="177"/>
        <v/>
      </c>
      <c r="P824" s="12" t="str">
        <f t="shared" si="178"/>
        <v/>
      </c>
      <c r="Q824" s="10" t="str">
        <f t="shared" si="179"/>
        <v/>
      </c>
      <c r="R824" s="13" t="str">
        <f t="shared" si="180"/>
        <v/>
      </c>
      <c r="S824" s="13" t="str">
        <f t="shared" si="181"/>
        <v/>
      </c>
      <c r="T824" s="22" t="str">
        <f>IF(R824&lt;&gt;"",VLOOKUP(P824,Constants!$D$3:$E$10,2),"")</f>
        <v/>
      </c>
    </row>
    <row r="825" spans="2:20" x14ac:dyDescent="0.25">
      <c r="B825" s="59"/>
      <c r="C825" s="59"/>
      <c r="D825" s="60"/>
      <c r="E825" s="59"/>
      <c r="F825" s="59"/>
      <c r="G825" s="59"/>
      <c r="H825" s="61"/>
      <c r="I825" s="61"/>
      <c r="J825" s="61"/>
      <c r="K825" s="62"/>
      <c r="L825" s="10" t="str">
        <f t="shared" si="174"/>
        <v/>
      </c>
      <c r="M825" s="10" t="str">
        <f t="shared" si="175"/>
        <v/>
      </c>
      <c r="N825" s="11" t="str">
        <f t="shared" si="176"/>
        <v/>
      </c>
      <c r="O825" s="10" t="str">
        <f t="shared" si="177"/>
        <v/>
      </c>
      <c r="P825" s="12" t="str">
        <f t="shared" si="178"/>
        <v/>
      </c>
      <c r="Q825" s="10" t="str">
        <f t="shared" si="179"/>
        <v/>
      </c>
      <c r="R825" s="13" t="str">
        <f t="shared" si="180"/>
        <v/>
      </c>
      <c r="S825" s="13" t="str">
        <f t="shared" si="181"/>
        <v/>
      </c>
      <c r="T825" s="22" t="str">
        <f>IF(R825&lt;&gt;"",VLOOKUP(P825,Constants!$D$3:$E$10,2),"")</f>
        <v/>
      </c>
    </row>
    <row r="826" spans="2:20" x14ac:dyDescent="0.25">
      <c r="B826" s="59"/>
      <c r="C826" s="59"/>
      <c r="D826" s="60"/>
      <c r="E826" s="59"/>
      <c r="F826" s="59"/>
      <c r="G826" s="59"/>
      <c r="H826" s="61"/>
      <c r="I826" s="61"/>
      <c r="J826" s="61"/>
      <c r="K826" s="62"/>
      <c r="L826" s="10" t="str">
        <f t="shared" si="174"/>
        <v/>
      </c>
      <c r="M826" s="10" t="str">
        <f t="shared" si="175"/>
        <v/>
      </c>
      <c r="N826" s="11" t="str">
        <f t="shared" si="176"/>
        <v/>
      </c>
      <c r="O826" s="10" t="str">
        <f t="shared" si="177"/>
        <v/>
      </c>
      <c r="P826" s="12" t="str">
        <f t="shared" si="178"/>
        <v/>
      </c>
      <c r="Q826" s="10" t="str">
        <f t="shared" si="179"/>
        <v/>
      </c>
      <c r="R826" s="13" t="str">
        <f t="shared" si="180"/>
        <v/>
      </c>
      <c r="S826" s="13" t="str">
        <f t="shared" si="181"/>
        <v/>
      </c>
      <c r="T826" s="22" t="str">
        <f>IF(R826&lt;&gt;"",VLOOKUP(P826,Constants!$D$3:$E$10,2),"")</f>
        <v/>
      </c>
    </row>
    <row r="827" spans="2:20" x14ac:dyDescent="0.25">
      <c r="B827" s="59"/>
      <c r="C827" s="59"/>
      <c r="D827" s="60"/>
      <c r="E827" s="59"/>
      <c r="F827" s="59"/>
      <c r="G827" s="59"/>
      <c r="H827" s="61"/>
      <c r="I827" s="61"/>
      <c r="J827" s="61"/>
      <c r="K827" s="62"/>
      <c r="L827" s="10" t="str">
        <f t="shared" si="174"/>
        <v/>
      </c>
      <c r="M827" s="10" t="str">
        <f t="shared" si="175"/>
        <v/>
      </c>
      <c r="N827" s="11" t="str">
        <f t="shared" si="176"/>
        <v/>
      </c>
      <c r="O827" s="10" t="str">
        <f t="shared" si="177"/>
        <v/>
      </c>
      <c r="P827" s="12" t="str">
        <f t="shared" si="178"/>
        <v/>
      </c>
      <c r="Q827" s="10" t="str">
        <f t="shared" si="179"/>
        <v/>
      </c>
      <c r="R827" s="13" t="str">
        <f t="shared" si="180"/>
        <v/>
      </c>
      <c r="S827" s="13" t="str">
        <f t="shared" si="181"/>
        <v/>
      </c>
      <c r="T827" s="22" t="str">
        <f>IF(R827&lt;&gt;"",VLOOKUP(P827,Constants!$D$3:$E$10,2),"")</f>
        <v/>
      </c>
    </row>
    <row r="828" spans="2:20" x14ac:dyDescent="0.25">
      <c r="B828" s="59"/>
      <c r="C828" s="59"/>
      <c r="D828" s="60"/>
      <c r="E828" s="59"/>
      <c r="F828" s="59"/>
      <c r="G828" s="59"/>
      <c r="H828" s="61"/>
      <c r="I828" s="61"/>
      <c r="J828" s="61"/>
      <c r="K828" s="62"/>
      <c r="L828" s="10" t="str">
        <f t="shared" si="174"/>
        <v/>
      </c>
      <c r="M828" s="10" t="str">
        <f t="shared" si="175"/>
        <v/>
      </c>
      <c r="N828" s="11" t="str">
        <f t="shared" si="176"/>
        <v/>
      </c>
      <c r="O828" s="10" t="str">
        <f t="shared" si="177"/>
        <v/>
      </c>
      <c r="P828" s="12" t="str">
        <f t="shared" si="178"/>
        <v/>
      </c>
      <c r="Q828" s="10" t="str">
        <f t="shared" si="179"/>
        <v/>
      </c>
      <c r="R828" s="13" t="str">
        <f t="shared" si="180"/>
        <v/>
      </c>
      <c r="S828" s="13" t="str">
        <f t="shared" si="181"/>
        <v/>
      </c>
      <c r="T828" s="22" t="str">
        <f>IF(R828&lt;&gt;"",VLOOKUP(P828,Constants!$D$3:$E$10,2),"")</f>
        <v/>
      </c>
    </row>
    <row r="829" spans="2:20" x14ac:dyDescent="0.25">
      <c r="B829" s="59"/>
      <c r="C829" s="59"/>
      <c r="D829" s="60"/>
      <c r="E829" s="59"/>
      <c r="F829" s="59"/>
      <c r="G829" s="59"/>
      <c r="H829" s="61"/>
      <c r="I829" s="61"/>
      <c r="J829" s="61"/>
      <c r="K829" s="62"/>
      <c r="L829" s="10" t="str">
        <f t="shared" si="174"/>
        <v/>
      </c>
      <c r="M829" s="10" t="str">
        <f t="shared" si="175"/>
        <v/>
      </c>
      <c r="N829" s="11" t="str">
        <f t="shared" si="176"/>
        <v/>
      </c>
      <c r="O829" s="10" t="str">
        <f t="shared" si="177"/>
        <v/>
      </c>
      <c r="P829" s="12" t="str">
        <f t="shared" si="178"/>
        <v/>
      </c>
      <c r="Q829" s="10" t="str">
        <f t="shared" si="179"/>
        <v/>
      </c>
      <c r="R829" s="13" t="str">
        <f t="shared" si="180"/>
        <v/>
      </c>
      <c r="S829" s="13" t="str">
        <f t="shared" si="181"/>
        <v/>
      </c>
      <c r="T829" s="22" t="str">
        <f>IF(R829&lt;&gt;"",VLOOKUP(P829,Constants!$D$3:$E$10,2),"")</f>
        <v/>
      </c>
    </row>
    <row r="830" spans="2:20" x14ac:dyDescent="0.25">
      <c r="B830" s="59"/>
      <c r="C830" s="59"/>
      <c r="D830" s="60"/>
      <c r="E830" s="59"/>
      <c r="F830" s="59"/>
      <c r="G830" s="59"/>
      <c r="H830" s="61"/>
      <c r="I830" s="61"/>
      <c r="J830" s="61"/>
      <c r="K830" s="62"/>
      <c r="L830" s="10" t="str">
        <f t="shared" si="174"/>
        <v/>
      </c>
      <c r="M830" s="10" t="str">
        <f t="shared" si="175"/>
        <v/>
      </c>
      <c r="N830" s="11" t="str">
        <f t="shared" si="176"/>
        <v/>
      </c>
      <c r="O830" s="10" t="str">
        <f t="shared" si="177"/>
        <v/>
      </c>
      <c r="P830" s="12" t="str">
        <f t="shared" si="178"/>
        <v/>
      </c>
      <c r="Q830" s="10" t="str">
        <f t="shared" si="179"/>
        <v/>
      </c>
      <c r="R830" s="13" t="str">
        <f t="shared" si="180"/>
        <v/>
      </c>
      <c r="S830" s="13" t="str">
        <f t="shared" si="181"/>
        <v/>
      </c>
      <c r="T830" s="22" t="str">
        <f>IF(R830&lt;&gt;"",VLOOKUP(P830,Constants!$D$3:$E$10,2),"")</f>
        <v/>
      </c>
    </row>
    <row r="831" spans="2:20" x14ac:dyDescent="0.25">
      <c r="B831" s="59"/>
      <c r="C831" s="59"/>
      <c r="D831" s="60"/>
      <c r="E831" s="59"/>
      <c r="F831" s="59"/>
      <c r="G831" s="59"/>
      <c r="H831" s="61"/>
      <c r="I831" s="61"/>
      <c r="J831" s="61"/>
      <c r="K831" s="62"/>
      <c r="L831" s="10" t="str">
        <f t="shared" si="174"/>
        <v/>
      </c>
      <c r="M831" s="10" t="str">
        <f t="shared" si="175"/>
        <v/>
      </c>
      <c r="N831" s="11" t="str">
        <f t="shared" si="176"/>
        <v/>
      </c>
      <c r="O831" s="10" t="str">
        <f t="shared" si="177"/>
        <v/>
      </c>
      <c r="P831" s="12" t="str">
        <f t="shared" si="178"/>
        <v/>
      </c>
      <c r="Q831" s="10" t="str">
        <f t="shared" si="179"/>
        <v/>
      </c>
      <c r="R831" s="13" t="str">
        <f t="shared" si="180"/>
        <v/>
      </c>
      <c r="S831" s="13" t="str">
        <f t="shared" si="181"/>
        <v/>
      </c>
      <c r="T831" s="22" t="str">
        <f>IF(R831&lt;&gt;"",VLOOKUP(P831,Constants!$D$3:$E$10,2),"")</f>
        <v/>
      </c>
    </row>
    <row r="832" spans="2:20" x14ac:dyDescent="0.25">
      <c r="B832" s="59"/>
      <c r="C832" s="59"/>
      <c r="D832" s="60"/>
      <c r="E832" s="59"/>
      <c r="F832" s="59"/>
      <c r="G832" s="59"/>
      <c r="H832" s="61"/>
      <c r="I832" s="61"/>
      <c r="J832" s="61"/>
      <c r="K832" s="62"/>
      <c r="L832" s="10" t="str">
        <f t="shared" si="174"/>
        <v/>
      </c>
      <c r="M832" s="10" t="str">
        <f t="shared" si="175"/>
        <v/>
      </c>
      <c r="N832" s="11" t="str">
        <f t="shared" si="176"/>
        <v/>
      </c>
      <c r="O832" s="10" t="str">
        <f t="shared" si="177"/>
        <v/>
      </c>
      <c r="P832" s="12" t="str">
        <f t="shared" si="178"/>
        <v/>
      </c>
      <c r="Q832" s="10" t="str">
        <f t="shared" si="179"/>
        <v/>
      </c>
      <c r="R832" s="13" t="str">
        <f t="shared" si="180"/>
        <v/>
      </c>
      <c r="S832" s="13" t="str">
        <f t="shared" si="181"/>
        <v/>
      </c>
      <c r="T832" s="22" t="str">
        <f>IF(R832&lt;&gt;"",VLOOKUP(P832,Constants!$D$3:$E$10,2),"")</f>
        <v/>
      </c>
    </row>
    <row r="833" spans="2:20" x14ac:dyDescent="0.25">
      <c r="B833" s="59"/>
      <c r="C833" s="59"/>
      <c r="D833" s="60"/>
      <c r="E833" s="59"/>
      <c r="F833" s="59"/>
      <c r="G833" s="59"/>
      <c r="H833" s="61"/>
      <c r="I833" s="61"/>
      <c r="J833" s="61"/>
      <c r="K833" s="62"/>
      <c r="L833" s="10" t="str">
        <f t="shared" si="174"/>
        <v/>
      </c>
      <c r="M833" s="10" t="str">
        <f t="shared" si="175"/>
        <v/>
      </c>
      <c r="N833" s="11" t="str">
        <f t="shared" si="176"/>
        <v/>
      </c>
      <c r="O833" s="10" t="str">
        <f t="shared" si="177"/>
        <v/>
      </c>
      <c r="P833" s="12" t="str">
        <f t="shared" si="178"/>
        <v/>
      </c>
      <c r="Q833" s="10" t="str">
        <f t="shared" si="179"/>
        <v/>
      </c>
      <c r="R833" s="13" t="str">
        <f t="shared" si="180"/>
        <v/>
      </c>
      <c r="S833" s="13" t="str">
        <f t="shared" si="181"/>
        <v/>
      </c>
      <c r="T833" s="22" t="str">
        <f>IF(R833&lt;&gt;"",VLOOKUP(P833,Constants!$D$3:$E$10,2),"")</f>
        <v/>
      </c>
    </row>
    <row r="834" spans="2:20" x14ac:dyDescent="0.25">
      <c r="B834" s="59"/>
      <c r="C834" s="59"/>
      <c r="D834" s="60"/>
      <c r="E834" s="59"/>
      <c r="F834" s="59"/>
      <c r="G834" s="59"/>
      <c r="H834" s="61"/>
      <c r="I834" s="61"/>
      <c r="J834" s="61"/>
      <c r="K834" s="62"/>
      <c r="L834" s="10" t="str">
        <f t="shared" si="174"/>
        <v/>
      </c>
      <c r="M834" s="10" t="str">
        <f t="shared" si="175"/>
        <v/>
      </c>
      <c r="N834" s="11" t="str">
        <f t="shared" si="176"/>
        <v/>
      </c>
      <c r="O834" s="10" t="str">
        <f t="shared" si="177"/>
        <v/>
      </c>
      <c r="P834" s="12" t="str">
        <f t="shared" si="178"/>
        <v/>
      </c>
      <c r="Q834" s="10" t="str">
        <f t="shared" si="179"/>
        <v/>
      </c>
      <c r="R834" s="13" t="str">
        <f t="shared" si="180"/>
        <v/>
      </c>
      <c r="S834" s="13" t="str">
        <f t="shared" si="181"/>
        <v/>
      </c>
      <c r="T834" s="22" t="str">
        <f>IF(R834&lt;&gt;"",VLOOKUP(P834,Constants!$D$3:$E$10,2),"")</f>
        <v/>
      </c>
    </row>
    <row r="835" spans="2:20" x14ac:dyDescent="0.25">
      <c r="B835" s="59"/>
      <c r="C835" s="59"/>
      <c r="D835" s="60"/>
      <c r="E835" s="59"/>
      <c r="F835" s="59"/>
      <c r="G835" s="59"/>
      <c r="H835" s="61"/>
      <c r="I835" s="61"/>
      <c r="J835" s="61"/>
      <c r="K835" s="62"/>
      <c r="L835" s="10" t="str">
        <f t="shared" si="174"/>
        <v/>
      </c>
      <c r="M835" s="10" t="str">
        <f t="shared" si="175"/>
        <v/>
      </c>
      <c r="N835" s="11" t="str">
        <f t="shared" si="176"/>
        <v/>
      </c>
      <c r="O835" s="10" t="str">
        <f t="shared" si="177"/>
        <v/>
      </c>
      <c r="P835" s="12" t="str">
        <f t="shared" si="178"/>
        <v/>
      </c>
      <c r="Q835" s="10" t="str">
        <f t="shared" si="179"/>
        <v/>
      </c>
      <c r="R835" s="13" t="str">
        <f t="shared" si="180"/>
        <v/>
      </c>
      <c r="S835" s="13" t="str">
        <f t="shared" si="181"/>
        <v/>
      </c>
      <c r="T835" s="22" t="str">
        <f>IF(R835&lt;&gt;"",VLOOKUP(P835,Constants!$D$3:$E$10,2),"")</f>
        <v/>
      </c>
    </row>
    <row r="836" spans="2:20" x14ac:dyDescent="0.25">
      <c r="B836" s="59"/>
      <c r="C836" s="59"/>
      <c r="D836" s="60"/>
      <c r="E836" s="59"/>
      <c r="F836" s="59"/>
      <c r="G836" s="59"/>
      <c r="H836" s="61"/>
      <c r="I836" s="61"/>
      <c r="J836" s="61"/>
      <c r="K836" s="62"/>
      <c r="L836" s="10" t="str">
        <f t="shared" si="174"/>
        <v/>
      </c>
      <c r="M836" s="10" t="str">
        <f t="shared" si="175"/>
        <v/>
      </c>
      <c r="N836" s="11" t="str">
        <f t="shared" si="176"/>
        <v/>
      </c>
      <c r="O836" s="10" t="str">
        <f t="shared" si="177"/>
        <v/>
      </c>
      <c r="P836" s="12" t="str">
        <f t="shared" si="178"/>
        <v/>
      </c>
      <c r="Q836" s="10" t="str">
        <f t="shared" si="179"/>
        <v/>
      </c>
      <c r="R836" s="13" t="str">
        <f t="shared" si="180"/>
        <v/>
      </c>
      <c r="S836" s="13" t="str">
        <f t="shared" si="181"/>
        <v/>
      </c>
      <c r="T836" s="22" t="str">
        <f>IF(R836&lt;&gt;"",VLOOKUP(P836,Constants!$D$3:$E$10,2),"")</f>
        <v/>
      </c>
    </row>
    <row r="837" spans="2:20" x14ac:dyDescent="0.25">
      <c r="B837" s="59"/>
      <c r="C837" s="59"/>
      <c r="D837" s="60"/>
      <c r="E837" s="59"/>
      <c r="F837" s="59"/>
      <c r="G837" s="59"/>
      <c r="H837" s="61"/>
      <c r="I837" s="61"/>
      <c r="J837" s="61"/>
      <c r="K837" s="62"/>
      <c r="L837" s="10" t="str">
        <f t="shared" si="174"/>
        <v/>
      </c>
      <c r="M837" s="10" t="str">
        <f t="shared" si="175"/>
        <v/>
      </c>
      <c r="N837" s="11" t="str">
        <f t="shared" si="176"/>
        <v/>
      </c>
      <c r="O837" s="10" t="str">
        <f t="shared" si="177"/>
        <v/>
      </c>
      <c r="P837" s="12" t="str">
        <f t="shared" si="178"/>
        <v/>
      </c>
      <c r="Q837" s="10" t="str">
        <f t="shared" si="179"/>
        <v/>
      </c>
      <c r="R837" s="13" t="str">
        <f t="shared" si="180"/>
        <v/>
      </c>
      <c r="S837" s="13" t="str">
        <f t="shared" si="181"/>
        <v/>
      </c>
      <c r="T837" s="22" t="str">
        <f>IF(R837&lt;&gt;"",VLOOKUP(P837,Constants!$D$3:$E$10,2),"")</f>
        <v/>
      </c>
    </row>
    <row r="838" spans="2:20" x14ac:dyDescent="0.25">
      <c r="B838" s="59"/>
      <c r="C838" s="59"/>
      <c r="D838" s="60"/>
      <c r="E838" s="59"/>
      <c r="F838" s="59"/>
      <c r="G838" s="59"/>
      <c r="H838" s="61"/>
      <c r="I838" s="61"/>
      <c r="J838" s="61"/>
      <c r="K838" s="62"/>
      <c r="L838" s="10" t="str">
        <f t="shared" si="174"/>
        <v/>
      </c>
      <c r="M838" s="10" t="str">
        <f t="shared" si="175"/>
        <v/>
      </c>
      <c r="N838" s="11" t="str">
        <f t="shared" si="176"/>
        <v/>
      </c>
      <c r="O838" s="10" t="str">
        <f t="shared" si="177"/>
        <v/>
      </c>
      <c r="P838" s="12" t="str">
        <f t="shared" si="178"/>
        <v/>
      </c>
      <c r="Q838" s="10" t="str">
        <f t="shared" si="179"/>
        <v/>
      </c>
      <c r="R838" s="13" t="str">
        <f t="shared" si="180"/>
        <v/>
      </c>
      <c r="S838" s="13" t="str">
        <f t="shared" si="181"/>
        <v/>
      </c>
      <c r="T838" s="22" t="str">
        <f>IF(R838&lt;&gt;"",VLOOKUP(P838,Constants!$D$3:$E$10,2),"")</f>
        <v/>
      </c>
    </row>
    <row r="839" spans="2:20" x14ac:dyDescent="0.25">
      <c r="B839" s="59"/>
      <c r="C839" s="59"/>
      <c r="D839" s="60"/>
      <c r="E839" s="59"/>
      <c r="F839" s="59"/>
      <c r="G839" s="59"/>
      <c r="H839" s="61"/>
      <c r="I839" s="61"/>
      <c r="J839" s="61"/>
      <c r="K839" s="62"/>
      <c r="L839" s="10" t="str">
        <f t="shared" si="174"/>
        <v/>
      </c>
      <c r="M839" s="10" t="str">
        <f t="shared" si="175"/>
        <v/>
      </c>
      <c r="N839" s="11" t="str">
        <f t="shared" si="176"/>
        <v/>
      </c>
      <c r="O839" s="10" t="str">
        <f t="shared" si="177"/>
        <v/>
      </c>
      <c r="P839" s="12" t="str">
        <f t="shared" si="178"/>
        <v/>
      </c>
      <c r="Q839" s="10" t="str">
        <f t="shared" si="179"/>
        <v/>
      </c>
      <c r="R839" s="13" t="str">
        <f t="shared" si="180"/>
        <v/>
      </c>
      <c r="S839" s="13" t="str">
        <f t="shared" si="181"/>
        <v/>
      </c>
      <c r="T839" s="22" t="str">
        <f>IF(R839&lt;&gt;"",VLOOKUP(P839,Constants!$D$3:$E$10,2),"")</f>
        <v/>
      </c>
    </row>
    <row r="840" spans="2:20" x14ac:dyDescent="0.25">
      <c r="B840" s="59"/>
      <c r="C840" s="59"/>
      <c r="D840" s="60"/>
      <c r="E840" s="59"/>
      <c r="F840" s="59"/>
      <c r="G840" s="59"/>
      <c r="H840" s="61"/>
      <c r="I840" s="61"/>
      <c r="J840" s="61"/>
      <c r="K840" s="62"/>
      <c r="L840" s="10" t="str">
        <f t="shared" si="174"/>
        <v/>
      </c>
      <c r="M840" s="10" t="str">
        <f t="shared" si="175"/>
        <v/>
      </c>
      <c r="N840" s="11" t="str">
        <f t="shared" si="176"/>
        <v/>
      </c>
      <c r="O840" s="10" t="str">
        <f t="shared" si="177"/>
        <v/>
      </c>
      <c r="P840" s="12" t="str">
        <f t="shared" si="178"/>
        <v/>
      </c>
      <c r="Q840" s="10" t="str">
        <f t="shared" si="179"/>
        <v/>
      </c>
      <c r="R840" s="13" t="str">
        <f t="shared" si="180"/>
        <v/>
      </c>
      <c r="S840" s="13" t="str">
        <f t="shared" si="181"/>
        <v/>
      </c>
      <c r="T840" s="22" t="str">
        <f>IF(R840&lt;&gt;"",VLOOKUP(P840,Constants!$D$3:$E$10,2),"")</f>
        <v/>
      </c>
    </row>
    <row r="841" spans="2:20" x14ac:dyDescent="0.25">
      <c r="B841" s="59"/>
      <c r="C841" s="59"/>
      <c r="D841" s="60"/>
      <c r="E841" s="59"/>
      <c r="F841" s="59"/>
      <c r="G841" s="59"/>
      <c r="H841" s="61"/>
      <c r="I841" s="61"/>
      <c r="J841" s="61"/>
      <c r="K841" s="62"/>
      <c r="L841" s="10" t="str">
        <f t="shared" si="174"/>
        <v/>
      </c>
      <c r="M841" s="10" t="str">
        <f t="shared" si="175"/>
        <v/>
      </c>
      <c r="N841" s="11" t="str">
        <f t="shared" si="176"/>
        <v/>
      </c>
      <c r="O841" s="10" t="str">
        <f t="shared" si="177"/>
        <v/>
      </c>
      <c r="P841" s="12" t="str">
        <f t="shared" si="178"/>
        <v/>
      </c>
      <c r="Q841" s="10" t="str">
        <f t="shared" si="179"/>
        <v/>
      </c>
      <c r="R841" s="13" t="str">
        <f t="shared" si="180"/>
        <v/>
      </c>
      <c r="S841" s="13" t="str">
        <f t="shared" si="181"/>
        <v/>
      </c>
      <c r="T841" s="22" t="str">
        <f>IF(R841&lt;&gt;"",VLOOKUP(P841,Constants!$D$3:$E$10,2),"")</f>
        <v/>
      </c>
    </row>
    <row r="842" spans="2:20" x14ac:dyDescent="0.25">
      <c r="B842" s="59"/>
      <c r="C842" s="59"/>
      <c r="D842" s="60"/>
      <c r="E842" s="59"/>
      <c r="F842" s="59"/>
      <c r="G842" s="59"/>
      <c r="H842" s="61"/>
      <c r="I842" s="61"/>
      <c r="J842" s="61"/>
      <c r="K842" s="62"/>
      <c r="L842" s="10" t="str">
        <f t="shared" si="174"/>
        <v/>
      </c>
      <c r="M842" s="10" t="str">
        <f t="shared" si="175"/>
        <v/>
      </c>
      <c r="N842" s="11" t="str">
        <f t="shared" si="176"/>
        <v/>
      </c>
      <c r="O842" s="10" t="str">
        <f t="shared" si="177"/>
        <v/>
      </c>
      <c r="P842" s="12" t="str">
        <f t="shared" si="178"/>
        <v/>
      </c>
      <c r="Q842" s="10" t="str">
        <f t="shared" si="179"/>
        <v/>
      </c>
      <c r="R842" s="13" t="str">
        <f t="shared" si="180"/>
        <v/>
      </c>
      <c r="S842" s="13" t="str">
        <f t="shared" si="181"/>
        <v/>
      </c>
      <c r="T842" s="22" t="str">
        <f>IF(R842&lt;&gt;"",VLOOKUP(P842,Constants!$D$3:$E$10,2),"")</f>
        <v/>
      </c>
    </row>
    <row r="843" spans="2:20" x14ac:dyDescent="0.25">
      <c r="B843" s="59"/>
      <c r="C843" s="59"/>
      <c r="D843" s="60"/>
      <c r="E843" s="59"/>
      <c r="F843" s="59"/>
      <c r="G843" s="59"/>
      <c r="H843" s="61"/>
      <c r="I843" s="61"/>
      <c r="J843" s="61"/>
      <c r="K843" s="62"/>
      <c r="L843" s="10" t="str">
        <f t="shared" si="174"/>
        <v/>
      </c>
      <c r="M843" s="10" t="str">
        <f t="shared" si="175"/>
        <v/>
      </c>
      <c r="N843" s="11" t="str">
        <f t="shared" si="176"/>
        <v/>
      </c>
      <c r="O843" s="10" t="str">
        <f t="shared" si="177"/>
        <v/>
      </c>
      <c r="P843" s="12" t="str">
        <f t="shared" si="178"/>
        <v/>
      </c>
      <c r="Q843" s="10" t="str">
        <f t="shared" si="179"/>
        <v/>
      </c>
      <c r="R843" s="13" t="str">
        <f t="shared" si="180"/>
        <v/>
      </c>
      <c r="S843" s="13" t="str">
        <f t="shared" si="181"/>
        <v/>
      </c>
      <c r="T843" s="22" t="str">
        <f>IF(R843&lt;&gt;"",VLOOKUP(P843,Constants!$D$3:$E$10,2),"")</f>
        <v/>
      </c>
    </row>
    <row r="844" spans="2:20" x14ac:dyDescent="0.25">
      <c r="B844" s="59"/>
      <c r="C844" s="59"/>
      <c r="D844" s="60"/>
      <c r="E844" s="59"/>
      <c r="F844" s="59"/>
      <c r="G844" s="59"/>
      <c r="H844" s="61"/>
      <c r="I844" s="61"/>
      <c r="J844" s="61"/>
      <c r="K844" s="62"/>
      <c r="L844" s="10" t="str">
        <f t="shared" si="174"/>
        <v/>
      </c>
      <c r="M844" s="10" t="str">
        <f t="shared" si="175"/>
        <v/>
      </c>
      <c r="N844" s="11" t="str">
        <f t="shared" si="176"/>
        <v/>
      </c>
      <c r="O844" s="10" t="str">
        <f t="shared" si="177"/>
        <v/>
      </c>
      <c r="P844" s="12" t="str">
        <f t="shared" si="178"/>
        <v/>
      </c>
      <c r="Q844" s="10" t="str">
        <f t="shared" si="179"/>
        <v/>
      </c>
      <c r="R844" s="13" t="str">
        <f t="shared" si="180"/>
        <v/>
      </c>
      <c r="S844" s="13" t="str">
        <f t="shared" si="181"/>
        <v/>
      </c>
      <c r="T844" s="22" t="str">
        <f>IF(R844&lt;&gt;"",VLOOKUP(P844,Constants!$D$3:$E$10,2),"")</f>
        <v/>
      </c>
    </row>
    <row r="845" spans="2:20" x14ac:dyDescent="0.25">
      <c r="B845" s="59"/>
      <c r="C845" s="59"/>
      <c r="D845" s="60"/>
      <c r="E845" s="59"/>
      <c r="F845" s="59"/>
      <c r="G845" s="59"/>
      <c r="H845" s="61"/>
      <c r="I845" s="61"/>
      <c r="J845" s="61"/>
      <c r="K845" s="62"/>
      <c r="L845" s="10" t="str">
        <f t="shared" si="174"/>
        <v/>
      </c>
      <c r="M845" s="10" t="str">
        <f t="shared" si="175"/>
        <v/>
      </c>
      <c r="N845" s="11" t="str">
        <f t="shared" si="176"/>
        <v/>
      </c>
      <c r="O845" s="10" t="str">
        <f t="shared" si="177"/>
        <v/>
      </c>
      <c r="P845" s="12" t="str">
        <f t="shared" si="178"/>
        <v/>
      </c>
      <c r="Q845" s="10" t="str">
        <f t="shared" si="179"/>
        <v/>
      </c>
      <c r="R845" s="13" t="str">
        <f t="shared" si="180"/>
        <v/>
      </c>
      <c r="S845" s="13" t="str">
        <f t="shared" si="181"/>
        <v/>
      </c>
      <c r="T845" s="22" t="str">
        <f>IF(R845&lt;&gt;"",VLOOKUP(P845,Constants!$D$3:$E$10,2),"")</f>
        <v/>
      </c>
    </row>
    <row r="846" spans="2:20" x14ac:dyDescent="0.25">
      <c r="B846" s="59"/>
      <c r="C846" s="59"/>
      <c r="D846" s="60"/>
      <c r="E846" s="59"/>
      <c r="F846" s="59"/>
      <c r="G846" s="59"/>
      <c r="H846" s="61"/>
      <c r="I846" s="61"/>
      <c r="J846" s="61"/>
      <c r="K846" s="62"/>
      <c r="L846" s="10" t="str">
        <f t="shared" si="174"/>
        <v/>
      </c>
      <c r="M846" s="10" t="str">
        <f t="shared" si="175"/>
        <v/>
      </c>
      <c r="N846" s="11" t="str">
        <f t="shared" si="176"/>
        <v/>
      </c>
      <c r="O846" s="10" t="str">
        <f t="shared" si="177"/>
        <v/>
      </c>
      <c r="P846" s="12" t="str">
        <f t="shared" si="178"/>
        <v/>
      </c>
      <c r="Q846" s="10" t="str">
        <f t="shared" si="179"/>
        <v/>
      </c>
      <c r="R846" s="13" t="str">
        <f t="shared" si="180"/>
        <v/>
      </c>
      <c r="S846" s="13" t="str">
        <f t="shared" si="181"/>
        <v/>
      </c>
      <c r="T846" s="22" t="str">
        <f>IF(R846&lt;&gt;"",VLOOKUP(P846,Constants!$D$3:$E$10,2),"")</f>
        <v/>
      </c>
    </row>
    <row r="847" spans="2:20" x14ac:dyDescent="0.25">
      <c r="B847" s="59"/>
      <c r="C847" s="59"/>
      <c r="D847" s="60"/>
      <c r="E847" s="59"/>
      <c r="F847" s="59"/>
      <c r="G847" s="59"/>
      <c r="H847" s="61"/>
      <c r="I847" s="61"/>
      <c r="J847" s="61"/>
      <c r="K847" s="62"/>
      <c r="L847" s="10" t="str">
        <f t="shared" si="174"/>
        <v/>
      </c>
      <c r="M847" s="10" t="str">
        <f t="shared" si="175"/>
        <v/>
      </c>
      <c r="N847" s="11" t="str">
        <f t="shared" si="176"/>
        <v/>
      </c>
      <c r="O847" s="10" t="str">
        <f t="shared" si="177"/>
        <v/>
      </c>
      <c r="P847" s="12" t="str">
        <f t="shared" si="178"/>
        <v/>
      </c>
      <c r="Q847" s="10" t="str">
        <f t="shared" si="179"/>
        <v/>
      </c>
      <c r="R847" s="13" t="str">
        <f t="shared" si="180"/>
        <v/>
      </c>
      <c r="S847" s="13" t="str">
        <f t="shared" si="181"/>
        <v/>
      </c>
      <c r="T847" s="22" t="str">
        <f>IF(R847&lt;&gt;"",VLOOKUP(P847,Constants!$D$3:$E$10,2),"")</f>
        <v/>
      </c>
    </row>
    <row r="848" spans="2:20" x14ac:dyDescent="0.25">
      <c r="B848" s="59"/>
      <c r="C848" s="59"/>
      <c r="D848" s="60"/>
      <c r="E848" s="59"/>
      <c r="F848" s="59"/>
      <c r="G848" s="59"/>
      <c r="H848" s="61"/>
      <c r="I848" s="61"/>
      <c r="J848" s="61"/>
      <c r="K848" s="62"/>
      <c r="L848" s="10" t="str">
        <f t="shared" si="174"/>
        <v/>
      </c>
      <c r="M848" s="10" t="str">
        <f t="shared" si="175"/>
        <v/>
      </c>
      <c r="N848" s="11" t="str">
        <f t="shared" si="176"/>
        <v/>
      </c>
      <c r="O848" s="10" t="str">
        <f t="shared" si="177"/>
        <v/>
      </c>
      <c r="P848" s="12" t="str">
        <f t="shared" si="178"/>
        <v/>
      </c>
      <c r="Q848" s="10" t="str">
        <f t="shared" si="179"/>
        <v/>
      </c>
      <c r="R848" s="13" t="str">
        <f t="shared" si="180"/>
        <v/>
      </c>
      <c r="S848" s="13" t="str">
        <f t="shared" si="181"/>
        <v/>
      </c>
      <c r="T848" s="22" t="str">
        <f>IF(R848&lt;&gt;"",VLOOKUP(P848,Constants!$D$3:$E$10,2),"")</f>
        <v/>
      </c>
    </row>
    <row r="849" spans="2:20" x14ac:dyDescent="0.25">
      <c r="B849" s="59"/>
      <c r="C849" s="59"/>
      <c r="D849" s="60"/>
      <c r="E849" s="59"/>
      <c r="F849" s="59"/>
      <c r="G849" s="59"/>
      <c r="H849" s="61"/>
      <c r="I849" s="61"/>
      <c r="J849" s="61"/>
      <c r="K849" s="62"/>
      <c r="L849" s="10" t="str">
        <f t="shared" si="174"/>
        <v/>
      </c>
      <c r="M849" s="10" t="str">
        <f t="shared" si="175"/>
        <v/>
      </c>
      <c r="N849" s="11" t="str">
        <f t="shared" si="176"/>
        <v/>
      </c>
      <c r="O849" s="10" t="str">
        <f t="shared" si="177"/>
        <v/>
      </c>
      <c r="P849" s="12" t="str">
        <f t="shared" si="178"/>
        <v/>
      </c>
      <c r="Q849" s="10" t="str">
        <f t="shared" si="179"/>
        <v/>
      </c>
      <c r="R849" s="13" t="str">
        <f t="shared" si="180"/>
        <v/>
      </c>
      <c r="S849" s="13" t="str">
        <f t="shared" si="181"/>
        <v/>
      </c>
      <c r="T849" s="22" t="str">
        <f>IF(R849&lt;&gt;"",VLOOKUP(P849,Constants!$D$3:$E$10,2),"")</f>
        <v/>
      </c>
    </row>
    <row r="850" spans="2:20" x14ac:dyDescent="0.25">
      <c r="B850" s="59"/>
      <c r="C850" s="59"/>
      <c r="D850" s="60"/>
      <c r="E850" s="59"/>
      <c r="F850" s="59"/>
      <c r="G850" s="59"/>
      <c r="H850" s="61"/>
      <c r="I850" s="61"/>
      <c r="J850" s="61"/>
      <c r="K850" s="62"/>
      <c r="L850" s="10" t="str">
        <f t="shared" ref="L850:L913" si="182">IF($D850&lt;&gt;"",$D850*$E850/1000,"")</f>
        <v/>
      </c>
      <c r="M850" s="10" t="str">
        <f t="shared" ref="M850:M913" si="183">IF($D850&lt;&gt;"",$D850*$F850/1000,"")</f>
        <v/>
      </c>
      <c r="N850" s="11" t="str">
        <f t="shared" ref="N850:N913" si="184">IF($L850&lt;&gt;"",SQRT($L850*$L850+$M850*$M850),"")</f>
        <v/>
      </c>
      <c r="O850" s="10" t="str">
        <f t="shared" si="177"/>
        <v/>
      </c>
      <c r="P850" s="12" t="str">
        <f t="shared" si="178"/>
        <v/>
      </c>
      <c r="Q850" s="10" t="str">
        <f t="shared" si="179"/>
        <v/>
      </c>
      <c r="R850" s="13" t="str">
        <f t="shared" si="180"/>
        <v/>
      </c>
      <c r="S850" s="13" t="str">
        <f t="shared" si="181"/>
        <v/>
      </c>
      <c r="T850" s="22" t="str">
        <f>IF(R850&lt;&gt;"",VLOOKUP(P850,Constants!$D$3:$E$10,2),"")</f>
        <v/>
      </c>
    </row>
    <row r="851" spans="2:20" x14ac:dyDescent="0.25">
      <c r="B851" s="59"/>
      <c r="C851" s="59"/>
      <c r="D851" s="60"/>
      <c r="E851" s="59"/>
      <c r="F851" s="59"/>
      <c r="G851" s="59"/>
      <c r="H851" s="61"/>
      <c r="I851" s="61"/>
      <c r="J851" s="61"/>
      <c r="K851" s="62"/>
      <c r="L851" s="10" t="str">
        <f t="shared" si="182"/>
        <v/>
      </c>
      <c r="M851" s="10" t="str">
        <f t="shared" si="183"/>
        <v/>
      </c>
      <c r="N851" s="11" t="str">
        <f t="shared" si="184"/>
        <v/>
      </c>
      <c r="O851" s="10" t="str">
        <f t="shared" si="177"/>
        <v/>
      </c>
      <c r="P851" s="12" t="str">
        <f t="shared" si="178"/>
        <v/>
      </c>
      <c r="Q851" s="10" t="str">
        <f t="shared" si="179"/>
        <v/>
      </c>
      <c r="R851" s="13" t="str">
        <f t="shared" si="180"/>
        <v/>
      </c>
      <c r="S851" s="13" t="str">
        <f t="shared" si="181"/>
        <v/>
      </c>
      <c r="T851" s="22" t="str">
        <f>IF(R851&lt;&gt;"",VLOOKUP(P851,Constants!$D$3:$E$10,2),"")</f>
        <v/>
      </c>
    </row>
    <row r="852" spans="2:20" x14ac:dyDescent="0.25">
      <c r="B852" s="59"/>
      <c r="C852" s="59"/>
      <c r="D852" s="60"/>
      <c r="E852" s="59"/>
      <c r="F852" s="59"/>
      <c r="G852" s="59"/>
      <c r="H852" s="61"/>
      <c r="I852" s="61"/>
      <c r="J852" s="61"/>
      <c r="K852" s="62"/>
      <c r="L852" s="10" t="str">
        <f t="shared" si="182"/>
        <v/>
      </c>
      <c r="M852" s="10" t="str">
        <f t="shared" si="183"/>
        <v/>
      </c>
      <c r="N852" s="11" t="str">
        <f t="shared" si="184"/>
        <v/>
      </c>
      <c r="O852" s="10" t="str">
        <f t="shared" ref="O852:O915" si="185">IF(D852&lt;&gt;"",1000/(2*D852),"")</f>
        <v/>
      </c>
      <c r="P852" s="12" t="str">
        <f t="shared" ref="P852:P915" si="186">IF($N852&lt;&gt;"",D852*SQRT(E852*E852+F852*F852)/16000,"")</f>
        <v/>
      </c>
      <c r="Q852" s="10" t="str">
        <f t="shared" ref="Q852:Q915" si="187">IF(F852&lt;&gt;"",F852*E852/1000000,"")</f>
        <v/>
      </c>
      <c r="R852" s="13" t="str">
        <f t="shared" ref="R852:R915" si="188">IF(G852&lt;&gt;"",1000/G852,"")</f>
        <v/>
      </c>
      <c r="S852" s="13" t="str">
        <f t="shared" ref="S852:S915" si="189">IF(R852&lt;&gt;"",Q852/R852*1000,"")</f>
        <v/>
      </c>
      <c r="T852" s="22" t="str">
        <f>IF(R852&lt;&gt;"",VLOOKUP(P852,Constants!$D$3:$E$10,2),"")</f>
        <v/>
      </c>
    </row>
    <row r="853" spans="2:20" x14ac:dyDescent="0.25">
      <c r="B853" s="59"/>
      <c r="C853" s="59"/>
      <c r="D853" s="60"/>
      <c r="E853" s="59"/>
      <c r="F853" s="59"/>
      <c r="G853" s="59"/>
      <c r="H853" s="61"/>
      <c r="I853" s="61"/>
      <c r="J853" s="61"/>
      <c r="K853" s="62"/>
      <c r="L853" s="10" t="str">
        <f t="shared" si="182"/>
        <v/>
      </c>
      <c r="M853" s="10" t="str">
        <f t="shared" si="183"/>
        <v/>
      </c>
      <c r="N853" s="11" t="str">
        <f t="shared" si="184"/>
        <v/>
      </c>
      <c r="O853" s="10" t="str">
        <f t="shared" si="185"/>
        <v/>
      </c>
      <c r="P853" s="12" t="str">
        <f t="shared" si="186"/>
        <v/>
      </c>
      <c r="Q853" s="10" t="str">
        <f t="shared" si="187"/>
        <v/>
      </c>
      <c r="R853" s="13" t="str">
        <f t="shared" si="188"/>
        <v/>
      </c>
      <c r="S853" s="13" t="str">
        <f t="shared" si="189"/>
        <v/>
      </c>
      <c r="T853" s="22" t="str">
        <f>IF(R853&lt;&gt;"",VLOOKUP(P853,Constants!$D$3:$E$10,2),"")</f>
        <v/>
      </c>
    </row>
    <row r="854" spans="2:20" x14ac:dyDescent="0.25">
      <c r="B854" s="59"/>
      <c r="C854" s="59"/>
      <c r="D854" s="60"/>
      <c r="E854" s="59"/>
      <c r="F854" s="59"/>
      <c r="G854" s="59"/>
      <c r="H854" s="61"/>
      <c r="I854" s="61"/>
      <c r="J854" s="61"/>
      <c r="K854" s="62"/>
      <c r="L854" s="10" t="str">
        <f t="shared" si="182"/>
        <v/>
      </c>
      <c r="M854" s="10" t="str">
        <f t="shared" si="183"/>
        <v/>
      </c>
      <c r="N854" s="11" t="str">
        <f t="shared" si="184"/>
        <v/>
      </c>
      <c r="O854" s="10" t="str">
        <f t="shared" si="185"/>
        <v/>
      </c>
      <c r="P854" s="12" t="str">
        <f t="shared" si="186"/>
        <v/>
      </c>
      <c r="Q854" s="10" t="str">
        <f t="shared" si="187"/>
        <v/>
      </c>
      <c r="R854" s="13" t="str">
        <f t="shared" si="188"/>
        <v/>
      </c>
      <c r="S854" s="13" t="str">
        <f t="shared" si="189"/>
        <v/>
      </c>
      <c r="T854" s="22" t="str">
        <f>IF(R854&lt;&gt;"",VLOOKUP(P854,Constants!$D$3:$E$10,2),"")</f>
        <v/>
      </c>
    </row>
    <row r="855" spans="2:20" x14ac:dyDescent="0.25">
      <c r="B855" s="59"/>
      <c r="C855" s="59"/>
      <c r="D855" s="60"/>
      <c r="E855" s="59"/>
      <c r="F855" s="59"/>
      <c r="G855" s="59"/>
      <c r="H855" s="61"/>
      <c r="I855" s="61"/>
      <c r="J855" s="61"/>
      <c r="K855" s="62"/>
      <c r="L855" s="10" t="str">
        <f t="shared" si="182"/>
        <v/>
      </c>
      <c r="M855" s="10" t="str">
        <f t="shared" si="183"/>
        <v/>
      </c>
      <c r="N855" s="11" t="str">
        <f t="shared" si="184"/>
        <v/>
      </c>
      <c r="O855" s="10" t="str">
        <f t="shared" si="185"/>
        <v/>
      </c>
      <c r="P855" s="12" t="str">
        <f t="shared" si="186"/>
        <v/>
      </c>
      <c r="Q855" s="10" t="str">
        <f t="shared" si="187"/>
        <v/>
      </c>
      <c r="R855" s="13" t="str">
        <f t="shared" si="188"/>
        <v/>
      </c>
      <c r="S855" s="13" t="str">
        <f t="shared" si="189"/>
        <v/>
      </c>
      <c r="T855" s="22" t="str">
        <f>IF(R855&lt;&gt;"",VLOOKUP(P855,Constants!$D$3:$E$10,2),"")</f>
        <v/>
      </c>
    </row>
    <row r="856" spans="2:20" x14ac:dyDescent="0.25">
      <c r="B856" s="59"/>
      <c r="C856" s="59"/>
      <c r="D856" s="60"/>
      <c r="E856" s="59"/>
      <c r="F856" s="59"/>
      <c r="G856" s="59"/>
      <c r="H856" s="61"/>
      <c r="I856" s="61"/>
      <c r="J856" s="61"/>
      <c r="K856" s="62"/>
      <c r="L856" s="10" t="str">
        <f t="shared" si="182"/>
        <v/>
      </c>
      <c r="M856" s="10" t="str">
        <f t="shared" si="183"/>
        <v/>
      </c>
      <c r="N856" s="11" t="str">
        <f t="shared" si="184"/>
        <v/>
      </c>
      <c r="O856" s="10" t="str">
        <f t="shared" si="185"/>
        <v/>
      </c>
      <c r="P856" s="12" t="str">
        <f t="shared" si="186"/>
        <v/>
      </c>
      <c r="Q856" s="10" t="str">
        <f t="shared" si="187"/>
        <v/>
      </c>
      <c r="R856" s="13" t="str">
        <f t="shared" si="188"/>
        <v/>
      </c>
      <c r="S856" s="13" t="str">
        <f t="shared" si="189"/>
        <v/>
      </c>
      <c r="T856" s="22" t="str">
        <f>IF(R856&lt;&gt;"",VLOOKUP(P856,Constants!$D$3:$E$10,2),"")</f>
        <v/>
      </c>
    </row>
    <row r="857" spans="2:20" x14ac:dyDescent="0.25">
      <c r="B857" s="59"/>
      <c r="C857" s="59"/>
      <c r="D857" s="60"/>
      <c r="E857" s="59"/>
      <c r="F857" s="59"/>
      <c r="G857" s="59"/>
      <c r="H857" s="61"/>
      <c r="I857" s="61"/>
      <c r="J857" s="61"/>
      <c r="K857" s="62"/>
      <c r="L857" s="10" t="str">
        <f t="shared" si="182"/>
        <v/>
      </c>
      <c r="M857" s="10" t="str">
        <f t="shared" si="183"/>
        <v/>
      </c>
      <c r="N857" s="11" t="str">
        <f t="shared" si="184"/>
        <v/>
      </c>
      <c r="O857" s="10" t="str">
        <f t="shared" si="185"/>
        <v/>
      </c>
      <c r="P857" s="12" t="str">
        <f t="shared" si="186"/>
        <v/>
      </c>
      <c r="Q857" s="10" t="str">
        <f t="shared" si="187"/>
        <v/>
      </c>
      <c r="R857" s="13" t="str">
        <f t="shared" si="188"/>
        <v/>
      </c>
      <c r="S857" s="13" t="str">
        <f t="shared" si="189"/>
        <v/>
      </c>
      <c r="T857" s="22" t="str">
        <f>IF(R857&lt;&gt;"",VLOOKUP(P857,Constants!$D$3:$E$10,2),"")</f>
        <v/>
      </c>
    </row>
    <row r="858" spans="2:20" x14ac:dyDescent="0.25">
      <c r="B858" s="59"/>
      <c r="C858" s="59"/>
      <c r="D858" s="60"/>
      <c r="E858" s="59"/>
      <c r="F858" s="59"/>
      <c r="G858" s="59"/>
      <c r="H858" s="61"/>
      <c r="I858" s="61"/>
      <c r="J858" s="61"/>
      <c r="K858" s="62"/>
      <c r="L858" s="10" t="str">
        <f t="shared" si="182"/>
        <v/>
      </c>
      <c r="M858" s="10" t="str">
        <f t="shared" si="183"/>
        <v/>
      </c>
      <c r="N858" s="11" t="str">
        <f t="shared" si="184"/>
        <v/>
      </c>
      <c r="O858" s="10" t="str">
        <f t="shared" si="185"/>
        <v/>
      </c>
      <c r="P858" s="12" t="str">
        <f t="shared" si="186"/>
        <v/>
      </c>
      <c r="Q858" s="10" t="str">
        <f t="shared" si="187"/>
        <v/>
      </c>
      <c r="R858" s="13" t="str">
        <f t="shared" si="188"/>
        <v/>
      </c>
      <c r="S858" s="13" t="str">
        <f t="shared" si="189"/>
        <v/>
      </c>
      <c r="T858" s="22" t="str">
        <f>IF(R858&lt;&gt;"",VLOOKUP(P858,Constants!$D$3:$E$10,2),"")</f>
        <v/>
      </c>
    </row>
    <row r="859" spans="2:20" x14ac:dyDescent="0.25">
      <c r="B859" s="59"/>
      <c r="C859" s="59"/>
      <c r="D859" s="60"/>
      <c r="E859" s="59"/>
      <c r="F859" s="59"/>
      <c r="G859" s="59"/>
      <c r="H859" s="61"/>
      <c r="I859" s="61"/>
      <c r="J859" s="61"/>
      <c r="K859" s="62"/>
      <c r="L859" s="10" t="str">
        <f t="shared" si="182"/>
        <v/>
      </c>
      <c r="M859" s="10" t="str">
        <f t="shared" si="183"/>
        <v/>
      </c>
      <c r="N859" s="11" t="str">
        <f t="shared" si="184"/>
        <v/>
      </c>
      <c r="O859" s="10" t="str">
        <f t="shared" si="185"/>
        <v/>
      </c>
      <c r="P859" s="12" t="str">
        <f t="shared" si="186"/>
        <v/>
      </c>
      <c r="Q859" s="10" t="str">
        <f t="shared" si="187"/>
        <v/>
      </c>
      <c r="R859" s="13" t="str">
        <f t="shared" si="188"/>
        <v/>
      </c>
      <c r="S859" s="13" t="str">
        <f t="shared" si="189"/>
        <v/>
      </c>
      <c r="T859" s="22" t="str">
        <f>IF(R859&lt;&gt;"",VLOOKUP(P859,Constants!$D$3:$E$10,2),"")</f>
        <v/>
      </c>
    </row>
    <row r="860" spans="2:20" x14ac:dyDescent="0.25">
      <c r="B860" s="59"/>
      <c r="C860" s="59"/>
      <c r="D860" s="60"/>
      <c r="E860" s="59"/>
      <c r="F860" s="59"/>
      <c r="G860" s="59"/>
      <c r="H860" s="61"/>
      <c r="I860" s="61"/>
      <c r="J860" s="61"/>
      <c r="K860" s="62"/>
      <c r="L860" s="10" t="str">
        <f t="shared" si="182"/>
        <v/>
      </c>
      <c r="M860" s="10" t="str">
        <f t="shared" si="183"/>
        <v/>
      </c>
      <c r="N860" s="11" t="str">
        <f t="shared" si="184"/>
        <v/>
      </c>
      <c r="O860" s="10" t="str">
        <f t="shared" si="185"/>
        <v/>
      </c>
      <c r="P860" s="12" t="str">
        <f t="shared" si="186"/>
        <v/>
      </c>
      <c r="Q860" s="10" t="str">
        <f t="shared" si="187"/>
        <v/>
      </c>
      <c r="R860" s="13" t="str">
        <f t="shared" si="188"/>
        <v/>
      </c>
      <c r="S860" s="13" t="str">
        <f t="shared" si="189"/>
        <v/>
      </c>
      <c r="T860" s="22" t="str">
        <f>IF(R860&lt;&gt;"",VLOOKUP(P860,Constants!$D$3:$E$10,2),"")</f>
        <v/>
      </c>
    </row>
    <row r="861" spans="2:20" x14ac:dyDescent="0.25">
      <c r="B861" s="59"/>
      <c r="C861" s="59"/>
      <c r="D861" s="60"/>
      <c r="E861" s="59"/>
      <c r="F861" s="59"/>
      <c r="G861" s="59"/>
      <c r="H861" s="61"/>
      <c r="I861" s="61"/>
      <c r="J861" s="61"/>
      <c r="K861" s="62"/>
      <c r="L861" s="10" t="str">
        <f t="shared" si="182"/>
        <v/>
      </c>
      <c r="M861" s="10" t="str">
        <f t="shared" si="183"/>
        <v/>
      </c>
      <c r="N861" s="11" t="str">
        <f t="shared" si="184"/>
        <v/>
      </c>
      <c r="O861" s="10" t="str">
        <f t="shared" si="185"/>
        <v/>
      </c>
      <c r="P861" s="12" t="str">
        <f t="shared" si="186"/>
        <v/>
      </c>
      <c r="Q861" s="10" t="str">
        <f t="shared" si="187"/>
        <v/>
      </c>
      <c r="R861" s="13" t="str">
        <f t="shared" si="188"/>
        <v/>
      </c>
      <c r="S861" s="13" t="str">
        <f t="shared" si="189"/>
        <v/>
      </c>
      <c r="T861" s="22" t="str">
        <f>IF(R861&lt;&gt;"",VLOOKUP(P861,Constants!$D$3:$E$10,2),"")</f>
        <v/>
      </c>
    </row>
    <row r="862" spans="2:20" x14ac:dyDescent="0.25">
      <c r="B862" s="59"/>
      <c r="C862" s="59"/>
      <c r="D862" s="60"/>
      <c r="E862" s="59"/>
      <c r="F862" s="59"/>
      <c r="G862" s="59"/>
      <c r="H862" s="61"/>
      <c r="I862" s="61"/>
      <c r="J862" s="61"/>
      <c r="K862" s="62"/>
      <c r="L862" s="10" t="str">
        <f t="shared" si="182"/>
        <v/>
      </c>
      <c r="M862" s="10" t="str">
        <f t="shared" si="183"/>
        <v/>
      </c>
      <c r="N862" s="11" t="str">
        <f t="shared" si="184"/>
        <v/>
      </c>
      <c r="O862" s="10" t="str">
        <f t="shared" si="185"/>
        <v/>
      </c>
      <c r="P862" s="12" t="str">
        <f t="shared" si="186"/>
        <v/>
      </c>
      <c r="Q862" s="10" t="str">
        <f t="shared" si="187"/>
        <v/>
      </c>
      <c r="R862" s="13" t="str">
        <f t="shared" si="188"/>
        <v/>
      </c>
      <c r="S862" s="13" t="str">
        <f t="shared" si="189"/>
        <v/>
      </c>
      <c r="T862" s="22" t="str">
        <f>IF(R862&lt;&gt;"",VLOOKUP(P862,Constants!$D$3:$E$10,2),"")</f>
        <v/>
      </c>
    </row>
    <row r="863" spans="2:20" x14ac:dyDescent="0.25">
      <c r="B863" s="59"/>
      <c r="C863" s="59"/>
      <c r="D863" s="60"/>
      <c r="E863" s="59"/>
      <c r="F863" s="59"/>
      <c r="G863" s="59"/>
      <c r="H863" s="61"/>
      <c r="I863" s="61"/>
      <c r="J863" s="61"/>
      <c r="K863" s="62"/>
      <c r="L863" s="10" t="str">
        <f t="shared" si="182"/>
        <v/>
      </c>
      <c r="M863" s="10" t="str">
        <f t="shared" si="183"/>
        <v/>
      </c>
      <c r="N863" s="11" t="str">
        <f t="shared" si="184"/>
        <v/>
      </c>
      <c r="O863" s="10" t="str">
        <f t="shared" si="185"/>
        <v/>
      </c>
      <c r="P863" s="12" t="str">
        <f t="shared" si="186"/>
        <v/>
      </c>
      <c r="Q863" s="10" t="str">
        <f t="shared" si="187"/>
        <v/>
      </c>
      <c r="R863" s="13" t="str">
        <f t="shared" si="188"/>
        <v/>
      </c>
      <c r="S863" s="13" t="str">
        <f t="shared" si="189"/>
        <v/>
      </c>
      <c r="T863" s="22" t="str">
        <f>IF(R863&lt;&gt;"",VLOOKUP(P863,Constants!$D$3:$E$10,2),"")</f>
        <v/>
      </c>
    </row>
    <row r="864" spans="2:20" x14ac:dyDescent="0.25">
      <c r="B864" s="59"/>
      <c r="C864" s="59"/>
      <c r="D864" s="60"/>
      <c r="E864" s="59"/>
      <c r="F864" s="59"/>
      <c r="G864" s="59"/>
      <c r="H864" s="61"/>
      <c r="I864" s="61"/>
      <c r="J864" s="61"/>
      <c r="K864" s="62"/>
      <c r="L864" s="10" t="str">
        <f t="shared" si="182"/>
        <v/>
      </c>
      <c r="M864" s="10" t="str">
        <f t="shared" si="183"/>
        <v/>
      </c>
      <c r="N864" s="11" t="str">
        <f t="shared" si="184"/>
        <v/>
      </c>
      <c r="O864" s="10" t="str">
        <f t="shared" si="185"/>
        <v/>
      </c>
      <c r="P864" s="12" t="str">
        <f t="shared" si="186"/>
        <v/>
      </c>
      <c r="Q864" s="10" t="str">
        <f t="shared" si="187"/>
        <v/>
      </c>
      <c r="R864" s="13" t="str">
        <f t="shared" si="188"/>
        <v/>
      </c>
      <c r="S864" s="13" t="str">
        <f t="shared" si="189"/>
        <v/>
      </c>
      <c r="T864" s="22" t="str">
        <f>IF(R864&lt;&gt;"",VLOOKUP(P864,Constants!$D$3:$E$10,2),"")</f>
        <v/>
      </c>
    </row>
    <row r="865" spans="2:20" x14ac:dyDescent="0.25">
      <c r="B865" s="59"/>
      <c r="C865" s="59"/>
      <c r="D865" s="60"/>
      <c r="E865" s="59"/>
      <c r="F865" s="59"/>
      <c r="G865" s="59"/>
      <c r="H865" s="61"/>
      <c r="I865" s="61"/>
      <c r="J865" s="61"/>
      <c r="K865" s="62"/>
      <c r="L865" s="10" t="str">
        <f t="shared" si="182"/>
        <v/>
      </c>
      <c r="M865" s="10" t="str">
        <f t="shared" si="183"/>
        <v/>
      </c>
      <c r="N865" s="11" t="str">
        <f t="shared" si="184"/>
        <v/>
      </c>
      <c r="O865" s="10" t="str">
        <f t="shared" si="185"/>
        <v/>
      </c>
      <c r="P865" s="12" t="str">
        <f t="shared" si="186"/>
        <v/>
      </c>
      <c r="Q865" s="10" t="str">
        <f t="shared" si="187"/>
        <v/>
      </c>
      <c r="R865" s="13" t="str">
        <f t="shared" si="188"/>
        <v/>
      </c>
      <c r="S865" s="13" t="str">
        <f t="shared" si="189"/>
        <v/>
      </c>
      <c r="T865" s="22" t="str">
        <f>IF(R865&lt;&gt;"",VLOOKUP(P865,Constants!$D$3:$E$10,2),"")</f>
        <v/>
      </c>
    </row>
    <row r="866" spans="2:20" x14ac:dyDescent="0.25">
      <c r="B866" s="59"/>
      <c r="C866" s="59"/>
      <c r="D866" s="60"/>
      <c r="E866" s="59"/>
      <c r="F866" s="59"/>
      <c r="G866" s="59"/>
      <c r="H866" s="61"/>
      <c r="I866" s="61"/>
      <c r="J866" s="61"/>
      <c r="K866" s="62"/>
      <c r="L866" s="10" t="str">
        <f t="shared" si="182"/>
        <v/>
      </c>
      <c r="M866" s="10" t="str">
        <f t="shared" si="183"/>
        <v/>
      </c>
      <c r="N866" s="11" t="str">
        <f t="shared" si="184"/>
        <v/>
      </c>
      <c r="O866" s="10" t="str">
        <f t="shared" si="185"/>
        <v/>
      </c>
      <c r="P866" s="12" t="str">
        <f t="shared" si="186"/>
        <v/>
      </c>
      <c r="Q866" s="10" t="str">
        <f t="shared" si="187"/>
        <v/>
      </c>
      <c r="R866" s="13" t="str">
        <f t="shared" si="188"/>
        <v/>
      </c>
      <c r="S866" s="13" t="str">
        <f t="shared" si="189"/>
        <v/>
      </c>
      <c r="T866" s="22" t="str">
        <f>IF(R866&lt;&gt;"",VLOOKUP(P866,Constants!$D$3:$E$10,2),"")</f>
        <v/>
      </c>
    </row>
    <row r="867" spans="2:20" x14ac:dyDescent="0.25">
      <c r="B867" s="59"/>
      <c r="C867" s="59"/>
      <c r="D867" s="60"/>
      <c r="E867" s="59"/>
      <c r="F867" s="59"/>
      <c r="G867" s="59"/>
      <c r="H867" s="61"/>
      <c r="I867" s="61"/>
      <c r="J867" s="61"/>
      <c r="K867" s="62"/>
      <c r="L867" s="10" t="str">
        <f t="shared" si="182"/>
        <v/>
      </c>
      <c r="M867" s="10" t="str">
        <f t="shared" si="183"/>
        <v/>
      </c>
      <c r="N867" s="11" t="str">
        <f t="shared" si="184"/>
        <v/>
      </c>
      <c r="O867" s="10" t="str">
        <f t="shared" si="185"/>
        <v/>
      </c>
      <c r="P867" s="12" t="str">
        <f t="shared" si="186"/>
        <v/>
      </c>
      <c r="Q867" s="10" t="str">
        <f t="shared" si="187"/>
        <v/>
      </c>
      <c r="R867" s="13" t="str">
        <f t="shared" si="188"/>
        <v/>
      </c>
      <c r="S867" s="13" t="str">
        <f t="shared" si="189"/>
        <v/>
      </c>
      <c r="T867" s="22" t="str">
        <f>IF(R867&lt;&gt;"",VLOOKUP(P867,Constants!$D$3:$E$10,2),"")</f>
        <v/>
      </c>
    </row>
    <row r="868" spans="2:20" x14ac:dyDescent="0.25">
      <c r="B868" s="59"/>
      <c r="C868" s="59"/>
      <c r="D868" s="60"/>
      <c r="E868" s="59"/>
      <c r="F868" s="59"/>
      <c r="G868" s="59"/>
      <c r="H868" s="61"/>
      <c r="I868" s="61"/>
      <c r="J868" s="61"/>
      <c r="K868" s="62"/>
      <c r="L868" s="10" t="str">
        <f t="shared" si="182"/>
        <v/>
      </c>
      <c r="M868" s="10" t="str">
        <f t="shared" si="183"/>
        <v/>
      </c>
      <c r="N868" s="11" t="str">
        <f t="shared" si="184"/>
        <v/>
      </c>
      <c r="O868" s="10" t="str">
        <f t="shared" si="185"/>
        <v/>
      </c>
      <c r="P868" s="12" t="str">
        <f t="shared" si="186"/>
        <v/>
      </c>
      <c r="Q868" s="10" t="str">
        <f t="shared" si="187"/>
        <v/>
      </c>
      <c r="R868" s="13" t="str">
        <f t="shared" si="188"/>
        <v/>
      </c>
      <c r="S868" s="13" t="str">
        <f t="shared" si="189"/>
        <v/>
      </c>
      <c r="T868" s="22" t="str">
        <f>IF(R868&lt;&gt;"",VLOOKUP(P868,Constants!$D$3:$E$10,2),"")</f>
        <v/>
      </c>
    </row>
    <row r="869" spans="2:20" x14ac:dyDescent="0.25">
      <c r="B869" s="59"/>
      <c r="C869" s="59"/>
      <c r="D869" s="60"/>
      <c r="E869" s="59"/>
      <c r="F869" s="59"/>
      <c r="G869" s="59"/>
      <c r="H869" s="61"/>
      <c r="I869" s="61"/>
      <c r="J869" s="61"/>
      <c r="K869" s="62"/>
      <c r="L869" s="10" t="str">
        <f t="shared" si="182"/>
        <v/>
      </c>
      <c r="M869" s="10" t="str">
        <f t="shared" si="183"/>
        <v/>
      </c>
      <c r="N869" s="11" t="str">
        <f t="shared" si="184"/>
        <v/>
      </c>
      <c r="O869" s="10" t="str">
        <f t="shared" si="185"/>
        <v/>
      </c>
      <c r="P869" s="12" t="str">
        <f t="shared" si="186"/>
        <v/>
      </c>
      <c r="Q869" s="10" t="str">
        <f t="shared" si="187"/>
        <v/>
      </c>
      <c r="R869" s="13" t="str">
        <f t="shared" si="188"/>
        <v/>
      </c>
      <c r="S869" s="13" t="str">
        <f t="shared" si="189"/>
        <v/>
      </c>
      <c r="T869" s="22" t="str">
        <f>IF(R869&lt;&gt;"",VLOOKUP(P869,Constants!$D$3:$E$10,2),"")</f>
        <v/>
      </c>
    </row>
    <row r="870" spans="2:20" x14ac:dyDescent="0.25">
      <c r="B870" s="59"/>
      <c r="C870" s="59"/>
      <c r="D870" s="60"/>
      <c r="E870" s="59"/>
      <c r="F870" s="59"/>
      <c r="G870" s="59"/>
      <c r="H870" s="61"/>
      <c r="I870" s="61"/>
      <c r="J870" s="61"/>
      <c r="K870" s="62"/>
      <c r="L870" s="10" t="str">
        <f t="shared" si="182"/>
        <v/>
      </c>
      <c r="M870" s="10" t="str">
        <f t="shared" si="183"/>
        <v/>
      </c>
      <c r="N870" s="11" t="str">
        <f t="shared" si="184"/>
        <v/>
      </c>
      <c r="O870" s="10" t="str">
        <f t="shared" si="185"/>
        <v/>
      </c>
      <c r="P870" s="12" t="str">
        <f t="shared" si="186"/>
        <v/>
      </c>
      <c r="Q870" s="10" t="str">
        <f t="shared" si="187"/>
        <v/>
      </c>
      <c r="R870" s="13" t="str">
        <f t="shared" si="188"/>
        <v/>
      </c>
      <c r="S870" s="13" t="str">
        <f t="shared" si="189"/>
        <v/>
      </c>
      <c r="T870" s="22" t="str">
        <f>IF(R870&lt;&gt;"",VLOOKUP(P870,Constants!$D$3:$E$10,2),"")</f>
        <v/>
      </c>
    </row>
    <row r="871" spans="2:20" x14ac:dyDescent="0.25">
      <c r="B871" s="59"/>
      <c r="C871" s="59"/>
      <c r="D871" s="60"/>
      <c r="E871" s="59"/>
      <c r="F871" s="59"/>
      <c r="G871" s="59"/>
      <c r="H871" s="61"/>
      <c r="I871" s="61"/>
      <c r="J871" s="61"/>
      <c r="K871" s="62"/>
      <c r="L871" s="10" t="str">
        <f t="shared" si="182"/>
        <v/>
      </c>
      <c r="M871" s="10" t="str">
        <f t="shared" si="183"/>
        <v/>
      </c>
      <c r="N871" s="11" t="str">
        <f t="shared" si="184"/>
        <v/>
      </c>
      <c r="O871" s="10" t="str">
        <f t="shared" si="185"/>
        <v/>
      </c>
      <c r="P871" s="12" t="str">
        <f t="shared" si="186"/>
        <v/>
      </c>
      <c r="Q871" s="10" t="str">
        <f t="shared" si="187"/>
        <v/>
      </c>
      <c r="R871" s="13" t="str">
        <f t="shared" si="188"/>
        <v/>
      </c>
      <c r="S871" s="13" t="str">
        <f t="shared" si="189"/>
        <v/>
      </c>
      <c r="T871" s="22" t="str">
        <f>IF(R871&lt;&gt;"",VLOOKUP(P871,Constants!$D$3:$E$10,2),"")</f>
        <v/>
      </c>
    </row>
    <row r="872" spans="2:20" x14ac:dyDescent="0.25">
      <c r="B872" s="59"/>
      <c r="C872" s="59"/>
      <c r="D872" s="60"/>
      <c r="E872" s="59"/>
      <c r="F872" s="59"/>
      <c r="G872" s="59"/>
      <c r="H872" s="61"/>
      <c r="I872" s="61"/>
      <c r="J872" s="61"/>
      <c r="K872" s="62"/>
      <c r="L872" s="10" t="str">
        <f t="shared" si="182"/>
        <v/>
      </c>
      <c r="M872" s="10" t="str">
        <f t="shared" si="183"/>
        <v/>
      </c>
      <c r="N872" s="11" t="str">
        <f t="shared" si="184"/>
        <v/>
      </c>
      <c r="O872" s="10" t="str">
        <f t="shared" si="185"/>
        <v/>
      </c>
      <c r="P872" s="12" t="str">
        <f t="shared" si="186"/>
        <v/>
      </c>
      <c r="Q872" s="10" t="str">
        <f t="shared" si="187"/>
        <v/>
      </c>
      <c r="R872" s="13" t="str">
        <f t="shared" si="188"/>
        <v/>
      </c>
      <c r="S872" s="13" t="str">
        <f t="shared" si="189"/>
        <v/>
      </c>
      <c r="T872" s="22" t="str">
        <f>IF(R872&lt;&gt;"",VLOOKUP(P872,Constants!$D$3:$E$10,2),"")</f>
        <v/>
      </c>
    </row>
    <row r="873" spans="2:20" x14ac:dyDescent="0.25">
      <c r="B873" s="59"/>
      <c r="C873" s="59"/>
      <c r="D873" s="60"/>
      <c r="E873" s="59"/>
      <c r="F873" s="59"/>
      <c r="G873" s="59"/>
      <c r="H873" s="61"/>
      <c r="I873" s="61"/>
      <c r="J873" s="61"/>
      <c r="K873" s="62"/>
      <c r="L873" s="10" t="str">
        <f t="shared" si="182"/>
        <v/>
      </c>
      <c r="M873" s="10" t="str">
        <f t="shared" si="183"/>
        <v/>
      </c>
      <c r="N873" s="11" t="str">
        <f t="shared" si="184"/>
        <v/>
      </c>
      <c r="O873" s="10" t="str">
        <f t="shared" si="185"/>
        <v/>
      </c>
      <c r="P873" s="12" t="str">
        <f t="shared" si="186"/>
        <v/>
      </c>
      <c r="Q873" s="10" t="str">
        <f t="shared" si="187"/>
        <v/>
      </c>
      <c r="R873" s="13" t="str">
        <f t="shared" si="188"/>
        <v/>
      </c>
      <c r="S873" s="13" t="str">
        <f t="shared" si="189"/>
        <v/>
      </c>
      <c r="T873" s="22" t="str">
        <f>IF(R873&lt;&gt;"",VLOOKUP(P873,Constants!$D$3:$E$10,2),"")</f>
        <v/>
      </c>
    </row>
    <row r="874" spans="2:20" x14ac:dyDescent="0.25">
      <c r="B874" s="59"/>
      <c r="C874" s="59"/>
      <c r="D874" s="60"/>
      <c r="E874" s="59"/>
      <c r="F874" s="59"/>
      <c r="G874" s="59"/>
      <c r="H874" s="61"/>
      <c r="I874" s="61"/>
      <c r="J874" s="61"/>
      <c r="K874" s="62"/>
      <c r="L874" s="10" t="str">
        <f t="shared" si="182"/>
        <v/>
      </c>
      <c r="M874" s="10" t="str">
        <f t="shared" si="183"/>
        <v/>
      </c>
      <c r="N874" s="11" t="str">
        <f t="shared" si="184"/>
        <v/>
      </c>
      <c r="O874" s="10" t="str">
        <f t="shared" si="185"/>
        <v/>
      </c>
      <c r="P874" s="12" t="str">
        <f t="shared" si="186"/>
        <v/>
      </c>
      <c r="Q874" s="10" t="str">
        <f t="shared" si="187"/>
        <v/>
      </c>
      <c r="R874" s="13" t="str">
        <f t="shared" si="188"/>
        <v/>
      </c>
      <c r="S874" s="13" t="str">
        <f t="shared" si="189"/>
        <v/>
      </c>
      <c r="T874" s="22" t="str">
        <f>IF(R874&lt;&gt;"",VLOOKUP(P874,Constants!$D$3:$E$10,2),"")</f>
        <v/>
      </c>
    </row>
    <row r="875" spans="2:20" x14ac:dyDescent="0.25">
      <c r="B875" s="59"/>
      <c r="C875" s="59"/>
      <c r="D875" s="60"/>
      <c r="E875" s="59"/>
      <c r="F875" s="59"/>
      <c r="G875" s="59"/>
      <c r="H875" s="61"/>
      <c r="I875" s="61"/>
      <c r="J875" s="61"/>
      <c r="K875" s="62"/>
      <c r="L875" s="10" t="str">
        <f t="shared" si="182"/>
        <v/>
      </c>
      <c r="M875" s="10" t="str">
        <f t="shared" si="183"/>
        <v/>
      </c>
      <c r="N875" s="11" t="str">
        <f t="shared" si="184"/>
        <v/>
      </c>
      <c r="O875" s="10" t="str">
        <f t="shared" si="185"/>
        <v/>
      </c>
      <c r="P875" s="12" t="str">
        <f t="shared" si="186"/>
        <v/>
      </c>
      <c r="Q875" s="10" t="str">
        <f t="shared" si="187"/>
        <v/>
      </c>
      <c r="R875" s="13" t="str">
        <f t="shared" si="188"/>
        <v/>
      </c>
      <c r="S875" s="13" t="str">
        <f t="shared" si="189"/>
        <v/>
      </c>
      <c r="T875" s="22" t="str">
        <f>IF(R875&lt;&gt;"",VLOOKUP(P875,Constants!$D$3:$E$10,2),"")</f>
        <v/>
      </c>
    </row>
    <row r="876" spans="2:20" x14ac:dyDescent="0.25">
      <c r="B876" s="59"/>
      <c r="C876" s="59"/>
      <c r="D876" s="60"/>
      <c r="E876" s="59"/>
      <c r="F876" s="59"/>
      <c r="G876" s="59"/>
      <c r="H876" s="61"/>
      <c r="I876" s="61"/>
      <c r="J876" s="61"/>
      <c r="K876" s="62"/>
      <c r="L876" s="10" t="str">
        <f t="shared" si="182"/>
        <v/>
      </c>
      <c r="M876" s="10" t="str">
        <f t="shared" si="183"/>
        <v/>
      </c>
      <c r="N876" s="11" t="str">
        <f t="shared" si="184"/>
        <v/>
      </c>
      <c r="O876" s="10" t="str">
        <f t="shared" si="185"/>
        <v/>
      </c>
      <c r="P876" s="12" t="str">
        <f t="shared" si="186"/>
        <v/>
      </c>
      <c r="Q876" s="10" t="str">
        <f t="shared" si="187"/>
        <v/>
      </c>
      <c r="R876" s="13" t="str">
        <f t="shared" si="188"/>
        <v/>
      </c>
      <c r="S876" s="13" t="str">
        <f t="shared" si="189"/>
        <v/>
      </c>
      <c r="T876" s="22" t="str">
        <f>IF(R876&lt;&gt;"",VLOOKUP(P876,Constants!$D$3:$E$10,2),"")</f>
        <v/>
      </c>
    </row>
    <row r="877" spans="2:20" x14ac:dyDescent="0.25">
      <c r="B877" s="59"/>
      <c r="C877" s="59"/>
      <c r="D877" s="60"/>
      <c r="E877" s="59"/>
      <c r="F877" s="59"/>
      <c r="G877" s="59"/>
      <c r="H877" s="61"/>
      <c r="I877" s="61"/>
      <c r="J877" s="61"/>
      <c r="K877" s="62"/>
      <c r="L877" s="10" t="str">
        <f t="shared" si="182"/>
        <v/>
      </c>
      <c r="M877" s="10" t="str">
        <f t="shared" si="183"/>
        <v/>
      </c>
      <c r="N877" s="11" t="str">
        <f t="shared" si="184"/>
        <v/>
      </c>
      <c r="O877" s="10" t="str">
        <f t="shared" si="185"/>
        <v/>
      </c>
      <c r="P877" s="12" t="str">
        <f t="shared" si="186"/>
        <v/>
      </c>
      <c r="Q877" s="10" t="str">
        <f t="shared" si="187"/>
        <v/>
      </c>
      <c r="R877" s="13" t="str">
        <f t="shared" si="188"/>
        <v/>
      </c>
      <c r="S877" s="13" t="str">
        <f t="shared" si="189"/>
        <v/>
      </c>
      <c r="T877" s="22" t="str">
        <f>IF(R877&lt;&gt;"",VLOOKUP(P877,Constants!$D$3:$E$10,2),"")</f>
        <v/>
      </c>
    </row>
    <row r="878" spans="2:20" x14ac:dyDescent="0.25">
      <c r="B878" s="59"/>
      <c r="C878" s="59"/>
      <c r="D878" s="60"/>
      <c r="E878" s="59"/>
      <c r="F878" s="59"/>
      <c r="G878" s="59"/>
      <c r="H878" s="61"/>
      <c r="I878" s="61"/>
      <c r="J878" s="61"/>
      <c r="K878" s="62"/>
      <c r="L878" s="10" t="str">
        <f t="shared" si="182"/>
        <v/>
      </c>
      <c r="M878" s="10" t="str">
        <f t="shared" si="183"/>
        <v/>
      </c>
      <c r="N878" s="11" t="str">
        <f t="shared" si="184"/>
        <v/>
      </c>
      <c r="O878" s="10" t="str">
        <f t="shared" si="185"/>
        <v/>
      </c>
      <c r="P878" s="12" t="str">
        <f t="shared" si="186"/>
        <v/>
      </c>
      <c r="Q878" s="10" t="str">
        <f t="shared" si="187"/>
        <v/>
      </c>
      <c r="R878" s="13" t="str">
        <f t="shared" si="188"/>
        <v/>
      </c>
      <c r="S878" s="13" t="str">
        <f t="shared" si="189"/>
        <v/>
      </c>
      <c r="T878" s="22" t="str">
        <f>IF(R878&lt;&gt;"",VLOOKUP(P878,Constants!$D$3:$E$10,2),"")</f>
        <v/>
      </c>
    </row>
    <row r="879" spans="2:20" x14ac:dyDescent="0.25">
      <c r="B879" s="59"/>
      <c r="C879" s="59"/>
      <c r="D879" s="60"/>
      <c r="E879" s="59"/>
      <c r="F879" s="59"/>
      <c r="G879" s="59"/>
      <c r="H879" s="61"/>
      <c r="I879" s="61"/>
      <c r="J879" s="61"/>
      <c r="K879" s="62"/>
      <c r="L879" s="10" t="str">
        <f t="shared" si="182"/>
        <v/>
      </c>
      <c r="M879" s="10" t="str">
        <f t="shared" si="183"/>
        <v/>
      </c>
      <c r="N879" s="11" t="str">
        <f t="shared" si="184"/>
        <v/>
      </c>
      <c r="O879" s="10" t="str">
        <f t="shared" si="185"/>
        <v/>
      </c>
      <c r="P879" s="12" t="str">
        <f t="shared" si="186"/>
        <v/>
      </c>
      <c r="Q879" s="10" t="str">
        <f t="shared" si="187"/>
        <v/>
      </c>
      <c r="R879" s="13" t="str">
        <f t="shared" si="188"/>
        <v/>
      </c>
      <c r="S879" s="13" t="str">
        <f t="shared" si="189"/>
        <v/>
      </c>
      <c r="T879" s="22" t="str">
        <f>IF(R879&lt;&gt;"",VLOOKUP(P879,Constants!$D$3:$E$10,2),"")</f>
        <v/>
      </c>
    </row>
    <row r="880" spans="2:20" x14ac:dyDescent="0.25">
      <c r="B880" s="59"/>
      <c r="C880" s="59"/>
      <c r="D880" s="60"/>
      <c r="E880" s="59"/>
      <c r="F880" s="59"/>
      <c r="G880" s="59"/>
      <c r="H880" s="61"/>
      <c r="I880" s="61"/>
      <c r="J880" s="61"/>
      <c r="K880" s="62"/>
      <c r="L880" s="10" t="str">
        <f t="shared" si="182"/>
        <v/>
      </c>
      <c r="M880" s="10" t="str">
        <f t="shared" si="183"/>
        <v/>
      </c>
      <c r="N880" s="11" t="str">
        <f t="shared" si="184"/>
        <v/>
      </c>
      <c r="O880" s="10" t="str">
        <f t="shared" si="185"/>
        <v/>
      </c>
      <c r="P880" s="12" t="str">
        <f t="shared" si="186"/>
        <v/>
      </c>
      <c r="Q880" s="10" t="str">
        <f t="shared" si="187"/>
        <v/>
      </c>
      <c r="R880" s="13" t="str">
        <f t="shared" si="188"/>
        <v/>
      </c>
      <c r="S880" s="13" t="str">
        <f t="shared" si="189"/>
        <v/>
      </c>
      <c r="T880" s="22" t="str">
        <f>IF(R880&lt;&gt;"",VLOOKUP(P880,Constants!$D$3:$E$10,2),"")</f>
        <v/>
      </c>
    </row>
    <row r="881" spans="2:20" x14ac:dyDescent="0.25">
      <c r="B881" s="59"/>
      <c r="C881" s="59"/>
      <c r="D881" s="60"/>
      <c r="E881" s="59"/>
      <c r="F881" s="59"/>
      <c r="G881" s="59"/>
      <c r="H881" s="61"/>
      <c r="I881" s="61"/>
      <c r="J881" s="61"/>
      <c r="K881" s="62"/>
      <c r="L881" s="10" t="str">
        <f t="shared" si="182"/>
        <v/>
      </c>
      <c r="M881" s="10" t="str">
        <f t="shared" si="183"/>
        <v/>
      </c>
      <c r="N881" s="11" t="str">
        <f t="shared" si="184"/>
        <v/>
      </c>
      <c r="O881" s="10" t="str">
        <f t="shared" si="185"/>
        <v/>
      </c>
      <c r="P881" s="12" t="str">
        <f t="shared" si="186"/>
        <v/>
      </c>
      <c r="Q881" s="10" t="str">
        <f t="shared" si="187"/>
        <v/>
      </c>
      <c r="R881" s="13" t="str">
        <f t="shared" si="188"/>
        <v/>
      </c>
      <c r="S881" s="13" t="str">
        <f t="shared" si="189"/>
        <v/>
      </c>
      <c r="T881" s="22" t="str">
        <f>IF(R881&lt;&gt;"",VLOOKUP(P881,Constants!$D$3:$E$10,2),"")</f>
        <v/>
      </c>
    </row>
    <row r="882" spans="2:20" x14ac:dyDescent="0.25">
      <c r="B882" s="59"/>
      <c r="C882" s="59"/>
      <c r="D882" s="60"/>
      <c r="E882" s="59"/>
      <c r="F882" s="59"/>
      <c r="G882" s="59"/>
      <c r="H882" s="61"/>
      <c r="I882" s="61"/>
      <c r="J882" s="61"/>
      <c r="K882" s="62"/>
      <c r="L882" s="10" t="str">
        <f t="shared" si="182"/>
        <v/>
      </c>
      <c r="M882" s="10" t="str">
        <f t="shared" si="183"/>
        <v/>
      </c>
      <c r="N882" s="11" t="str">
        <f t="shared" si="184"/>
        <v/>
      </c>
      <c r="O882" s="10" t="str">
        <f t="shared" si="185"/>
        <v/>
      </c>
      <c r="P882" s="12" t="str">
        <f t="shared" si="186"/>
        <v/>
      </c>
      <c r="Q882" s="10" t="str">
        <f t="shared" si="187"/>
        <v/>
      </c>
      <c r="R882" s="13" t="str">
        <f t="shared" si="188"/>
        <v/>
      </c>
      <c r="S882" s="13" t="str">
        <f t="shared" si="189"/>
        <v/>
      </c>
      <c r="T882" s="22" t="str">
        <f>IF(R882&lt;&gt;"",VLOOKUP(P882,Constants!$D$3:$E$10,2),"")</f>
        <v/>
      </c>
    </row>
    <row r="883" spans="2:20" x14ac:dyDescent="0.25">
      <c r="B883" s="59"/>
      <c r="C883" s="59"/>
      <c r="D883" s="60"/>
      <c r="E883" s="59"/>
      <c r="F883" s="59"/>
      <c r="G883" s="59"/>
      <c r="H883" s="61"/>
      <c r="I883" s="61"/>
      <c r="J883" s="61"/>
      <c r="K883" s="62"/>
      <c r="L883" s="10" t="str">
        <f t="shared" si="182"/>
        <v/>
      </c>
      <c r="M883" s="10" t="str">
        <f t="shared" si="183"/>
        <v/>
      </c>
      <c r="N883" s="11" t="str">
        <f t="shared" si="184"/>
        <v/>
      </c>
      <c r="O883" s="10" t="str">
        <f t="shared" si="185"/>
        <v/>
      </c>
      <c r="P883" s="12" t="str">
        <f t="shared" si="186"/>
        <v/>
      </c>
      <c r="Q883" s="10" t="str">
        <f t="shared" si="187"/>
        <v/>
      </c>
      <c r="R883" s="13" t="str">
        <f t="shared" si="188"/>
        <v/>
      </c>
      <c r="S883" s="13" t="str">
        <f t="shared" si="189"/>
        <v/>
      </c>
      <c r="T883" s="22" t="str">
        <f>IF(R883&lt;&gt;"",VLOOKUP(P883,Constants!$D$3:$E$10,2),"")</f>
        <v/>
      </c>
    </row>
    <row r="884" spans="2:20" x14ac:dyDescent="0.25">
      <c r="B884" s="59"/>
      <c r="C884" s="59"/>
      <c r="D884" s="60"/>
      <c r="E884" s="59"/>
      <c r="F884" s="59"/>
      <c r="G884" s="59"/>
      <c r="H884" s="61"/>
      <c r="I884" s="61"/>
      <c r="J884" s="61"/>
      <c r="K884" s="62"/>
      <c r="L884" s="10" t="str">
        <f t="shared" si="182"/>
        <v/>
      </c>
      <c r="M884" s="10" t="str">
        <f t="shared" si="183"/>
        <v/>
      </c>
      <c r="N884" s="11" t="str">
        <f t="shared" si="184"/>
        <v/>
      </c>
      <c r="O884" s="10" t="str">
        <f t="shared" si="185"/>
        <v/>
      </c>
      <c r="P884" s="12" t="str">
        <f t="shared" si="186"/>
        <v/>
      </c>
      <c r="Q884" s="10" t="str">
        <f t="shared" si="187"/>
        <v/>
      </c>
      <c r="R884" s="13" t="str">
        <f t="shared" si="188"/>
        <v/>
      </c>
      <c r="S884" s="13" t="str">
        <f t="shared" si="189"/>
        <v/>
      </c>
      <c r="T884" s="22" t="str">
        <f>IF(R884&lt;&gt;"",VLOOKUP(P884,Constants!$D$3:$E$10,2),"")</f>
        <v/>
      </c>
    </row>
    <row r="885" spans="2:20" x14ac:dyDescent="0.25">
      <c r="B885" s="59"/>
      <c r="C885" s="59"/>
      <c r="D885" s="60"/>
      <c r="E885" s="59"/>
      <c r="F885" s="59"/>
      <c r="G885" s="59"/>
      <c r="H885" s="61"/>
      <c r="I885" s="61"/>
      <c r="J885" s="61"/>
      <c r="K885" s="62"/>
      <c r="L885" s="10" t="str">
        <f t="shared" si="182"/>
        <v/>
      </c>
      <c r="M885" s="10" t="str">
        <f t="shared" si="183"/>
        <v/>
      </c>
      <c r="N885" s="11" t="str">
        <f t="shared" si="184"/>
        <v/>
      </c>
      <c r="O885" s="10" t="str">
        <f t="shared" si="185"/>
        <v/>
      </c>
      <c r="P885" s="12" t="str">
        <f t="shared" si="186"/>
        <v/>
      </c>
      <c r="Q885" s="10" t="str">
        <f t="shared" si="187"/>
        <v/>
      </c>
      <c r="R885" s="13" t="str">
        <f t="shared" si="188"/>
        <v/>
      </c>
      <c r="S885" s="13" t="str">
        <f t="shared" si="189"/>
        <v/>
      </c>
      <c r="T885" s="22" t="str">
        <f>IF(R885&lt;&gt;"",VLOOKUP(P885,Constants!$D$3:$E$10,2),"")</f>
        <v/>
      </c>
    </row>
    <row r="886" spans="2:20" x14ac:dyDescent="0.25">
      <c r="B886" s="59"/>
      <c r="C886" s="59"/>
      <c r="D886" s="60"/>
      <c r="E886" s="59"/>
      <c r="F886" s="59"/>
      <c r="G886" s="59"/>
      <c r="H886" s="61"/>
      <c r="I886" s="61"/>
      <c r="J886" s="61"/>
      <c r="K886" s="62"/>
      <c r="L886" s="10" t="str">
        <f t="shared" si="182"/>
        <v/>
      </c>
      <c r="M886" s="10" t="str">
        <f t="shared" si="183"/>
        <v/>
      </c>
      <c r="N886" s="11" t="str">
        <f t="shared" si="184"/>
        <v/>
      </c>
      <c r="O886" s="10" t="str">
        <f t="shared" si="185"/>
        <v/>
      </c>
      <c r="P886" s="12" t="str">
        <f t="shared" si="186"/>
        <v/>
      </c>
      <c r="Q886" s="10" t="str">
        <f t="shared" si="187"/>
        <v/>
      </c>
      <c r="R886" s="13" t="str">
        <f t="shared" si="188"/>
        <v/>
      </c>
      <c r="S886" s="13" t="str">
        <f t="shared" si="189"/>
        <v/>
      </c>
      <c r="T886" s="22" t="str">
        <f>IF(R886&lt;&gt;"",VLOOKUP(P886,Constants!$D$3:$E$10,2),"")</f>
        <v/>
      </c>
    </row>
    <row r="887" spans="2:20" x14ac:dyDescent="0.25">
      <c r="B887" s="59"/>
      <c r="C887" s="59"/>
      <c r="D887" s="60"/>
      <c r="E887" s="59"/>
      <c r="F887" s="59"/>
      <c r="G887" s="59"/>
      <c r="H887" s="61"/>
      <c r="I887" s="61"/>
      <c r="J887" s="61"/>
      <c r="K887" s="62"/>
      <c r="L887" s="10" t="str">
        <f t="shared" si="182"/>
        <v/>
      </c>
      <c r="M887" s="10" t="str">
        <f t="shared" si="183"/>
        <v/>
      </c>
      <c r="N887" s="11" t="str">
        <f t="shared" si="184"/>
        <v/>
      </c>
      <c r="O887" s="10" t="str">
        <f t="shared" si="185"/>
        <v/>
      </c>
      <c r="P887" s="12" t="str">
        <f t="shared" si="186"/>
        <v/>
      </c>
      <c r="Q887" s="10" t="str">
        <f t="shared" si="187"/>
        <v/>
      </c>
      <c r="R887" s="13" t="str">
        <f t="shared" si="188"/>
        <v/>
      </c>
      <c r="S887" s="13" t="str">
        <f t="shared" si="189"/>
        <v/>
      </c>
      <c r="T887" s="22" t="str">
        <f>IF(R887&lt;&gt;"",VLOOKUP(P887,Constants!$D$3:$E$10,2),"")</f>
        <v/>
      </c>
    </row>
    <row r="888" spans="2:20" x14ac:dyDescent="0.25">
      <c r="B888" s="59"/>
      <c r="C888" s="59"/>
      <c r="D888" s="60"/>
      <c r="E888" s="59"/>
      <c r="F888" s="59"/>
      <c r="G888" s="59"/>
      <c r="H888" s="61"/>
      <c r="I888" s="61"/>
      <c r="J888" s="61"/>
      <c r="K888" s="62"/>
      <c r="L888" s="10" t="str">
        <f t="shared" si="182"/>
        <v/>
      </c>
      <c r="M888" s="10" t="str">
        <f t="shared" si="183"/>
        <v/>
      </c>
      <c r="N888" s="11" t="str">
        <f t="shared" si="184"/>
        <v/>
      </c>
      <c r="O888" s="10" t="str">
        <f t="shared" si="185"/>
        <v/>
      </c>
      <c r="P888" s="12" t="str">
        <f t="shared" si="186"/>
        <v/>
      </c>
      <c r="Q888" s="10" t="str">
        <f t="shared" si="187"/>
        <v/>
      </c>
      <c r="R888" s="13" t="str">
        <f t="shared" si="188"/>
        <v/>
      </c>
      <c r="S888" s="13" t="str">
        <f t="shared" si="189"/>
        <v/>
      </c>
      <c r="T888" s="22" t="str">
        <f>IF(R888&lt;&gt;"",VLOOKUP(P888,Constants!$D$3:$E$10,2),"")</f>
        <v/>
      </c>
    </row>
    <row r="889" spans="2:20" x14ac:dyDescent="0.25">
      <c r="B889" s="59"/>
      <c r="C889" s="59"/>
      <c r="D889" s="60"/>
      <c r="E889" s="59"/>
      <c r="F889" s="59"/>
      <c r="G889" s="59"/>
      <c r="H889" s="61"/>
      <c r="I889" s="61"/>
      <c r="J889" s="61"/>
      <c r="K889" s="62"/>
      <c r="L889" s="10" t="str">
        <f t="shared" si="182"/>
        <v/>
      </c>
      <c r="M889" s="10" t="str">
        <f t="shared" si="183"/>
        <v/>
      </c>
      <c r="N889" s="11" t="str">
        <f t="shared" si="184"/>
        <v/>
      </c>
      <c r="O889" s="10" t="str">
        <f t="shared" si="185"/>
        <v/>
      </c>
      <c r="P889" s="12" t="str">
        <f t="shared" si="186"/>
        <v/>
      </c>
      <c r="Q889" s="10" t="str">
        <f t="shared" si="187"/>
        <v/>
      </c>
      <c r="R889" s="13" t="str">
        <f t="shared" si="188"/>
        <v/>
      </c>
      <c r="S889" s="13" t="str">
        <f t="shared" si="189"/>
        <v/>
      </c>
      <c r="T889" s="22" t="str">
        <f>IF(R889&lt;&gt;"",VLOOKUP(P889,Constants!$D$3:$E$10,2),"")</f>
        <v/>
      </c>
    </row>
    <row r="890" spans="2:20" x14ac:dyDescent="0.25">
      <c r="B890" s="59"/>
      <c r="C890" s="59"/>
      <c r="D890" s="60"/>
      <c r="E890" s="59"/>
      <c r="F890" s="59"/>
      <c r="G890" s="59"/>
      <c r="H890" s="61"/>
      <c r="I890" s="61"/>
      <c r="J890" s="61"/>
      <c r="K890" s="62"/>
      <c r="L890" s="10" t="str">
        <f t="shared" si="182"/>
        <v/>
      </c>
      <c r="M890" s="10" t="str">
        <f t="shared" si="183"/>
        <v/>
      </c>
      <c r="N890" s="11" t="str">
        <f t="shared" si="184"/>
        <v/>
      </c>
      <c r="O890" s="10" t="str">
        <f t="shared" si="185"/>
        <v/>
      </c>
      <c r="P890" s="12" t="str">
        <f t="shared" si="186"/>
        <v/>
      </c>
      <c r="Q890" s="10" t="str">
        <f t="shared" si="187"/>
        <v/>
      </c>
      <c r="R890" s="13" t="str">
        <f t="shared" si="188"/>
        <v/>
      </c>
      <c r="S890" s="13" t="str">
        <f t="shared" si="189"/>
        <v/>
      </c>
      <c r="T890" s="22" t="str">
        <f>IF(R890&lt;&gt;"",VLOOKUP(P890,Constants!$D$3:$E$10,2),"")</f>
        <v/>
      </c>
    </row>
    <row r="891" spans="2:20" x14ac:dyDescent="0.25">
      <c r="B891" s="59"/>
      <c r="C891" s="59"/>
      <c r="D891" s="60"/>
      <c r="E891" s="59"/>
      <c r="F891" s="59"/>
      <c r="G891" s="59"/>
      <c r="H891" s="61"/>
      <c r="I891" s="61"/>
      <c r="J891" s="61"/>
      <c r="K891" s="62"/>
      <c r="L891" s="10" t="str">
        <f t="shared" si="182"/>
        <v/>
      </c>
      <c r="M891" s="10" t="str">
        <f t="shared" si="183"/>
        <v/>
      </c>
      <c r="N891" s="11" t="str">
        <f t="shared" si="184"/>
        <v/>
      </c>
      <c r="O891" s="10" t="str">
        <f t="shared" si="185"/>
        <v/>
      </c>
      <c r="P891" s="12" t="str">
        <f t="shared" si="186"/>
        <v/>
      </c>
      <c r="Q891" s="10" t="str">
        <f t="shared" si="187"/>
        <v/>
      </c>
      <c r="R891" s="13" t="str">
        <f t="shared" si="188"/>
        <v/>
      </c>
      <c r="S891" s="13" t="str">
        <f t="shared" si="189"/>
        <v/>
      </c>
      <c r="T891" s="22" t="str">
        <f>IF(R891&lt;&gt;"",VLOOKUP(P891,Constants!$D$3:$E$10,2),"")</f>
        <v/>
      </c>
    </row>
    <row r="892" spans="2:20" x14ac:dyDescent="0.25">
      <c r="B892" s="59"/>
      <c r="C892" s="59"/>
      <c r="D892" s="60"/>
      <c r="E892" s="59"/>
      <c r="F892" s="59"/>
      <c r="G892" s="59"/>
      <c r="H892" s="61"/>
      <c r="I892" s="61"/>
      <c r="J892" s="61"/>
      <c r="K892" s="62"/>
      <c r="L892" s="10" t="str">
        <f t="shared" si="182"/>
        <v/>
      </c>
      <c r="M892" s="10" t="str">
        <f t="shared" si="183"/>
        <v/>
      </c>
      <c r="N892" s="11" t="str">
        <f t="shared" si="184"/>
        <v/>
      </c>
      <c r="O892" s="10" t="str">
        <f t="shared" si="185"/>
        <v/>
      </c>
      <c r="P892" s="12" t="str">
        <f t="shared" si="186"/>
        <v/>
      </c>
      <c r="Q892" s="10" t="str">
        <f t="shared" si="187"/>
        <v/>
      </c>
      <c r="R892" s="13" t="str">
        <f t="shared" si="188"/>
        <v/>
      </c>
      <c r="S892" s="13" t="str">
        <f t="shared" si="189"/>
        <v/>
      </c>
      <c r="T892" s="22" t="str">
        <f>IF(R892&lt;&gt;"",VLOOKUP(P892,Constants!$D$3:$E$10,2),"")</f>
        <v/>
      </c>
    </row>
    <row r="893" spans="2:20" x14ac:dyDescent="0.25">
      <c r="B893" s="59"/>
      <c r="C893" s="59"/>
      <c r="D893" s="60"/>
      <c r="E893" s="59"/>
      <c r="F893" s="59"/>
      <c r="G893" s="59"/>
      <c r="H893" s="61"/>
      <c r="I893" s="61"/>
      <c r="J893" s="61"/>
      <c r="K893" s="62"/>
      <c r="L893" s="10" t="str">
        <f t="shared" si="182"/>
        <v/>
      </c>
      <c r="M893" s="10" t="str">
        <f t="shared" si="183"/>
        <v/>
      </c>
      <c r="N893" s="11" t="str">
        <f t="shared" si="184"/>
        <v/>
      </c>
      <c r="O893" s="10" t="str">
        <f t="shared" si="185"/>
        <v/>
      </c>
      <c r="P893" s="12" t="str">
        <f t="shared" si="186"/>
        <v/>
      </c>
      <c r="Q893" s="10" t="str">
        <f t="shared" si="187"/>
        <v/>
      </c>
      <c r="R893" s="13" t="str">
        <f t="shared" si="188"/>
        <v/>
      </c>
      <c r="S893" s="13" t="str">
        <f t="shared" si="189"/>
        <v/>
      </c>
      <c r="T893" s="22" t="str">
        <f>IF(R893&lt;&gt;"",VLOOKUP(P893,Constants!$D$3:$E$10,2),"")</f>
        <v/>
      </c>
    </row>
    <row r="894" spans="2:20" x14ac:dyDescent="0.25">
      <c r="B894" s="59"/>
      <c r="C894" s="59"/>
      <c r="D894" s="60"/>
      <c r="E894" s="59"/>
      <c r="F894" s="59"/>
      <c r="G894" s="59"/>
      <c r="H894" s="61"/>
      <c r="I894" s="61"/>
      <c r="J894" s="61"/>
      <c r="K894" s="62"/>
      <c r="L894" s="10" t="str">
        <f t="shared" si="182"/>
        <v/>
      </c>
      <c r="M894" s="10" t="str">
        <f t="shared" si="183"/>
        <v/>
      </c>
      <c r="N894" s="11" t="str">
        <f t="shared" si="184"/>
        <v/>
      </c>
      <c r="O894" s="10" t="str">
        <f t="shared" si="185"/>
        <v/>
      </c>
      <c r="P894" s="12" t="str">
        <f t="shared" si="186"/>
        <v/>
      </c>
      <c r="Q894" s="10" t="str">
        <f t="shared" si="187"/>
        <v/>
      </c>
      <c r="R894" s="13" t="str">
        <f t="shared" si="188"/>
        <v/>
      </c>
      <c r="S894" s="13" t="str">
        <f t="shared" si="189"/>
        <v/>
      </c>
      <c r="T894" s="22" t="str">
        <f>IF(R894&lt;&gt;"",VLOOKUP(P894,Constants!$D$3:$E$10,2),"")</f>
        <v/>
      </c>
    </row>
    <row r="895" spans="2:20" x14ac:dyDescent="0.25">
      <c r="B895" s="59"/>
      <c r="C895" s="59"/>
      <c r="D895" s="60"/>
      <c r="E895" s="59"/>
      <c r="F895" s="59"/>
      <c r="G895" s="59"/>
      <c r="H895" s="61"/>
      <c r="I895" s="61"/>
      <c r="J895" s="61"/>
      <c r="K895" s="62"/>
      <c r="L895" s="10" t="str">
        <f t="shared" si="182"/>
        <v/>
      </c>
      <c r="M895" s="10" t="str">
        <f t="shared" si="183"/>
        <v/>
      </c>
      <c r="N895" s="11" t="str">
        <f t="shared" si="184"/>
        <v/>
      </c>
      <c r="O895" s="10" t="str">
        <f t="shared" si="185"/>
        <v/>
      </c>
      <c r="P895" s="12" t="str">
        <f t="shared" si="186"/>
        <v/>
      </c>
      <c r="Q895" s="10" t="str">
        <f t="shared" si="187"/>
        <v/>
      </c>
      <c r="R895" s="13" t="str">
        <f t="shared" si="188"/>
        <v/>
      </c>
      <c r="S895" s="13" t="str">
        <f t="shared" si="189"/>
        <v/>
      </c>
      <c r="T895" s="22" t="str">
        <f>IF(R895&lt;&gt;"",VLOOKUP(P895,Constants!$D$3:$E$10,2),"")</f>
        <v/>
      </c>
    </row>
    <row r="896" spans="2:20" x14ac:dyDescent="0.25">
      <c r="B896" s="59"/>
      <c r="C896" s="59"/>
      <c r="D896" s="60"/>
      <c r="E896" s="59"/>
      <c r="F896" s="59"/>
      <c r="G896" s="59"/>
      <c r="H896" s="61"/>
      <c r="I896" s="61"/>
      <c r="J896" s="61"/>
      <c r="K896" s="62"/>
      <c r="L896" s="10" t="str">
        <f t="shared" si="182"/>
        <v/>
      </c>
      <c r="M896" s="10" t="str">
        <f t="shared" si="183"/>
        <v/>
      </c>
      <c r="N896" s="11" t="str">
        <f t="shared" si="184"/>
        <v/>
      </c>
      <c r="O896" s="10" t="str">
        <f t="shared" si="185"/>
        <v/>
      </c>
      <c r="P896" s="12" t="str">
        <f t="shared" si="186"/>
        <v/>
      </c>
      <c r="Q896" s="10" t="str">
        <f t="shared" si="187"/>
        <v/>
      </c>
      <c r="R896" s="13" t="str">
        <f t="shared" si="188"/>
        <v/>
      </c>
      <c r="S896" s="13" t="str">
        <f t="shared" si="189"/>
        <v/>
      </c>
      <c r="T896" s="22" t="str">
        <f>IF(R896&lt;&gt;"",VLOOKUP(P896,Constants!$D$3:$E$10,2),"")</f>
        <v/>
      </c>
    </row>
    <row r="897" spans="2:20" x14ac:dyDescent="0.25">
      <c r="B897" s="59"/>
      <c r="C897" s="59"/>
      <c r="D897" s="60"/>
      <c r="E897" s="59"/>
      <c r="F897" s="59"/>
      <c r="G897" s="59"/>
      <c r="H897" s="61"/>
      <c r="I897" s="61"/>
      <c r="J897" s="61"/>
      <c r="K897" s="62"/>
      <c r="L897" s="10" t="str">
        <f t="shared" si="182"/>
        <v/>
      </c>
      <c r="M897" s="10" t="str">
        <f t="shared" si="183"/>
        <v/>
      </c>
      <c r="N897" s="11" t="str">
        <f t="shared" si="184"/>
        <v/>
      </c>
      <c r="O897" s="10" t="str">
        <f t="shared" si="185"/>
        <v/>
      </c>
      <c r="P897" s="12" t="str">
        <f t="shared" si="186"/>
        <v/>
      </c>
      <c r="Q897" s="10" t="str">
        <f t="shared" si="187"/>
        <v/>
      </c>
      <c r="R897" s="13" t="str">
        <f t="shared" si="188"/>
        <v/>
      </c>
      <c r="S897" s="13" t="str">
        <f t="shared" si="189"/>
        <v/>
      </c>
      <c r="T897" s="22" t="str">
        <f>IF(R897&lt;&gt;"",VLOOKUP(P897,Constants!$D$3:$E$10,2),"")</f>
        <v/>
      </c>
    </row>
    <row r="898" spans="2:20" x14ac:dyDescent="0.25">
      <c r="B898" s="59"/>
      <c r="C898" s="59"/>
      <c r="D898" s="60"/>
      <c r="E898" s="59"/>
      <c r="F898" s="59"/>
      <c r="G898" s="59"/>
      <c r="H898" s="61"/>
      <c r="I898" s="61"/>
      <c r="J898" s="61"/>
      <c r="K898" s="62"/>
      <c r="L898" s="10" t="str">
        <f t="shared" si="182"/>
        <v/>
      </c>
      <c r="M898" s="10" t="str">
        <f t="shared" si="183"/>
        <v/>
      </c>
      <c r="N898" s="11" t="str">
        <f t="shared" si="184"/>
        <v/>
      </c>
      <c r="O898" s="10" t="str">
        <f t="shared" si="185"/>
        <v/>
      </c>
      <c r="P898" s="12" t="str">
        <f t="shared" si="186"/>
        <v/>
      </c>
      <c r="Q898" s="10" t="str">
        <f t="shared" si="187"/>
        <v/>
      </c>
      <c r="R898" s="13" t="str">
        <f t="shared" si="188"/>
        <v/>
      </c>
      <c r="S898" s="13" t="str">
        <f t="shared" si="189"/>
        <v/>
      </c>
      <c r="T898" s="22" t="str">
        <f>IF(R898&lt;&gt;"",VLOOKUP(P898,Constants!$D$3:$E$10,2),"")</f>
        <v/>
      </c>
    </row>
    <row r="899" spans="2:20" x14ac:dyDescent="0.25">
      <c r="B899" s="59"/>
      <c r="C899" s="59"/>
      <c r="D899" s="60"/>
      <c r="E899" s="59"/>
      <c r="F899" s="59"/>
      <c r="G899" s="59"/>
      <c r="H899" s="61"/>
      <c r="I899" s="61"/>
      <c r="J899" s="61"/>
      <c r="K899" s="62"/>
      <c r="L899" s="10" t="str">
        <f t="shared" si="182"/>
        <v/>
      </c>
      <c r="M899" s="10" t="str">
        <f t="shared" si="183"/>
        <v/>
      </c>
      <c r="N899" s="11" t="str">
        <f t="shared" si="184"/>
        <v/>
      </c>
      <c r="O899" s="10" t="str">
        <f t="shared" si="185"/>
        <v/>
      </c>
      <c r="P899" s="12" t="str">
        <f t="shared" si="186"/>
        <v/>
      </c>
      <c r="Q899" s="10" t="str">
        <f t="shared" si="187"/>
        <v/>
      </c>
      <c r="R899" s="13" t="str">
        <f t="shared" si="188"/>
        <v/>
      </c>
      <c r="S899" s="13" t="str">
        <f t="shared" si="189"/>
        <v/>
      </c>
      <c r="T899" s="22" t="str">
        <f>IF(R899&lt;&gt;"",VLOOKUP(P899,Constants!$D$3:$E$10,2),"")</f>
        <v/>
      </c>
    </row>
    <row r="900" spans="2:20" x14ac:dyDescent="0.25">
      <c r="B900" s="59"/>
      <c r="C900" s="59"/>
      <c r="D900" s="60"/>
      <c r="E900" s="59"/>
      <c r="F900" s="59"/>
      <c r="G900" s="59"/>
      <c r="H900" s="61"/>
      <c r="I900" s="61"/>
      <c r="J900" s="61"/>
      <c r="K900" s="62"/>
      <c r="L900" s="10" t="str">
        <f t="shared" si="182"/>
        <v/>
      </c>
      <c r="M900" s="10" t="str">
        <f t="shared" si="183"/>
        <v/>
      </c>
      <c r="N900" s="11" t="str">
        <f t="shared" si="184"/>
        <v/>
      </c>
      <c r="O900" s="10" t="str">
        <f t="shared" si="185"/>
        <v/>
      </c>
      <c r="P900" s="12" t="str">
        <f t="shared" si="186"/>
        <v/>
      </c>
      <c r="Q900" s="10" t="str">
        <f t="shared" si="187"/>
        <v/>
      </c>
      <c r="R900" s="13" t="str">
        <f t="shared" si="188"/>
        <v/>
      </c>
      <c r="S900" s="13" t="str">
        <f t="shared" si="189"/>
        <v/>
      </c>
      <c r="T900" s="22" t="str">
        <f>IF(R900&lt;&gt;"",VLOOKUP(P900,Constants!$D$3:$E$10,2),"")</f>
        <v/>
      </c>
    </row>
    <row r="901" spans="2:20" x14ac:dyDescent="0.25">
      <c r="B901" s="59"/>
      <c r="C901" s="59"/>
      <c r="D901" s="60"/>
      <c r="E901" s="59"/>
      <c r="F901" s="59"/>
      <c r="G901" s="59"/>
      <c r="H901" s="61"/>
      <c r="I901" s="61"/>
      <c r="J901" s="61"/>
      <c r="K901" s="62"/>
      <c r="L901" s="10" t="str">
        <f t="shared" si="182"/>
        <v/>
      </c>
      <c r="M901" s="10" t="str">
        <f t="shared" si="183"/>
        <v/>
      </c>
      <c r="N901" s="11" t="str">
        <f t="shared" si="184"/>
        <v/>
      </c>
      <c r="O901" s="10" t="str">
        <f t="shared" si="185"/>
        <v/>
      </c>
      <c r="P901" s="12" t="str">
        <f t="shared" si="186"/>
        <v/>
      </c>
      <c r="Q901" s="10" t="str">
        <f t="shared" si="187"/>
        <v/>
      </c>
      <c r="R901" s="13" t="str">
        <f t="shared" si="188"/>
        <v/>
      </c>
      <c r="S901" s="13" t="str">
        <f t="shared" si="189"/>
        <v/>
      </c>
      <c r="T901" s="22" t="str">
        <f>IF(R901&lt;&gt;"",VLOOKUP(P901,Constants!$D$3:$E$10,2),"")</f>
        <v/>
      </c>
    </row>
    <row r="902" spans="2:20" x14ac:dyDescent="0.25">
      <c r="B902" s="59"/>
      <c r="C902" s="59"/>
      <c r="D902" s="60"/>
      <c r="E902" s="59"/>
      <c r="F902" s="59"/>
      <c r="G902" s="59"/>
      <c r="H902" s="61"/>
      <c r="I902" s="61"/>
      <c r="J902" s="61"/>
      <c r="K902" s="62"/>
      <c r="L902" s="10" t="str">
        <f t="shared" si="182"/>
        <v/>
      </c>
      <c r="M902" s="10" t="str">
        <f t="shared" si="183"/>
        <v/>
      </c>
      <c r="N902" s="11" t="str">
        <f t="shared" si="184"/>
        <v/>
      </c>
      <c r="O902" s="10" t="str">
        <f t="shared" si="185"/>
        <v/>
      </c>
      <c r="P902" s="12" t="str">
        <f t="shared" si="186"/>
        <v/>
      </c>
      <c r="Q902" s="10" t="str">
        <f t="shared" si="187"/>
        <v/>
      </c>
      <c r="R902" s="13" t="str">
        <f t="shared" si="188"/>
        <v/>
      </c>
      <c r="S902" s="13" t="str">
        <f t="shared" si="189"/>
        <v/>
      </c>
      <c r="T902" s="22" t="str">
        <f>IF(R902&lt;&gt;"",VLOOKUP(P902,Constants!$D$3:$E$10,2),"")</f>
        <v/>
      </c>
    </row>
    <row r="903" spans="2:20" x14ac:dyDescent="0.25">
      <c r="B903" s="59"/>
      <c r="C903" s="59"/>
      <c r="D903" s="60"/>
      <c r="E903" s="59"/>
      <c r="F903" s="59"/>
      <c r="G903" s="59"/>
      <c r="H903" s="61"/>
      <c r="I903" s="61"/>
      <c r="J903" s="61"/>
      <c r="K903" s="62"/>
      <c r="L903" s="10" t="str">
        <f t="shared" si="182"/>
        <v/>
      </c>
      <c r="M903" s="10" t="str">
        <f t="shared" si="183"/>
        <v/>
      </c>
      <c r="N903" s="11" t="str">
        <f t="shared" si="184"/>
        <v/>
      </c>
      <c r="O903" s="10" t="str">
        <f t="shared" si="185"/>
        <v/>
      </c>
      <c r="P903" s="12" t="str">
        <f t="shared" si="186"/>
        <v/>
      </c>
      <c r="Q903" s="10" t="str">
        <f t="shared" si="187"/>
        <v/>
      </c>
      <c r="R903" s="13" t="str">
        <f t="shared" si="188"/>
        <v/>
      </c>
      <c r="S903" s="13" t="str">
        <f t="shared" si="189"/>
        <v/>
      </c>
      <c r="T903" s="22" t="str">
        <f>IF(R903&lt;&gt;"",VLOOKUP(P903,Constants!$D$3:$E$10,2),"")</f>
        <v/>
      </c>
    </row>
    <row r="904" spans="2:20" x14ac:dyDescent="0.25">
      <c r="B904" s="59"/>
      <c r="C904" s="59"/>
      <c r="D904" s="60"/>
      <c r="E904" s="59"/>
      <c r="F904" s="59"/>
      <c r="G904" s="59"/>
      <c r="H904" s="61"/>
      <c r="I904" s="61"/>
      <c r="J904" s="61"/>
      <c r="K904" s="62"/>
      <c r="L904" s="10" t="str">
        <f t="shared" si="182"/>
        <v/>
      </c>
      <c r="M904" s="10" t="str">
        <f t="shared" si="183"/>
        <v/>
      </c>
      <c r="N904" s="11" t="str">
        <f t="shared" si="184"/>
        <v/>
      </c>
      <c r="O904" s="10" t="str">
        <f t="shared" si="185"/>
        <v/>
      </c>
      <c r="P904" s="12" t="str">
        <f t="shared" si="186"/>
        <v/>
      </c>
      <c r="Q904" s="10" t="str">
        <f t="shared" si="187"/>
        <v/>
      </c>
      <c r="R904" s="13" t="str">
        <f t="shared" si="188"/>
        <v/>
      </c>
      <c r="S904" s="13" t="str">
        <f t="shared" si="189"/>
        <v/>
      </c>
      <c r="T904" s="22" t="str">
        <f>IF(R904&lt;&gt;"",VLOOKUP(P904,Constants!$D$3:$E$10,2),"")</f>
        <v/>
      </c>
    </row>
    <row r="905" spans="2:20" x14ac:dyDescent="0.25">
      <c r="B905" s="59"/>
      <c r="C905" s="59"/>
      <c r="D905" s="60"/>
      <c r="E905" s="59"/>
      <c r="F905" s="59"/>
      <c r="G905" s="59"/>
      <c r="H905" s="61"/>
      <c r="I905" s="61"/>
      <c r="J905" s="61"/>
      <c r="K905" s="62"/>
      <c r="L905" s="10" t="str">
        <f t="shared" si="182"/>
        <v/>
      </c>
      <c r="M905" s="10" t="str">
        <f t="shared" si="183"/>
        <v/>
      </c>
      <c r="N905" s="11" t="str">
        <f t="shared" si="184"/>
        <v/>
      </c>
      <c r="O905" s="10" t="str">
        <f t="shared" si="185"/>
        <v/>
      </c>
      <c r="P905" s="12" t="str">
        <f t="shared" si="186"/>
        <v/>
      </c>
      <c r="Q905" s="10" t="str">
        <f t="shared" si="187"/>
        <v/>
      </c>
      <c r="R905" s="13" t="str">
        <f t="shared" si="188"/>
        <v/>
      </c>
      <c r="S905" s="13" t="str">
        <f t="shared" si="189"/>
        <v/>
      </c>
      <c r="T905" s="22" t="str">
        <f>IF(R905&lt;&gt;"",VLOOKUP(P905,Constants!$D$3:$E$10,2),"")</f>
        <v/>
      </c>
    </row>
    <row r="906" spans="2:20" x14ac:dyDescent="0.25">
      <c r="B906" s="59"/>
      <c r="C906" s="59"/>
      <c r="D906" s="60"/>
      <c r="E906" s="59"/>
      <c r="F906" s="59"/>
      <c r="G906" s="59"/>
      <c r="H906" s="61"/>
      <c r="I906" s="61"/>
      <c r="J906" s="61"/>
      <c r="K906" s="62"/>
      <c r="L906" s="10" t="str">
        <f t="shared" si="182"/>
        <v/>
      </c>
      <c r="M906" s="10" t="str">
        <f t="shared" si="183"/>
        <v/>
      </c>
      <c r="N906" s="11" t="str">
        <f t="shared" si="184"/>
        <v/>
      </c>
      <c r="O906" s="10" t="str">
        <f t="shared" si="185"/>
        <v/>
      </c>
      <c r="P906" s="12" t="str">
        <f t="shared" si="186"/>
        <v/>
      </c>
      <c r="Q906" s="10" t="str">
        <f t="shared" si="187"/>
        <v/>
      </c>
      <c r="R906" s="13" t="str">
        <f t="shared" si="188"/>
        <v/>
      </c>
      <c r="S906" s="13" t="str">
        <f t="shared" si="189"/>
        <v/>
      </c>
      <c r="T906" s="22" t="str">
        <f>IF(R906&lt;&gt;"",VLOOKUP(P906,Constants!$D$3:$E$10,2),"")</f>
        <v/>
      </c>
    </row>
    <row r="907" spans="2:20" x14ac:dyDescent="0.25">
      <c r="B907" s="59"/>
      <c r="C907" s="59"/>
      <c r="D907" s="60"/>
      <c r="E907" s="59"/>
      <c r="F907" s="59"/>
      <c r="G907" s="59"/>
      <c r="H907" s="61"/>
      <c r="I907" s="61"/>
      <c r="J907" s="61"/>
      <c r="K907" s="62"/>
      <c r="L907" s="10" t="str">
        <f t="shared" si="182"/>
        <v/>
      </c>
      <c r="M907" s="10" t="str">
        <f t="shared" si="183"/>
        <v/>
      </c>
      <c r="N907" s="11" t="str">
        <f t="shared" si="184"/>
        <v/>
      </c>
      <c r="O907" s="10" t="str">
        <f t="shared" si="185"/>
        <v/>
      </c>
      <c r="P907" s="12" t="str">
        <f t="shared" si="186"/>
        <v/>
      </c>
      <c r="Q907" s="10" t="str">
        <f t="shared" si="187"/>
        <v/>
      </c>
      <c r="R907" s="13" t="str">
        <f t="shared" si="188"/>
        <v/>
      </c>
      <c r="S907" s="13" t="str">
        <f t="shared" si="189"/>
        <v/>
      </c>
      <c r="T907" s="22" t="str">
        <f>IF(R907&lt;&gt;"",VLOOKUP(P907,Constants!$D$3:$E$10,2),"")</f>
        <v/>
      </c>
    </row>
    <row r="908" spans="2:20" x14ac:dyDescent="0.25">
      <c r="B908" s="59"/>
      <c r="C908" s="59"/>
      <c r="D908" s="60"/>
      <c r="E908" s="59"/>
      <c r="F908" s="59"/>
      <c r="G908" s="59"/>
      <c r="H908" s="61"/>
      <c r="I908" s="61"/>
      <c r="J908" s="61"/>
      <c r="K908" s="62"/>
      <c r="L908" s="10" t="str">
        <f t="shared" si="182"/>
        <v/>
      </c>
      <c r="M908" s="10" t="str">
        <f t="shared" si="183"/>
        <v/>
      </c>
      <c r="N908" s="11" t="str">
        <f t="shared" si="184"/>
        <v/>
      </c>
      <c r="O908" s="10" t="str">
        <f t="shared" si="185"/>
        <v/>
      </c>
      <c r="P908" s="12" t="str">
        <f t="shared" si="186"/>
        <v/>
      </c>
      <c r="Q908" s="10" t="str">
        <f t="shared" si="187"/>
        <v/>
      </c>
      <c r="R908" s="13" t="str">
        <f t="shared" si="188"/>
        <v/>
      </c>
      <c r="S908" s="13" t="str">
        <f t="shared" si="189"/>
        <v/>
      </c>
      <c r="T908" s="22" t="str">
        <f>IF(R908&lt;&gt;"",VLOOKUP(P908,Constants!$D$3:$E$10,2),"")</f>
        <v/>
      </c>
    </row>
    <row r="909" spans="2:20" x14ac:dyDescent="0.25">
      <c r="B909" s="59"/>
      <c r="C909" s="59"/>
      <c r="D909" s="60"/>
      <c r="E909" s="59"/>
      <c r="F909" s="59"/>
      <c r="G909" s="59"/>
      <c r="H909" s="61"/>
      <c r="I909" s="61"/>
      <c r="J909" s="61"/>
      <c r="K909" s="62"/>
      <c r="L909" s="10" t="str">
        <f t="shared" si="182"/>
        <v/>
      </c>
      <c r="M909" s="10" t="str">
        <f t="shared" si="183"/>
        <v/>
      </c>
      <c r="N909" s="11" t="str">
        <f t="shared" si="184"/>
        <v/>
      </c>
      <c r="O909" s="10" t="str">
        <f t="shared" si="185"/>
        <v/>
      </c>
      <c r="P909" s="12" t="str">
        <f t="shared" si="186"/>
        <v/>
      </c>
      <c r="Q909" s="10" t="str">
        <f t="shared" si="187"/>
        <v/>
      </c>
      <c r="R909" s="13" t="str">
        <f t="shared" si="188"/>
        <v/>
      </c>
      <c r="S909" s="13" t="str">
        <f t="shared" si="189"/>
        <v/>
      </c>
      <c r="T909" s="22" t="str">
        <f>IF(R909&lt;&gt;"",VLOOKUP(P909,Constants!$D$3:$E$10,2),"")</f>
        <v/>
      </c>
    </row>
    <row r="910" spans="2:20" x14ac:dyDescent="0.25">
      <c r="B910" s="59"/>
      <c r="C910" s="59"/>
      <c r="D910" s="60"/>
      <c r="E910" s="59"/>
      <c r="F910" s="59"/>
      <c r="G910" s="59"/>
      <c r="H910" s="61"/>
      <c r="I910" s="61"/>
      <c r="J910" s="61"/>
      <c r="K910" s="62"/>
      <c r="L910" s="10" t="str">
        <f t="shared" si="182"/>
        <v/>
      </c>
      <c r="M910" s="10" t="str">
        <f t="shared" si="183"/>
        <v/>
      </c>
      <c r="N910" s="11" t="str">
        <f t="shared" si="184"/>
        <v/>
      </c>
      <c r="O910" s="10" t="str">
        <f t="shared" si="185"/>
        <v/>
      </c>
      <c r="P910" s="12" t="str">
        <f t="shared" si="186"/>
        <v/>
      </c>
      <c r="Q910" s="10" t="str">
        <f t="shared" si="187"/>
        <v/>
      </c>
      <c r="R910" s="13" t="str">
        <f t="shared" si="188"/>
        <v/>
      </c>
      <c r="S910" s="13" t="str">
        <f t="shared" si="189"/>
        <v/>
      </c>
      <c r="T910" s="22" t="str">
        <f>IF(R910&lt;&gt;"",VLOOKUP(P910,Constants!$D$3:$E$10,2),"")</f>
        <v/>
      </c>
    </row>
    <row r="911" spans="2:20" x14ac:dyDescent="0.25">
      <c r="B911" s="59"/>
      <c r="C911" s="59"/>
      <c r="D911" s="60"/>
      <c r="E911" s="59"/>
      <c r="F911" s="59"/>
      <c r="G911" s="59"/>
      <c r="H911" s="61"/>
      <c r="I911" s="61"/>
      <c r="J911" s="61"/>
      <c r="K911" s="62"/>
      <c r="L911" s="10" t="str">
        <f t="shared" si="182"/>
        <v/>
      </c>
      <c r="M911" s="10" t="str">
        <f t="shared" si="183"/>
        <v/>
      </c>
      <c r="N911" s="11" t="str">
        <f t="shared" si="184"/>
        <v/>
      </c>
      <c r="O911" s="10" t="str">
        <f t="shared" si="185"/>
        <v/>
      </c>
      <c r="P911" s="12" t="str">
        <f t="shared" si="186"/>
        <v/>
      </c>
      <c r="Q911" s="10" t="str">
        <f t="shared" si="187"/>
        <v/>
      </c>
      <c r="R911" s="13" t="str">
        <f t="shared" si="188"/>
        <v/>
      </c>
      <c r="S911" s="13" t="str">
        <f t="shared" si="189"/>
        <v/>
      </c>
      <c r="T911" s="22" t="str">
        <f>IF(R911&lt;&gt;"",VLOOKUP(P911,Constants!$D$3:$E$10,2),"")</f>
        <v/>
      </c>
    </row>
    <row r="912" spans="2:20" x14ac:dyDescent="0.25">
      <c r="B912" s="59"/>
      <c r="C912" s="59"/>
      <c r="D912" s="60"/>
      <c r="E912" s="59"/>
      <c r="F912" s="59"/>
      <c r="G912" s="59"/>
      <c r="H912" s="61"/>
      <c r="I912" s="61"/>
      <c r="J912" s="61"/>
      <c r="K912" s="62"/>
      <c r="L912" s="10" t="str">
        <f t="shared" si="182"/>
        <v/>
      </c>
      <c r="M912" s="10" t="str">
        <f t="shared" si="183"/>
        <v/>
      </c>
      <c r="N912" s="11" t="str">
        <f t="shared" si="184"/>
        <v/>
      </c>
      <c r="O912" s="10" t="str">
        <f t="shared" si="185"/>
        <v/>
      </c>
      <c r="P912" s="12" t="str">
        <f t="shared" si="186"/>
        <v/>
      </c>
      <c r="Q912" s="10" t="str">
        <f t="shared" si="187"/>
        <v/>
      </c>
      <c r="R912" s="13" t="str">
        <f t="shared" si="188"/>
        <v/>
      </c>
      <c r="S912" s="13" t="str">
        <f t="shared" si="189"/>
        <v/>
      </c>
      <c r="T912" s="22" t="str">
        <f>IF(R912&lt;&gt;"",VLOOKUP(P912,Constants!$D$3:$E$10,2),"")</f>
        <v/>
      </c>
    </row>
    <row r="913" spans="2:20" x14ac:dyDescent="0.25">
      <c r="B913" s="59"/>
      <c r="C913" s="59"/>
      <c r="D913" s="60"/>
      <c r="E913" s="59"/>
      <c r="F913" s="59"/>
      <c r="G913" s="59"/>
      <c r="H913" s="61"/>
      <c r="I913" s="61"/>
      <c r="J913" s="61"/>
      <c r="K913" s="62"/>
      <c r="L913" s="10" t="str">
        <f t="shared" si="182"/>
        <v/>
      </c>
      <c r="M913" s="10" t="str">
        <f t="shared" si="183"/>
        <v/>
      </c>
      <c r="N913" s="11" t="str">
        <f t="shared" si="184"/>
        <v/>
      </c>
      <c r="O913" s="10" t="str">
        <f t="shared" si="185"/>
        <v/>
      </c>
      <c r="P913" s="12" t="str">
        <f t="shared" si="186"/>
        <v/>
      </c>
      <c r="Q913" s="10" t="str">
        <f t="shared" si="187"/>
        <v/>
      </c>
      <c r="R913" s="13" t="str">
        <f t="shared" si="188"/>
        <v/>
      </c>
      <c r="S913" s="13" t="str">
        <f t="shared" si="189"/>
        <v/>
      </c>
      <c r="T913" s="22" t="str">
        <f>IF(R913&lt;&gt;"",VLOOKUP(P913,Constants!$D$3:$E$10,2),"")</f>
        <v/>
      </c>
    </row>
    <row r="914" spans="2:20" x14ac:dyDescent="0.25">
      <c r="B914" s="59"/>
      <c r="C914" s="59"/>
      <c r="D914" s="60"/>
      <c r="E914" s="59"/>
      <c r="F914" s="59"/>
      <c r="G914" s="59"/>
      <c r="H914" s="61"/>
      <c r="I914" s="61"/>
      <c r="J914" s="61"/>
      <c r="K914" s="62"/>
      <c r="L914" s="10" t="str">
        <f t="shared" ref="L914:L977" si="190">IF($D914&lt;&gt;"",$D914*$E914/1000,"")</f>
        <v/>
      </c>
      <c r="M914" s="10" t="str">
        <f t="shared" ref="M914:M977" si="191">IF($D914&lt;&gt;"",$D914*$F914/1000,"")</f>
        <v/>
      </c>
      <c r="N914" s="11" t="str">
        <f t="shared" ref="N914:N977" si="192">IF($L914&lt;&gt;"",SQRT($L914*$L914+$M914*$M914),"")</f>
        <v/>
      </c>
      <c r="O914" s="10" t="str">
        <f t="shared" si="185"/>
        <v/>
      </c>
      <c r="P914" s="12" t="str">
        <f t="shared" si="186"/>
        <v/>
      </c>
      <c r="Q914" s="10" t="str">
        <f t="shared" si="187"/>
        <v/>
      </c>
      <c r="R914" s="13" t="str">
        <f t="shared" si="188"/>
        <v/>
      </c>
      <c r="S914" s="13" t="str">
        <f t="shared" si="189"/>
        <v/>
      </c>
      <c r="T914" s="22" t="str">
        <f>IF(R914&lt;&gt;"",VLOOKUP(P914,Constants!$D$3:$E$10,2),"")</f>
        <v/>
      </c>
    </row>
    <row r="915" spans="2:20" x14ac:dyDescent="0.25">
      <c r="B915" s="59"/>
      <c r="C915" s="59"/>
      <c r="D915" s="60"/>
      <c r="E915" s="59"/>
      <c r="F915" s="59"/>
      <c r="G915" s="59"/>
      <c r="H915" s="61"/>
      <c r="I915" s="61"/>
      <c r="J915" s="61"/>
      <c r="K915" s="62"/>
      <c r="L915" s="10" t="str">
        <f t="shared" si="190"/>
        <v/>
      </c>
      <c r="M915" s="10" t="str">
        <f t="shared" si="191"/>
        <v/>
      </c>
      <c r="N915" s="11" t="str">
        <f t="shared" si="192"/>
        <v/>
      </c>
      <c r="O915" s="10" t="str">
        <f t="shared" si="185"/>
        <v/>
      </c>
      <c r="P915" s="12" t="str">
        <f t="shared" si="186"/>
        <v/>
      </c>
      <c r="Q915" s="10" t="str">
        <f t="shared" si="187"/>
        <v/>
      </c>
      <c r="R915" s="13" t="str">
        <f t="shared" si="188"/>
        <v/>
      </c>
      <c r="S915" s="13" t="str">
        <f t="shared" si="189"/>
        <v/>
      </c>
      <c r="T915" s="22" t="str">
        <f>IF(R915&lt;&gt;"",VLOOKUP(P915,Constants!$D$3:$E$10,2),"")</f>
        <v/>
      </c>
    </row>
    <row r="916" spans="2:20" x14ac:dyDescent="0.25">
      <c r="B916" s="59"/>
      <c r="C916" s="59"/>
      <c r="D916" s="60"/>
      <c r="E916" s="59"/>
      <c r="F916" s="59"/>
      <c r="G916" s="59"/>
      <c r="H916" s="61"/>
      <c r="I916" s="61"/>
      <c r="J916" s="61"/>
      <c r="K916" s="62"/>
      <c r="L916" s="10" t="str">
        <f t="shared" si="190"/>
        <v/>
      </c>
      <c r="M916" s="10" t="str">
        <f t="shared" si="191"/>
        <v/>
      </c>
      <c r="N916" s="11" t="str">
        <f t="shared" si="192"/>
        <v/>
      </c>
      <c r="O916" s="10" t="str">
        <f t="shared" ref="O916:O979" si="193">IF(D916&lt;&gt;"",1000/(2*D916),"")</f>
        <v/>
      </c>
      <c r="P916" s="12" t="str">
        <f t="shared" ref="P916:P979" si="194">IF($N916&lt;&gt;"",D916*SQRT(E916*E916+F916*F916)/16000,"")</f>
        <v/>
      </c>
      <c r="Q916" s="10" t="str">
        <f t="shared" ref="Q916:Q979" si="195">IF(F916&lt;&gt;"",F916*E916/1000000,"")</f>
        <v/>
      </c>
      <c r="R916" s="13" t="str">
        <f t="shared" ref="R916:R979" si="196">IF(G916&lt;&gt;"",1000/G916,"")</f>
        <v/>
      </c>
      <c r="S916" s="13" t="str">
        <f t="shared" ref="S916:S979" si="197">IF(R916&lt;&gt;"",Q916/R916*1000,"")</f>
        <v/>
      </c>
      <c r="T916" s="22" t="str">
        <f>IF(R916&lt;&gt;"",VLOOKUP(P916,Constants!$D$3:$E$10,2),"")</f>
        <v/>
      </c>
    </row>
    <row r="917" spans="2:20" x14ac:dyDescent="0.25">
      <c r="B917" s="59"/>
      <c r="C917" s="59"/>
      <c r="D917" s="60"/>
      <c r="E917" s="59"/>
      <c r="F917" s="59"/>
      <c r="G917" s="59"/>
      <c r="H917" s="61"/>
      <c r="I917" s="61"/>
      <c r="J917" s="61"/>
      <c r="K917" s="62"/>
      <c r="L917" s="10" t="str">
        <f t="shared" si="190"/>
        <v/>
      </c>
      <c r="M917" s="10" t="str">
        <f t="shared" si="191"/>
        <v/>
      </c>
      <c r="N917" s="11" t="str">
        <f t="shared" si="192"/>
        <v/>
      </c>
      <c r="O917" s="10" t="str">
        <f t="shared" si="193"/>
        <v/>
      </c>
      <c r="P917" s="12" t="str">
        <f t="shared" si="194"/>
        <v/>
      </c>
      <c r="Q917" s="10" t="str">
        <f t="shared" si="195"/>
        <v/>
      </c>
      <c r="R917" s="13" t="str">
        <f t="shared" si="196"/>
        <v/>
      </c>
      <c r="S917" s="13" t="str">
        <f t="shared" si="197"/>
        <v/>
      </c>
      <c r="T917" s="22" t="str">
        <f>IF(R917&lt;&gt;"",VLOOKUP(P917,Constants!$D$3:$E$10,2),"")</f>
        <v/>
      </c>
    </row>
    <row r="918" spans="2:20" x14ac:dyDescent="0.25">
      <c r="B918" s="59"/>
      <c r="C918" s="59"/>
      <c r="D918" s="60"/>
      <c r="E918" s="59"/>
      <c r="F918" s="59"/>
      <c r="G918" s="59"/>
      <c r="H918" s="61"/>
      <c r="I918" s="61"/>
      <c r="J918" s="61"/>
      <c r="K918" s="62"/>
      <c r="L918" s="10" t="str">
        <f t="shared" si="190"/>
        <v/>
      </c>
      <c r="M918" s="10" t="str">
        <f t="shared" si="191"/>
        <v/>
      </c>
      <c r="N918" s="11" t="str">
        <f t="shared" si="192"/>
        <v/>
      </c>
      <c r="O918" s="10" t="str">
        <f t="shared" si="193"/>
        <v/>
      </c>
      <c r="P918" s="12" t="str">
        <f t="shared" si="194"/>
        <v/>
      </c>
      <c r="Q918" s="10" t="str">
        <f t="shared" si="195"/>
        <v/>
      </c>
      <c r="R918" s="13" t="str">
        <f t="shared" si="196"/>
        <v/>
      </c>
      <c r="S918" s="13" t="str">
        <f t="shared" si="197"/>
        <v/>
      </c>
      <c r="T918" s="22" t="str">
        <f>IF(R918&lt;&gt;"",VLOOKUP(P918,Constants!$D$3:$E$10,2),"")</f>
        <v/>
      </c>
    </row>
    <row r="919" spans="2:20" x14ac:dyDescent="0.25">
      <c r="B919" s="59"/>
      <c r="C919" s="59"/>
      <c r="D919" s="60"/>
      <c r="E919" s="59"/>
      <c r="F919" s="59"/>
      <c r="G919" s="59"/>
      <c r="H919" s="61"/>
      <c r="I919" s="61"/>
      <c r="J919" s="61"/>
      <c r="K919" s="62"/>
      <c r="L919" s="10" t="str">
        <f t="shared" si="190"/>
        <v/>
      </c>
      <c r="M919" s="10" t="str">
        <f t="shared" si="191"/>
        <v/>
      </c>
      <c r="N919" s="11" t="str">
        <f t="shared" si="192"/>
        <v/>
      </c>
      <c r="O919" s="10" t="str">
        <f t="shared" si="193"/>
        <v/>
      </c>
      <c r="P919" s="12" t="str">
        <f t="shared" si="194"/>
        <v/>
      </c>
      <c r="Q919" s="10" t="str">
        <f t="shared" si="195"/>
        <v/>
      </c>
      <c r="R919" s="13" t="str">
        <f t="shared" si="196"/>
        <v/>
      </c>
      <c r="S919" s="13" t="str">
        <f t="shared" si="197"/>
        <v/>
      </c>
      <c r="T919" s="22" t="str">
        <f>IF(R919&lt;&gt;"",VLOOKUP(P919,Constants!$D$3:$E$10,2),"")</f>
        <v/>
      </c>
    </row>
    <row r="920" spans="2:20" x14ac:dyDescent="0.25">
      <c r="B920" s="59"/>
      <c r="C920" s="59"/>
      <c r="D920" s="60"/>
      <c r="E920" s="59"/>
      <c r="F920" s="59"/>
      <c r="G920" s="59"/>
      <c r="H920" s="61"/>
      <c r="I920" s="61"/>
      <c r="J920" s="61"/>
      <c r="K920" s="62"/>
      <c r="L920" s="10" t="str">
        <f t="shared" si="190"/>
        <v/>
      </c>
      <c r="M920" s="10" t="str">
        <f t="shared" si="191"/>
        <v/>
      </c>
      <c r="N920" s="11" t="str">
        <f t="shared" si="192"/>
        <v/>
      </c>
      <c r="O920" s="10" t="str">
        <f t="shared" si="193"/>
        <v/>
      </c>
      <c r="P920" s="12" t="str">
        <f t="shared" si="194"/>
        <v/>
      </c>
      <c r="Q920" s="10" t="str">
        <f t="shared" si="195"/>
        <v/>
      </c>
      <c r="R920" s="13" t="str">
        <f t="shared" si="196"/>
        <v/>
      </c>
      <c r="S920" s="13" t="str">
        <f t="shared" si="197"/>
        <v/>
      </c>
      <c r="T920" s="22" t="str">
        <f>IF(R920&lt;&gt;"",VLOOKUP(P920,Constants!$D$3:$E$10,2),"")</f>
        <v/>
      </c>
    </row>
    <row r="921" spans="2:20" x14ac:dyDescent="0.25">
      <c r="B921" s="59"/>
      <c r="C921" s="59"/>
      <c r="D921" s="60"/>
      <c r="E921" s="59"/>
      <c r="F921" s="59"/>
      <c r="G921" s="59"/>
      <c r="H921" s="61"/>
      <c r="I921" s="61"/>
      <c r="J921" s="61"/>
      <c r="K921" s="62"/>
      <c r="L921" s="10" t="str">
        <f t="shared" si="190"/>
        <v/>
      </c>
      <c r="M921" s="10" t="str">
        <f t="shared" si="191"/>
        <v/>
      </c>
      <c r="N921" s="11" t="str">
        <f t="shared" si="192"/>
        <v/>
      </c>
      <c r="O921" s="10" t="str">
        <f t="shared" si="193"/>
        <v/>
      </c>
      <c r="P921" s="12" t="str">
        <f t="shared" si="194"/>
        <v/>
      </c>
      <c r="Q921" s="10" t="str">
        <f t="shared" si="195"/>
        <v/>
      </c>
      <c r="R921" s="13" t="str">
        <f t="shared" si="196"/>
        <v/>
      </c>
      <c r="S921" s="13" t="str">
        <f t="shared" si="197"/>
        <v/>
      </c>
      <c r="T921" s="22" t="str">
        <f>IF(R921&lt;&gt;"",VLOOKUP(P921,Constants!$D$3:$E$10,2),"")</f>
        <v/>
      </c>
    </row>
    <row r="922" spans="2:20" x14ac:dyDescent="0.25">
      <c r="B922" s="59"/>
      <c r="C922" s="59"/>
      <c r="D922" s="60"/>
      <c r="E922" s="59"/>
      <c r="F922" s="59"/>
      <c r="G922" s="59"/>
      <c r="H922" s="61"/>
      <c r="I922" s="61"/>
      <c r="J922" s="61"/>
      <c r="K922" s="62"/>
      <c r="L922" s="10" t="str">
        <f t="shared" si="190"/>
        <v/>
      </c>
      <c r="M922" s="10" t="str">
        <f t="shared" si="191"/>
        <v/>
      </c>
      <c r="N922" s="11" t="str">
        <f t="shared" si="192"/>
        <v/>
      </c>
      <c r="O922" s="10" t="str">
        <f t="shared" si="193"/>
        <v/>
      </c>
      <c r="P922" s="12" t="str">
        <f t="shared" si="194"/>
        <v/>
      </c>
      <c r="Q922" s="10" t="str">
        <f t="shared" si="195"/>
        <v/>
      </c>
      <c r="R922" s="13" t="str">
        <f t="shared" si="196"/>
        <v/>
      </c>
      <c r="S922" s="13" t="str">
        <f t="shared" si="197"/>
        <v/>
      </c>
      <c r="T922" s="22" t="str">
        <f>IF(R922&lt;&gt;"",VLOOKUP(P922,Constants!$D$3:$E$10,2),"")</f>
        <v/>
      </c>
    </row>
    <row r="923" spans="2:20" x14ac:dyDescent="0.25">
      <c r="B923" s="59"/>
      <c r="C923" s="59"/>
      <c r="D923" s="60"/>
      <c r="E923" s="59"/>
      <c r="F923" s="59"/>
      <c r="G923" s="59"/>
      <c r="H923" s="61"/>
      <c r="I923" s="61"/>
      <c r="J923" s="61"/>
      <c r="K923" s="62"/>
      <c r="L923" s="10" t="str">
        <f t="shared" si="190"/>
        <v/>
      </c>
      <c r="M923" s="10" t="str">
        <f t="shared" si="191"/>
        <v/>
      </c>
      <c r="N923" s="11" t="str">
        <f t="shared" si="192"/>
        <v/>
      </c>
      <c r="O923" s="10" t="str">
        <f t="shared" si="193"/>
        <v/>
      </c>
      <c r="P923" s="12" t="str">
        <f t="shared" si="194"/>
        <v/>
      </c>
      <c r="Q923" s="10" t="str">
        <f t="shared" si="195"/>
        <v/>
      </c>
      <c r="R923" s="13" t="str">
        <f t="shared" si="196"/>
        <v/>
      </c>
      <c r="S923" s="13" t="str">
        <f t="shared" si="197"/>
        <v/>
      </c>
      <c r="T923" s="22" t="str">
        <f>IF(R923&lt;&gt;"",VLOOKUP(P923,Constants!$D$3:$E$10,2),"")</f>
        <v/>
      </c>
    </row>
    <row r="924" spans="2:20" x14ac:dyDescent="0.25">
      <c r="B924" s="59"/>
      <c r="C924" s="59"/>
      <c r="D924" s="60"/>
      <c r="E924" s="59"/>
      <c r="F924" s="59"/>
      <c r="G924" s="59"/>
      <c r="H924" s="61"/>
      <c r="I924" s="61"/>
      <c r="J924" s="61"/>
      <c r="K924" s="62"/>
      <c r="L924" s="10" t="str">
        <f t="shared" si="190"/>
        <v/>
      </c>
      <c r="M924" s="10" t="str">
        <f t="shared" si="191"/>
        <v/>
      </c>
      <c r="N924" s="11" t="str">
        <f t="shared" si="192"/>
        <v/>
      </c>
      <c r="O924" s="10" t="str">
        <f t="shared" si="193"/>
        <v/>
      </c>
      <c r="P924" s="12" t="str">
        <f t="shared" si="194"/>
        <v/>
      </c>
      <c r="Q924" s="10" t="str">
        <f t="shared" si="195"/>
        <v/>
      </c>
      <c r="R924" s="13" t="str">
        <f t="shared" si="196"/>
        <v/>
      </c>
      <c r="S924" s="13" t="str">
        <f t="shared" si="197"/>
        <v/>
      </c>
      <c r="T924" s="22" t="str">
        <f>IF(R924&lt;&gt;"",VLOOKUP(P924,Constants!$D$3:$E$10,2),"")</f>
        <v/>
      </c>
    </row>
    <row r="925" spans="2:20" x14ac:dyDescent="0.25">
      <c r="B925" s="59"/>
      <c r="C925" s="59"/>
      <c r="D925" s="60"/>
      <c r="E925" s="59"/>
      <c r="F925" s="59"/>
      <c r="G925" s="59"/>
      <c r="H925" s="61"/>
      <c r="I925" s="61"/>
      <c r="J925" s="61"/>
      <c r="K925" s="62"/>
      <c r="L925" s="10" t="str">
        <f t="shared" si="190"/>
        <v/>
      </c>
      <c r="M925" s="10" t="str">
        <f t="shared" si="191"/>
        <v/>
      </c>
      <c r="N925" s="11" t="str">
        <f t="shared" si="192"/>
        <v/>
      </c>
      <c r="O925" s="10" t="str">
        <f t="shared" si="193"/>
        <v/>
      </c>
      <c r="P925" s="12" t="str">
        <f t="shared" si="194"/>
        <v/>
      </c>
      <c r="Q925" s="10" t="str">
        <f t="shared" si="195"/>
        <v/>
      </c>
      <c r="R925" s="13" t="str">
        <f t="shared" si="196"/>
        <v/>
      </c>
      <c r="S925" s="13" t="str">
        <f t="shared" si="197"/>
        <v/>
      </c>
      <c r="T925" s="22" t="str">
        <f>IF(R925&lt;&gt;"",VLOOKUP(P925,Constants!$D$3:$E$10,2),"")</f>
        <v/>
      </c>
    </row>
    <row r="926" spans="2:20" x14ac:dyDescent="0.25">
      <c r="B926" s="59"/>
      <c r="C926" s="59"/>
      <c r="D926" s="60"/>
      <c r="E926" s="59"/>
      <c r="F926" s="59"/>
      <c r="G926" s="59"/>
      <c r="H926" s="61"/>
      <c r="I926" s="61"/>
      <c r="J926" s="61"/>
      <c r="K926" s="62"/>
      <c r="L926" s="10" t="str">
        <f t="shared" si="190"/>
        <v/>
      </c>
      <c r="M926" s="10" t="str">
        <f t="shared" si="191"/>
        <v/>
      </c>
      <c r="N926" s="11" t="str">
        <f t="shared" si="192"/>
        <v/>
      </c>
      <c r="O926" s="10" t="str">
        <f t="shared" si="193"/>
        <v/>
      </c>
      <c r="P926" s="12" t="str">
        <f t="shared" si="194"/>
        <v/>
      </c>
      <c r="Q926" s="10" t="str">
        <f t="shared" si="195"/>
        <v/>
      </c>
      <c r="R926" s="13" t="str">
        <f t="shared" si="196"/>
        <v/>
      </c>
      <c r="S926" s="13" t="str">
        <f t="shared" si="197"/>
        <v/>
      </c>
      <c r="T926" s="22" t="str">
        <f>IF(R926&lt;&gt;"",VLOOKUP(P926,Constants!$D$3:$E$10,2),"")</f>
        <v/>
      </c>
    </row>
    <row r="927" spans="2:20" x14ac:dyDescent="0.25">
      <c r="B927" s="59"/>
      <c r="C927" s="59"/>
      <c r="D927" s="60"/>
      <c r="E927" s="59"/>
      <c r="F927" s="59"/>
      <c r="G927" s="59"/>
      <c r="H927" s="61"/>
      <c r="I927" s="61"/>
      <c r="J927" s="61"/>
      <c r="K927" s="62"/>
      <c r="L927" s="10" t="str">
        <f t="shared" si="190"/>
        <v/>
      </c>
      <c r="M927" s="10" t="str">
        <f t="shared" si="191"/>
        <v/>
      </c>
      <c r="N927" s="11" t="str">
        <f t="shared" si="192"/>
        <v/>
      </c>
      <c r="O927" s="10" t="str">
        <f t="shared" si="193"/>
        <v/>
      </c>
      <c r="P927" s="12" t="str">
        <f t="shared" si="194"/>
        <v/>
      </c>
      <c r="Q927" s="10" t="str">
        <f t="shared" si="195"/>
        <v/>
      </c>
      <c r="R927" s="13" t="str">
        <f t="shared" si="196"/>
        <v/>
      </c>
      <c r="S927" s="13" t="str">
        <f t="shared" si="197"/>
        <v/>
      </c>
      <c r="T927" s="22" t="str">
        <f>IF(R927&lt;&gt;"",VLOOKUP(P927,Constants!$D$3:$E$10,2),"")</f>
        <v/>
      </c>
    </row>
    <row r="928" spans="2:20" x14ac:dyDescent="0.25">
      <c r="B928" s="59"/>
      <c r="C928" s="59"/>
      <c r="D928" s="60"/>
      <c r="E928" s="59"/>
      <c r="F928" s="59"/>
      <c r="G928" s="59"/>
      <c r="H928" s="61"/>
      <c r="I928" s="61"/>
      <c r="J928" s="61"/>
      <c r="K928" s="62"/>
      <c r="L928" s="10" t="str">
        <f t="shared" si="190"/>
        <v/>
      </c>
      <c r="M928" s="10" t="str">
        <f t="shared" si="191"/>
        <v/>
      </c>
      <c r="N928" s="11" t="str">
        <f t="shared" si="192"/>
        <v/>
      </c>
      <c r="O928" s="10" t="str">
        <f t="shared" si="193"/>
        <v/>
      </c>
      <c r="P928" s="12" t="str">
        <f t="shared" si="194"/>
        <v/>
      </c>
      <c r="Q928" s="10" t="str">
        <f t="shared" si="195"/>
        <v/>
      </c>
      <c r="R928" s="13" t="str">
        <f t="shared" si="196"/>
        <v/>
      </c>
      <c r="S928" s="13" t="str">
        <f t="shared" si="197"/>
        <v/>
      </c>
      <c r="T928" s="22" t="str">
        <f>IF(R928&lt;&gt;"",VLOOKUP(P928,Constants!$D$3:$E$10,2),"")</f>
        <v/>
      </c>
    </row>
    <row r="929" spans="2:20" x14ac:dyDescent="0.25">
      <c r="B929" s="59"/>
      <c r="C929" s="59"/>
      <c r="D929" s="60"/>
      <c r="E929" s="59"/>
      <c r="F929" s="59"/>
      <c r="G929" s="59"/>
      <c r="H929" s="61"/>
      <c r="I929" s="61"/>
      <c r="J929" s="61"/>
      <c r="K929" s="62"/>
      <c r="L929" s="10" t="str">
        <f t="shared" si="190"/>
        <v/>
      </c>
      <c r="M929" s="10" t="str">
        <f t="shared" si="191"/>
        <v/>
      </c>
      <c r="N929" s="11" t="str">
        <f t="shared" si="192"/>
        <v/>
      </c>
      <c r="O929" s="10" t="str">
        <f t="shared" si="193"/>
        <v/>
      </c>
      <c r="P929" s="12" t="str">
        <f t="shared" si="194"/>
        <v/>
      </c>
      <c r="Q929" s="10" t="str">
        <f t="shared" si="195"/>
        <v/>
      </c>
      <c r="R929" s="13" t="str">
        <f t="shared" si="196"/>
        <v/>
      </c>
      <c r="S929" s="13" t="str">
        <f t="shared" si="197"/>
        <v/>
      </c>
      <c r="T929" s="22" t="str">
        <f>IF(R929&lt;&gt;"",VLOOKUP(P929,Constants!$D$3:$E$10,2),"")</f>
        <v/>
      </c>
    </row>
    <row r="930" spans="2:20" x14ac:dyDescent="0.25">
      <c r="B930" s="59"/>
      <c r="C930" s="59"/>
      <c r="D930" s="60"/>
      <c r="E930" s="59"/>
      <c r="F930" s="59"/>
      <c r="G930" s="59"/>
      <c r="H930" s="61"/>
      <c r="I930" s="61"/>
      <c r="J930" s="61"/>
      <c r="K930" s="62"/>
      <c r="L930" s="10" t="str">
        <f t="shared" si="190"/>
        <v/>
      </c>
      <c r="M930" s="10" t="str">
        <f t="shared" si="191"/>
        <v/>
      </c>
      <c r="N930" s="11" t="str">
        <f t="shared" si="192"/>
        <v/>
      </c>
      <c r="O930" s="10" t="str">
        <f t="shared" si="193"/>
        <v/>
      </c>
      <c r="P930" s="12" t="str">
        <f t="shared" si="194"/>
        <v/>
      </c>
      <c r="Q930" s="10" t="str">
        <f t="shared" si="195"/>
        <v/>
      </c>
      <c r="R930" s="13" t="str">
        <f t="shared" si="196"/>
        <v/>
      </c>
      <c r="S930" s="13" t="str">
        <f t="shared" si="197"/>
        <v/>
      </c>
      <c r="T930" s="22" t="str">
        <f>IF(R930&lt;&gt;"",VLOOKUP(P930,Constants!$D$3:$E$10,2),"")</f>
        <v/>
      </c>
    </row>
    <row r="931" spans="2:20" x14ac:dyDescent="0.25">
      <c r="B931" s="59"/>
      <c r="C931" s="59"/>
      <c r="D931" s="60"/>
      <c r="E931" s="59"/>
      <c r="F931" s="59"/>
      <c r="G931" s="59"/>
      <c r="H931" s="61"/>
      <c r="I931" s="61"/>
      <c r="J931" s="61"/>
      <c r="K931" s="62"/>
      <c r="L931" s="10" t="str">
        <f t="shared" si="190"/>
        <v/>
      </c>
      <c r="M931" s="10" t="str">
        <f t="shared" si="191"/>
        <v/>
      </c>
      <c r="N931" s="11" t="str">
        <f t="shared" si="192"/>
        <v/>
      </c>
      <c r="O931" s="10" t="str">
        <f t="shared" si="193"/>
        <v/>
      </c>
      <c r="P931" s="12" t="str">
        <f t="shared" si="194"/>
        <v/>
      </c>
      <c r="Q931" s="10" t="str">
        <f t="shared" si="195"/>
        <v/>
      </c>
      <c r="R931" s="13" t="str">
        <f t="shared" si="196"/>
        <v/>
      </c>
      <c r="S931" s="13" t="str">
        <f t="shared" si="197"/>
        <v/>
      </c>
      <c r="T931" s="22" t="str">
        <f>IF(R931&lt;&gt;"",VLOOKUP(P931,Constants!$D$3:$E$10,2),"")</f>
        <v/>
      </c>
    </row>
    <row r="932" spans="2:20" x14ac:dyDescent="0.25">
      <c r="B932" s="59"/>
      <c r="C932" s="59"/>
      <c r="D932" s="60"/>
      <c r="E932" s="59"/>
      <c r="F932" s="59"/>
      <c r="G932" s="59"/>
      <c r="H932" s="61"/>
      <c r="I932" s="61"/>
      <c r="J932" s="61"/>
      <c r="K932" s="62"/>
      <c r="L932" s="10" t="str">
        <f t="shared" si="190"/>
        <v/>
      </c>
      <c r="M932" s="10" t="str">
        <f t="shared" si="191"/>
        <v/>
      </c>
      <c r="N932" s="11" t="str">
        <f t="shared" si="192"/>
        <v/>
      </c>
      <c r="O932" s="10" t="str">
        <f t="shared" si="193"/>
        <v/>
      </c>
      <c r="P932" s="12" t="str">
        <f t="shared" si="194"/>
        <v/>
      </c>
      <c r="Q932" s="10" t="str">
        <f t="shared" si="195"/>
        <v/>
      </c>
      <c r="R932" s="13" t="str">
        <f t="shared" si="196"/>
        <v/>
      </c>
      <c r="S932" s="13" t="str">
        <f t="shared" si="197"/>
        <v/>
      </c>
      <c r="T932" s="22" t="str">
        <f>IF(R932&lt;&gt;"",VLOOKUP(P932,Constants!$D$3:$E$10,2),"")</f>
        <v/>
      </c>
    </row>
    <row r="933" spans="2:20" x14ac:dyDescent="0.25">
      <c r="B933" s="59"/>
      <c r="C933" s="59"/>
      <c r="D933" s="60"/>
      <c r="E933" s="59"/>
      <c r="F933" s="59"/>
      <c r="G933" s="59"/>
      <c r="H933" s="61"/>
      <c r="I933" s="61"/>
      <c r="J933" s="61"/>
      <c r="K933" s="62"/>
      <c r="L933" s="10" t="str">
        <f t="shared" si="190"/>
        <v/>
      </c>
      <c r="M933" s="10" t="str">
        <f t="shared" si="191"/>
        <v/>
      </c>
      <c r="N933" s="11" t="str">
        <f t="shared" si="192"/>
        <v/>
      </c>
      <c r="O933" s="10" t="str">
        <f t="shared" si="193"/>
        <v/>
      </c>
      <c r="P933" s="12" t="str">
        <f t="shared" si="194"/>
        <v/>
      </c>
      <c r="Q933" s="10" t="str">
        <f t="shared" si="195"/>
        <v/>
      </c>
      <c r="R933" s="13" t="str">
        <f t="shared" si="196"/>
        <v/>
      </c>
      <c r="S933" s="13" t="str">
        <f t="shared" si="197"/>
        <v/>
      </c>
      <c r="T933" s="22" t="str">
        <f>IF(R933&lt;&gt;"",VLOOKUP(P933,Constants!$D$3:$E$10,2),"")</f>
        <v/>
      </c>
    </row>
    <row r="934" spans="2:20" x14ac:dyDescent="0.25">
      <c r="B934" s="59"/>
      <c r="C934" s="59"/>
      <c r="D934" s="60"/>
      <c r="E934" s="59"/>
      <c r="F934" s="59"/>
      <c r="G934" s="59"/>
      <c r="H934" s="61"/>
      <c r="I934" s="61"/>
      <c r="J934" s="61"/>
      <c r="K934" s="62"/>
      <c r="L934" s="10" t="str">
        <f t="shared" si="190"/>
        <v/>
      </c>
      <c r="M934" s="10" t="str">
        <f t="shared" si="191"/>
        <v/>
      </c>
      <c r="N934" s="11" t="str">
        <f t="shared" si="192"/>
        <v/>
      </c>
      <c r="O934" s="10" t="str">
        <f t="shared" si="193"/>
        <v/>
      </c>
      <c r="P934" s="12" t="str">
        <f t="shared" si="194"/>
        <v/>
      </c>
      <c r="Q934" s="10" t="str">
        <f t="shared" si="195"/>
        <v/>
      </c>
      <c r="R934" s="13" t="str">
        <f t="shared" si="196"/>
        <v/>
      </c>
      <c r="S934" s="13" t="str">
        <f t="shared" si="197"/>
        <v/>
      </c>
      <c r="T934" s="22" t="str">
        <f>IF(R934&lt;&gt;"",VLOOKUP(P934,Constants!$D$3:$E$10,2),"")</f>
        <v/>
      </c>
    </row>
    <row r="935" spans="2:20" x14ac:dyDescent="0.25">
      <c r="B935" s="59"/>
      <c r="C935" s="59"/>
      <c r="D935" s="60"/>
      <c r="E935" s="59"/>
      <c r="F935" s="59"/>
      <c r="G935" s="59"/>
      <c r="H935" s="61"/>
      <c r="I935" s="61"/>
      <c r="J935" s="61"/>
      <c r="K935" s="62"/>
      <c r="L935" s="10" t="str">
        <f t="shared" si="190"/>
        <v/>
      </c>
      <c r="M935" s="10" t="str">
        <f t="shared" si="191"/>
        <v/>
      </c>
      <c r="N935" s="11" t="str">
        <f t="shared" si="192"/>
        <v/>
      </c>
      <c r="O935" s="10" t="str">
        <f t="shared" si="193"/>
        <v/>
      </c>
      <c r="P935" s="12" t="str">
        <f t="shared" si="194"/>
        <v/>
      </c>
      <c r="Q935" s="10" t="str">
        <f t="shared" si="195"/>
        <v/>
      </c>
      <c r="R935" s="13" t="str">
        <f t="shared" si="196"/>
        <v/>
      </c>
      <c r="S935" s="13" t="str">
        <f t="shared" si="197"/>
        <v/>
      </c>
      <c r="T935" s="22" t="str">
        <f>IF(R935&lt;&gt;"",VLOOKUP(P935,Constants!$D$3:$E$10,2),"")</f>
        <v/>
      </c>
    </row>
    <row r="936" spans="2:20" x14ac:dyDescent="0.25">
      <c r="B936" s="59"/>
      <c r="C936" s="59"/>
      <c r="D936" s="60"/>
      <c r="E936" s="59"/>
      <c r="F936" s="59"/>
      <c r="G936" s="59"/>
      <c r="H936" s="61"/>
      <c r="I936" s="61"/>
      <c r="J936" s="61"/>
      <c r="K936" s="62"/>
      <c r="L936" s="10" t="str">
        <f t="shared" si="190"/>
        <v/>
      </c>
      <c r="M936" s="10" t="str">
        <f t="shared" si="191"/>
        <v/>
      </c>
      <c r="N936" s="11" t="str">
        <f t="shared" si="192"/>
        <v/>
      </c>
      <c r="O936" s="10" t="str">
        <f t="shared" si="193"/>
        <v/>
      </c>
      <c r="P936" s="12" t="str">
        <f t="shared" si="194"/>
        <v/>
      </c>
      <c r="Q936" s="10" t="str">
        <f t="shared" si="195"/>
        <v/>
      </c>
      <c r="R936" s="13" t="str">
        <f t="shared" si="196"/>
        <v/>
      </c>
      <c r="S936" s="13" t="str">
        <f t="shared" si="197"/>
        <v/>
      </c>
      <c r="T936" s="22" t="str">
        <f>IF(R936&lt;&gt;"",VLOOKUP(P936,Constants!$D$3:$E$10,2),"")</f>
        <v/>
      </c>
    </row>
    <row r="937" spans="2:20" x14ac:dyDescent="0.25">
      <c r="B937" s="59"/>
      <c r="C937" s="59"/>
      <c r="D937" s="60"/>
      <c r="E937" s="59"/>
      <c r="F937" s="59"/>
      <c r="G937" s="59"/>
      <c r="H937" s="61"/>
      <c r="I937" s="61"/>
      <c r="J937" s="61"/>
      <c r="K937" s="62"/>
      <c r="L937" s="10" t="str">
        <f t="shared" si="190"/>
        <v/>
      </c>
      <c r="M937" s="10" t="str">
        <f t="shared" si="191"/>
        <v/>
      </c>
      <c r="N937" s="11" t="str">
        <f t="shared" si="192"/>
        <v/>
      </c>
      <c r="O937" s="10" t="str">
        <f t="shared" si="193"/>
        <v/>
      </c>
      <c r="P937" s="12" t="str">
        <f t="shared" si="194"/>
        <v/>
      </c>
      <c r="Q937" s="10" t="str">
        <f t="shared" si="195"/>
        <v/>
      </c>
      <c r="R937" s="13" t="str">
        <f t="shared" si="196"/>
        <v/>
      </c>
      <c r="S937" s="13" t="str">
        <f t="shared" si="197"/>
        <v/>
      </c>
      <c r="T937" s="22" t="str">
        <f>IF(R937&lt;&gt;"",VLOOKUP(P937,Constants!$D$3:$E$10,2),"")</f>
        <v/>
      </c>
    </row>
    <row r="938" spans="2:20" x14ac:dyDescent="0.25">
      <c r="B938" s="59"/>
      <c r="C938" s="59"/>
      <c r="D938" s="60"/>
      <c r="E938" s="59"/>
      <c r="F938" s="59"/>
      <c r="G938" s="59"/>
      <c r="H938" s="61"/>
      <c r="I938" s="61"/>
      <c r="J938" s="61"/>
      <c r="K938" s="62"/>
      <c r="L938" s="10" t="str">
        <f t="shared" si="190"/>
        <v/>
      </c>
      <c r="M938" s="10" t="str">
        <f t="shared" si="191"/>
        <v/>
      </c>
      <c r="N938" s="11" t="str">
        <f t="shared" si="192"/>
        <v/>
      </c>
      <c r="O938" s="10" t="str">
        <f t="shared" si="193"/>
        <v/>
      </c>
      <c r="P938" s="12" t="str">
        <f t="shared" si="194"/>
        <v/>
      </c>
      <c r="Q938" s="10" t="str">
        <f t="shared" si="195"/>
        <v/>
      </c>
      <c r="R938" s="13" t="str">
        <f t="shared" si="196"/>
        <v/>
      </c>
      <c r="S938" s="13" t="str">
        <f t="shared" si="197"/>
        <v/>
      </c>
      <c r="T938" s="22" t="str">
        <f>IF(R938&lt;&gt;"",VLOOKUP(P938,Constants!$D$3:$E$10,2),"")</f>
        <v/>
      </c>
    </row>
    <row r="939" spans="2:20" x14ac:dyDescent="0.25">
      <c r="B939" s="59"/>
      <c r="C939" s="59"/>
      <c r="D939" s="60"/>
      <c r="E939" s="59"/>
      <c r="F939" s="59"/>
      <c r="G939" s="59"/>
      <c r="H939" s="61"/>
      <c r="I939" s="61"/>
      <c r="J939" s="61"/>
      <c r="K939" s="62"/>
      <c r="L939" s="10" t="str">
        <f t="shared" si="190"/>
        <v/>
      </c>
      <c r="M939" s="10" t="str">
        <f t="shared" si="191"/>
        <v/>
      </c>
      <c r="N939" s="11" t="str">
        <f t="shared" si="192"/>
        <v/>
      </c>
      <c r="O939" s="10" t="str">
        <f t="shared" si="193"/>
        <v/>
      </c>
      <c r="P939" s="12" t="str">
        <f t="shared" si="194"/>
        <v/>
      </c>
      <c r="Q939" s="10" t="str">
        <f t="shared" si="195"/>
        <v/>
      </c>
      <c r="R939" s="13" t="str">
        <f t="shared" si="196"/>
        <v/>
      </c>
      <c r="S939" s="13" t="str">
        <f t="shared" si="197"/>
        <v/>
      </c>
      <c r="T939" s="22" t="str">
        <f>IF(R939&lt;&gt;"",VLOOKUP(P939,Constants!$D$3:$E$10,2),"")</f>
        <v/>
      </c>
    </row>
    <row r="940" spans="2:20" x14ac:dyDescent="0.25">
      <c r="B940" s="59"/>
      <c r="C940" s="59"/>
      <c r="D940" s="60"/>
      <c r="E940" s="59"/>
      <c r="F940" s="59"/>
      <c r="G940" s="59"/>
      <c r="H940" s="61"/>
      <c r="I940" s="61"/>
      <c r="J940" s="61"/>
      <c r="K940" s="62"/>
      <c r="L940" s="10" t="str">
        <f t="shared" si="190"/>
        <v/>
      </c>
      <c r="M940" s="10" t="str">
        <f t="shared" si="191"/>
        <v/>
      </c>
      <c r="N940" s="11" t="str">
        <f t="shared" si="192"/>
        <v/>
      </c>
      <c r="O940" s="10" t="str">
        <f t="shared" si="193"/>
        <v/>
      </c>
      <c r="P940" s="12" t="str">
        <f t="shared" si="194"/>
        <v/>
      </c>
      <c r="Q940" s="10" t="str">
        <f t="shared" si="195"/>
        <v/>
      </c>
      <c r="R940" s="13" t="str">
        <f t="shared" si="196"/>
        <v/>
      </c>
      <c r="S940" s="13" t="str">
        <f t="shared" si="197"/>
        <v/>
      </c>
      <c r="T940" s="22" t="str">
        <f>IF(R940&lt;&gt;"",VLOOKUP(P940,Constants!$D$3:$E$10,2),"")</f>
        <v/>
      </c>
    </row>
    <row r="941" spans="2:20" x14ac:dyDescent="0.25">
      <c r="B941" s="59"/>
      <c r="C941" s="59"/>
      <c r="D941" s="60"/>
      <c r="E941" s="59"/>
      <c r="F941" s="59"/>
      <c r="G941" s="59"/>
      <c r="H941" s="61"/>
      <c r="I941" s="61"/>
      <c r="J941" s="61"/>
      <c r="K941" s="62"/>
      <c r="L941" s="10" t="str">
        <f t="shared" si="190"/>
        <v/>
      </c>
      <c r="M941" s="10" t="str">
        <f t="shared" si="191"/>
        <v/>
      </c>
      <c r="N941" s="11" t="str">
        <f t="shared" si="192"/>
        <v/>
      </c>
      <c r="O941" s="10" t="str">
        <f t="shared" si="193"/>
        <v/>
      </c>
      <c r="P941" s="12" t="str">
        <f t="shared" si="194"/>
        <v/>
      </c>
      <c r="Q941" s="10" t="str">
        <f t="shared" si="195"/>
        <v/>
      </c>
      <c r="R941" s="13" t="str">
        <f t="shared" si="196"/>
        <v/>
      </c>
      <c r="S941" s="13" t="str">
        <f t="shared" si="197"/>
        <v/>
      </c>
      <c r="T941" s="22" t="str">
        <f>IF(R941&lt;&gt;"",VLOOKUP(P941,Constants!$D$3:$E$10,2),"")</f>
        <v/>
      </c>
    </row>
    <row r="942" spans="2:20" x14ac:dyDescent="0.25">
      <c r="B942" s="59"/>
      <c r="C942" s="59"/>
      <c r="D942" s="60"/>
      <c r="E942" s="59"/>
      <c r="F942" s="59"/>
      <c r="G942" s="59"/>
      <c r="H942" s="61"/>
      <c r="I942" s="61"/>
      <c r="J942" s="61"/>
      <c r="K942" s="62"/>
      <c r="L942" s="10" t="str">
        <f t="shared" si="190"/>
        <v/>
      </c>
      <c r="M942" s="10" t="str">
        <f t="shared" si="191"/>
        <v/>
      </c>
      <c r="N942" s="11" t="str">
        <f t="shared" si="192"/>
        <v/>
      </c>
      <c r="O942" s="10" t="str">
        <f t="shared" si="193"/>
        <v/>
      </c>
      <c r="P942" s="12" t="str">
        <f t="shared" si="194"/>
        <v/>
      </c>
      <c r="Q942" s="10" t="str">
        <f t="shared" si="195"/>
        <v/>
      </c>
      <c r="R942" s="13" t="str">
        <f t="shared" si="196"/>
        <v/>
      </c>
      <c r="S942" s="13" t="str">
        <f t="shared" si="197"/>
        <v/>
      </c>
      <c r="T942" s="22" t="str">
        <f>IF(R942&lt;&gt;"",VLOOKUP(P942,Constants!$D$3:$E$10,2),"")</f>
        <v/>
      </c>
    </row>
    <row r="943" spans="2:20" x14ac:dyDescent="0.25">
      <c r="B943" s="59"/>
      <c r="C943" s="59"/>
      <c r="D943" s="60"/>
      <c r="E943" s="59"/>
      <c r="F943" s="59"/>
      <c r="G943" s="59"/>
      <c r="H943" s="61"/>
      <c r="I943" s="61"/>
      <c r="J943" s="61"/>
      <c r="K943" s="62"/>
      <c r="L943" s="10" t="str">
        <f t="shared" si="190"/>
        <v/>
      </c>
      <c r="M943" s="10" t="str">
        <f t="shared" si="191"/>
        <v/>
      </c>
      <c r="N943" s="11" t="str">
        <f t="shared" si="192"/>
        <v/>
      </c>
      <c r="O943" s="10" t="str">
        <f t="shared" si="193"/>
        <v/>
      </c>
      <c r="P943" s="12" t="str">
        <f t="shared" si="194"/>
        <v/>
      </c>
      <c r="Q943" s="10" t="str">
        <f t="shared" si="195"/>
        <v/>
      </c>
      <c r="R943" s="13" t="str">
        <f t="shared" si="196"/>
        <v/>
      </c>
      <c r="S943" s="13" t="str">
        <f t="shared" si="197"/>
        <v/>
      </c>
      <c r="T943" s="22" t="str">
        <f>IF(R943&lt;&gt;"",VLOOKUP(P943,Constants!$D$3:$E$10,2),"")</f>
        <v/>
      </c>
    </row>
    <row r="944" spans="2:20" x14ac:dyDescent="0.25">
      <c r="B944" s="59"/>
      <c r="C944" s="59"/>
      <c r="D944" s="60"/>
      <c r="E944" s="59"/>
      <c r="F944" s="59"/>
      <c r="G944" s="59"/>
      <c r="H944" s="61"/>
      <c r="I944" s="61"/>
      <c r="J944" s="61"/>
      <c r="K944" s="62"/>
      <c r="L944" s="10" t="str">
        <f t="shared" si="190"/>
        <v/>
      </c>
      <c r="M944" s="10" t="str">
        <f t="shared" si="191"/>
        <v/>
      </c>
      <c r="N944" s="11" t="str">
        <f t="shared" si="192"/>
        <v/>
      </c>
      <c r="O944" s="10" t="str">
        <f t="shared" si="193"/>
        <v/>
      </c>
      <c r="P944" s="12" t="str">
        <f t="shared" si="194"/>
        <v/>
      </c>
      <c r="Q944" s="10" t="str">
        <f t="shared" si="195"/>
        <v/>
      </c>
      <c r="R944" s="13" t="str">
        <f t="shared" si="196"/>
        <v/>
      </c>
      <c r="S944" s="13" t="str">
        <f t="shared" si="197"/>
        <v/>
      </c>
      <c r="T944" s="22" t="str">
        <f>IF(R944&lt;&gt;"",VLOOKUP(P944,Constants!$D$3:$E$10,2),"")</f>
        <v/>
      </c>
    </row>
    <row r="945" spans="2:20" x14ac:dyDescent="0.25">
      <c r="B945" s="59"/>
      <c r="C945" s="59"/>
      <c r="D945" s="60"/>
      <c r="E945" s="59"/>
      <c r="F945" s="59"/>
      <c r="G945" s="59"/>
      <c r="H945" s="61"/>
      <c r="I945" s="61"/>
      <c r="J945" s="61"/>
      <c r="K945" s="62"/>
      <c r="L945" s="10" t="str">
        <f t="shared" si="190"/>
        <v/>
      </c>
      <c r="M945" s="10" t="str">
        <f t="shared" si="191"/>
        <v/>
      </c>
      <c r="N945" s="11" t="str">
        <f t="shared" si="192"/>
        <v/>
      </c>
      <c r="O945" s="10" t="str">
        <f t="shared" si="193"/>
        <v/>
      </c>
      <c r="P945" s="12" t="str">
        <f t="shared" si="194"/>
        <v/>
      </c>
      <c r="Q945" s="10" t="str">
        <f t="shared" si="195"/>
        <v/>
      </c>
      <c r="R945" s="13" t="str">
        <f t="shared" si="196"/>
        <v/>
      </c>
      <c r="S945" s="13" t="str">
        <f t="shared" si="197"/>
        <v/>
      </c>
      <c r="T945" s="22" t="str">
        <f>IF(R945&lt;&gt;"",VLOOKUP(P945,Constants!$D$3:$E$10,2),"")</f>
        <v/>
      </c>
    </row>
    <row r="946" spans="2:20" x14ac:dyDescent="0.25">
      <c r="B946" s="59"/>
      <c r="C946" s="59"/>
      <c r="D946" s="60"/>
      <c r="E946" s="59"/>
      <c r="F946" s="59"/>
      <c r="G946" s="59"/>
      <c r="H946" s="61"/>
      <c r="I946" s="61"/>
      <c r="J946" s="61"/>
      <c r="K946" s="62"/>
      <c r="L946" s="10" t="str">
        <f t="shared" si="190"/>
        <v/>
      </c>
      <c r="M946" s="10" t="str">
        <f t="shared" si="191"/>
        <v/>
      </c>
      <c r="N946" s="11" t="str">
        <f t="shared" si="192"/>
        <v/>
      </c>
      <c r="O946" s="10" t="str">
        <f t="shared" si="193"/>
        <v/>
      </c>
      <c r="P946" s="12" t="str">
        <f t="shared" si="194"/>
        <v/>
      </c>
      <c r="Q946" s="10" t="str">
        <f t="shared" si="195"/>
        <v/>
      </c>
      <c r="R946" s="13" t="str">
        <f t="shared" si="196"/>
        <v/>
      </c>
      <c r="S946" s="13" t="str">
        <f t="shared" si="197"/>
        <v/>
      </c>
      <c r="T946" s="22" t="str">
        <f>IF(R946&lt;&gt;"",VLOOKUP(P946,Constants!$D$3:$E$10,2),"")</f>
        <v/>
      </c>
    </row>
    <row r="947" spans="2:20" x14ac:dyDescent="0.25">
      <c r="B947" s="59"/>
      <c r="C947" s="59"/>
      <c r="D947" s="60"/>
      <c r="E947" s="59"/>
      <c r="F947" s="59"/>
      <c r="G947" s="59"/>
      <c r="H947" s="61"/>
      <c r="I947" s="61"/>
      <c r="J947" s="61"/>
      <c r="K947" s="62"/>
      <c r="L947" s="10" t="str">
        <f t="shared" si="190"/>
        <v/>
      </c>
      <c r="M947" s="10" t="str">
        <f t="shared" si="191"/>
        <v/>
      </c>
      <c r="N947" s="11" t="str">
        <f t="shared" si="192"/>
        <v/>
      </c>
      <c r="O947" s="10" t="str">
        <f t="shared" si="193"/>
        <v/>
      </c>
      <c r="P947" s="12" t="str">
        <f t="shared" si="194"/>
        <v/>
      </c>
      <c r="Q947" s="10" t="str">
        <f t="shared" si="195"/>
        <v/>
      </c>
      <c r="R947" s="13" t="str">
        <f t="shared" si="196"/>
        <v/>
      </c>
      <c r="S947" s="13" t="str">
        <f t="shared" si="197"/>
        <v/>
      </c>
      <c r="T947" s="22" t="str">
        <f>IF(R947&lt;&gt;"",VLOOKUP(P947,Constants!$D$3:$E$10,2),"")</f>
        <v/>
      </c>
    </row>
    <row r="948" spans="2:20" x14ac:dyDescent="0.25">
      <c r="B948" s="59"/>
      <c r="C948" s="59"/>
      <c r="D948" s="60"/>
      <c r="E948" s="59"/>
      <c r="F948" s="59"/>
      <c r="G948" s="59"/>
      <c r="H948" s="61"/>
      <c r="I948" s="61"/>
      <c r="J948" s="61"/>
      <c r="K948" s="62"/>
      <c r="L948" s="10" t="str">
        <f t="shared" si="190"/>
        <v/>
      </c>
      <c r="M948" s="10" t="str">
        <f t="shared" si="191"/>
        <v/>
      </c>
      <c r="N948" s="11" t="str">
        <f t="shared" si="192"/>
        <v/>
      </c>
      <c r="O948" s="10" t="str">
        <f t="shared" si="193"/>
        <v/>
      </c>
      <c r="P948" s="12" t="str">
        <f t="shared" si="194"/>
        <v/>
      </c>
      <c r="Q948" s="10" t="str">
        <f t="shared" si="195"/>
        <v/>
      </c>
      <c r="R948" s="13" t="str">
        <f t="shared" si="196"/>
        <v/>
      </c>
      <c r="S948" s="13" t="str">
        <f t="shared" si="197"/>
        <v/>
      </c>
      <c r="T948" s="22" t="str">
        <f>IF(R948&lt;&gt;"",VLOOKUP(P948,Constants!$D$3:$E$10,2),"")</f>
        <v/>
      </c>
    </row>
    <row r="949" spans="2:20" x14ac:dyDescent="0.25">
      <c r="B949" s="59"/>
      <c r="C949" s="59"/>
      <c r="D949" s="60"/>
      <c r="E949" s="59"/>
      <c r="F949" s="59"/>
      <c r="G949" s="59"/>
      <c r="H949" s="61"/>
      <c r="I949" s="61"/>
      <c r="J949" s="61"/>
      <c r="K949" s="62"/>
      <c r="L949" s="10" t="str">
        <f t="shared" si="190"/>
        <v/>
      </c>
      <c r="M949" s="10" t="str">
        <f t="shared" si="191"/>
        <v/>
      </c>
      <c r="N949" s="11" t="str">
        <f t="shared" si="192"/>
        <v/>
      </c>
      <c r="O949" s="10" t="str">
        <f t="shared" si="193"/>
        <v/>
      </c>
      <c r="P949" s="12" t="str">
        <f t="shared" si="194"/>
        <v/>
      </c>
      <c r="Q949" s="10" t="str">
        <f t="shared" si="195"/>
        <v/>
      </c>
      <c r="R949" s="13" t="str">
        <f t="shared" si="196"/>
        <v/>
      </c>
      <c r="S949" s="13" t="str">
        <f t="shared" si="197"/>
        <v/>
      </c>
      <c r="T949" s="22" t="str">
        <f>IF(R949&lt;&gt;"",VLOOKUP(P949,Constants!$D$3:$E$10,2),"")</f>
        <v/>
      </c>
    </row>
    <row r="950" spans="2:20" x14ac:dyDescent="0.25">
      <c r="B950" s="59"/>
      <c r="C950" s="59"/>
      <c r="D950" s="60"/>
      <c r="E950" s="59"/>
      <c r="F950" s="59"/>
      <c r="G950" s="59"/>
      <c r="H950" s="61"/>
      <c r="I950" s="61"/>
      <c r="J950" s="61"/>
      <c r="K950" s="62"/>
      <c r="L950" s="10" t="str">
        <f t="shared" si="190"/>
        <v/>
      </c>
      <c r="M950" s="10" t="str">
        <f t="shared" si="191"/>
        <v/>
      </c>
      <c r="N950" s="11" t="str">
        <f t="shared" si="192"/>
        <v/>
      </c>
      <c r="O950" s="10" t="str">
        <f t="shared" si="193"/>
        <v/>
      </c>
      <c r="P950" s="12" t="str">
        <f t="shared" si="194"/>
        <v/>
      </c>
      <c r="Q950" s="10" t="str">
        <f t="shared" si="195"/>
        <v/>
      </c>
      <c r="R950" s="13" t="str">
        <f t="shared" si="196"/>
        <v/>
      </c>
      <c r="S950" s="13" t="str">
        <f t="shared" si="197"/>
        <v/>
      </c>
      <c r="T950" s="22" t="str">
        <f>IF(R950&lt;&gt;"",VLOOKUP(P950,Constants!$D$3:$E$10,2),"")</f>
        <v/>
      </c>
    </row>
    <row r="951" spans="2:20" x14ac:dyDescent="0.25">
      <c r="B951" s="59"/>
      <c r="C951" s="59"/>
      <c r="D951" s="60"/>
      <c r="E951" s="59"/>
      <c r="F951" s="59"/>
      <c r="G951" s="59"/>
      <c r="H951" s="61"/>
      <c r="I951" s="61"/>
      <c r="J951" s="61"/>
      <c r="K951" s="62"/>
      <c r="L951" s="10" t="str">
        <f t="shared" si="190"/>
        <v/>
      </c>
      <c r="M951" s="10" t="str">
        <f t="shared" si="191"/>
        <v/>
      </c>
      <c r="N951" s="11" t="str">
        <f t="shared" si="192"/>
        <v/>
      </c>
      <c r="O951" s="10" t="str">
        <f t="shared" si="193"/>
        <v/>
      </c>
      <c r="P951" s="12" t="str">
        <f t="shared" si="194"/>
        <v/>
      </c>
      <c r="Q951" s="10" t="str">
        <f t="shared" si="195"/>
        <v/>
      </c>
      <c r="R951" s="13" t="str">
        <f t="shared" si="196"/>
        <v/>
      </c>
      <c r="S951" s="13" t="str">
        <f t="shared" si="197"/>
        <v/>
      </c>
      <c r="T951" s="22" t="str">
        <f>IF(R951&lt;&gt;"",VLOOKUP(P951,Constants!$D$3:$E$10,2),"")</f>
        <v/>
      </c>
    </row>
    <row r="952" spans="2:20" x14ac:dyDescent="0.25">
      <c r="B952" s="59"/>
      <c r="C952" s="59"/>
      <c r="D952" s="60"/>
      <c r="E952" s="59"/>
      <c r="F952" s="59"/>
      <c r="G952" s="59"/>
      <c r="H952" s="61"/>
      <c r="I952" s="61"/>
      <c r="J952" s="61"/>
      <c r="K952" s="62"/>
      <c r="L952" s="10" t="str">
        <f t="shared" si="190"/>
        <v/>
      </c>
      <c r="M952" s="10" t="str">
        <f t="shared" si="191"/>
        <v/>
      </c>
      <c r="N952" s="11" t="str">
        <f t="shared" si="192"/>
        <v/>
      </c>
      <c r="O952" s="10" t="str">
        <f t="shared" si="193"/>
        <v/>
      </c>
      <c r="P952" s="12" t="str">
        <f t="shared" si="194"/>
        <v/>
      </c>
      <c r="Q952" s="10" t="str">
        <f t="shared" si="195"/>
        <v/>
      </c>
      <c r="R952" s="13" t="str">
        <f t="shared" si="196"/>
        <v/>
      </c>
      <c r="S952" s="13" t="str">
        <f t="shared" si="197"/>
        <v/>
      </c>
      <c r="T952" s="22" t="str">
        <f>IF(R952&lt;&gt;"",VLOOKUP(P952,Constants!$D$3:$E$10,2),"")</f>
        <v/>
      </c>
    </row>
    <row r="953" spans="2:20" x14ac:dyDescent="0.25">
      <c r="B953" s="59"/>
      <c r="C953" s="59"/>
      <c r="D953" s="60"/>
      <c r="E953" s="59"/>
      <c r="F953" s="59"/>
      <c r="G953" s="59"/>
      <c r="H953" s="61"/>
      <c r="I953" s="61"/>
      <c r="J953" s="61"/>
      <c r="K953" s="62"/>
      <c r="L953" s="10" t="str">
        <f t="shared" si="190"/>
        <v/>
      </c>
      <c r="M953" s="10" t="str">
        <f t="shared" si="191"/>
        <v/>
      </c>
      <c r="N953" s="11" t="str">
        <f t="shared" si="192"/>
        <v/>
      </c>
      <c r="O953" s="10" t="str">
        <f t="shared" si="193"/>
        <v/>
      </c>
      <c r="P953" s="12" t="str">
        <f t="shared" si="194"/>
        <v/>
      </c>
      <c r="Q953" s="10" t="str">
        <f t="shared" si="195"/>
        <v/>
      </c>
      <c r="R953" s="13" t="str">
        <f t="shared" si="196"/>
        <v/>
      </c>
      <c r="S953" s="13" t="str">
        <f t="shared" si="197"/>
        <v/>
      </c>
      <c r="T953" s="22" t="str">
        <f>IF(R953&lt;&gt;"",VLOOKUP(P953,Constants!$D$3:$E$10,2),"")</f>
        <v/>
      </c>
    </row>
    <row r="954" spans="2:20" x14ac:dyDescent="0.25">
      <c r="B954" s="59"/>
      <c r="C954" s="59"/>
      <c r="D954" s="60"/>
      <c r="E954" s="59"/>
      <c r="F954" s="59"/>
      <c r="G954" s="59"/>
      <c r="H954" s="61"/>
      <c r="I954" s="61"/>
      <c r="J954" s="61"/>
      <c r="K954" s="62"/>
      <c r="L954" s="10" t="str">
        <f t="shared" si="190"/>
        <v/>
      </c>
      <c r="M954" s="10" t="str">
        <f t="shared" si="191"/>
        <v/>
      </c>
      <c r="N954" s="11" t="str">
        <f t="shared" si="192"/>
        <v/>
      </c>
      <c r="O954" s="10" t="str">
        <f t="shared" si="193"/>
        <v/>
      </c>
      <c r="P954" s="12" t="str">
        <f t="shared" si="194"/>
        <v/>
      </c>
      <c r="Q954" s="10" t="str">
        <f t="shared" si="195"/>
        <v/>
      </c>
      <c r="R954" s="13" t="str">
        <f t="shared" si="196"/>
        <v/>
      </c>
      <c r="S954" s="13" t="str">
        <f t="shared" si="197"/>
        <v/>
      </c>
      <c r="T954" s="22" t="str">
        <f>IF(R954&lt;&gt;"",VLOOKUP(P954,Constants!$D$3:$E$10,2),"")</f>
        <v/>
      </c>
    </row>
    <row r="955" spans="2:20" x14ac:dyDescent="0.25">
      <c r="B955" s="59"/>
      <c r="C955" s="59"/>
      <c r="D955" s="60"/>
      <c r="E955" s="59"/>
      <c r="F955" s="59"/>
      <c r="G955" s="59"/>
      <c r="H955" s="61"/>
      <c r="I955" s="61"/>
      <c r="J955" s="61"/>
      <c r="K955" s="62"/>
      <c r="L955" s="10" t="str">
        <f t="shared" si="190"/>
        <v/>
      </c>
      <c r="M955" s="10" t="str">
        <f t="shared" si="191"/>
        <v/>
      </c>
      <c r="N955" s="11" t="str">
        <f t="shared" si="192"/>
        <v/>
      </c>
      <c r="O955" s="10" t="str">
        <f t="shared" si="193"/>
        <v/>
      </c>
      <c r="P955" s="12" t="str">
        <f t="shared" si="194"/>
        <v/>
      </c>
      <c r="Q955" s="10" t="str">
        <f t="shared" si="195"/>
        <v/>
      </c>
      <c r="R955" s="13" t="str">
        <f t="shared" si="196"/>
        <v/>
      </c>
      <c r="S955" s="13" t="str">
        <f t="shared" si="197"/>
        <v/>
      </c>
      <c r="T955" s="22" t="str">
        <f>IF(R955&lt;&gt;"",VLOOKUP(P955,Constants!$D$3:$E$10,2),"")</f>
        <v/>
      </c>
    </row>
    <row r="956" spans="2:20" x14ac:dyDescent="0.25">
      <c r="B956" s="59"/>
      <c r="C956" s="59"/>
      <c r="D956" s="60"/>
      <c r="E956" s="59"/>
      <c r="F956" s="59"/>
      <c r="G956" s="59"/>
      <c r="H956" s="61"/>
      <c r="I956" s="61"/>
      <c r="J956" s="61"/>
      <c r="K956" s="62"/>
      <c r="L956" s="10" t="str">
        <f t="shared" si="190"/>
        <v/>
      </c>
      <c r="M956" s="10" t="str">
        <f t="shared" si="191"/>
        <v/>
      </c>
      <c r="N956" s="11" t="str">
        <f t="shared" si="192"/>
        <v/>
      </c>
      <c r="O956" s="10" t="str">
        <f t="shared" si="193"/>
        <v/>
      </c>
      <c r="P956" s="12" t="str">
        <f t="shared" si="194"/>
        <v/>
      </c>
      <c r="Q956" s="10" t="str">
        <f t="shared" si="195"/>
        <v/>
      </c>
      <c r="R956" s="13" t="str">
        <f t="shared" si="196"/>
        <v/>
      </c>
      <c r="S956" s="13" t="str">
        <f t="shared" si="197"/>
        <v/>
      </c>
      <c r="T956" s="22" t="str">
        <f>IF(R956&lt;&gt;"",VLOOKUP(P956,Constants!$D$3:$E$10,2),"")</f>
        <v/>
      </c>
    </row>
    <row r="957" spans="2:20" x14ac:dyDescent="0.25">
      <c r="B957" s="59"/>
      <c r="C957" s="59"/>
      <c r="D957" s="60"/>
      <c r="E957" s="59"/>
      <c r="F957" s="59"/>
      <c r="G957" s="59"/>
      <c r="H957" s="61"/>
      <c r="I957" s="61"/>
      <c r="J957" s="61"/>
      <c r="K957" s="62"/>
      <c r="L957" s="10" t="str">
        <f t="shared" si="190"/>
        <v/>
      </c>
      <c r="M957" s="10" t="str">
        <f t="shared" si="191"/>
        <v/>
      </c>
      <c r="N957" s="11" t="str">
        <f t="shared" si="192"/>
        <v/>
      </c>
      <c r="O957" s="10" t="str">
        <f t="shared" si="193"/>
        <v/>
      </c>
      <c r="P957" s="12" t="str">
        <f t="shared" si="194"/>
        <v/>
      </c>
      <c r="Q957" s="10" t="str">
        <f t="shared" si="195"/>
        <v/>
      </c>
      <c r="R957" s="13" t="str">
        <f t="shared" si="196"/>
        <v/>
      </c>
      <c r="S957" s="13" t="str">
        <f t="shared" si="197"/>
        <v/>
      </c>
      <c r="T957" s="22" t="str">
        <f>IF(R957&lt;&gt;"",VLOOKUP(P957,Constants!$D$3:$E$10,2),"")</f>
        <v/>
      </c>
    </row>
    <row r="958" spans="2:20" x14ac:dyDescent="0.25">
      <c r="B958" s="59"/>
      <c r="C958" s="59"/>
      <c r="D958" s="60"/>
      <c r="E958" s="59"/>
      <c r="F958" s="59"/>
      <c r="G958" s="59"/>
      <c r="H958" s="61"/>
      <c r="I958" s="61"/>
      <c r="J958" s="61"/>
      <c r="K958" s="62"/>
      <c r="L958" s="10" t="str">
        <f t="shared" si="190"/>
        <v/>
      </c>
      <c r="M958" s="10" t="str">
        <f t="shared" si="191"/>
        <v/>
      </c>
      <c r="N958" s="11" t="str">
        <f t="shared" si="192"/>
        <v/>
      </c>
      <c r="O958" s="10" t="str">
        <f t="shared" si="193"/>
        <v/>
      </c>
      <c r="P958" s="12" t="str">
        <f t="shared" si="194"/>
        <v/>
      </c>
      <c r="Q958" s="10" t="str">
        <f t="shared" si="195"/>
        <v/>
      </c>
      <c r="R958" s="13" t="str">
        <f t="shared" si="196"/>
        <v/>
      </c>
      <c r="S958" s="13" t="str">
        <f t="shared" si="197"/>
        <v/>
      </c>
      <c r="T958" s="22" t="str">
        <f>IF(R958&lt;&gt;"",VLOOKUP(P958,Constants!$D$3:$E$10,2),"")</f>
        <v/>
      </c>
    </row>
    <row r="959" spans="2:20" x14ac:dyDescent="0.25">
      <c r="L959" s="10" t="str">
        <f t="shared" si="190"/>
        <v/>
      </c>
      <c r="M959" s="10" t="str">
        <f t="shared" si="191"/>
        <v/>
      </c>
      <c r="N959" s="11" t="str">
        <f t="shared" si="192"/>
        <v/>
      </c>
      <c r="O959" s="10" t="str">
        <f t="shared" si="193"/>
        <v/>
      </c>
      <c r="P959" s="12" t="str">
        <f t="shared" si="194"/>
        <v/>
      </c>
      <c r="Q959" s="10" t="str">
        <f t="shared" si="195"/>
        <v/>
      </c>
      <c r="R959" s="13" t="str">
        <f t="shared" si="196"/>
        <v/>
      </c>
      <c r="S959" s="13" t="str">
        <f t="shared" si="197"/>
        <v/>
      </c>
      <c r="T959" s="22" t="str">
        <f>IF(R959&lt;&gt;"",VLOOKUP(P959,Constants!$D$3:$E$10,2),"")</f>
        <v/>
      </c>
    </row>
    <row r="960" spans="2:20" x14ac:dyDescent="0.25">
      <c r="L960" s="10" t="str">
        <f t="shared" si="190"/>
        <v/>
      </c>
      <c r="M960" s="10" t="str">
        <f t="shared" si="191"/>
        <v/>
      </c>
      <c r="N960" s="11" t="str">
        <f t="shared" si="192"/>
        <v/>
      </c>
      <c r="O960" s="10" t="str">
        <f t="shared" si="193"/>
        <v/>
      </c>
      <c r="P960" s="12" t="str">
        <f t="shared" si="194"/>
        <v/>
      </c>
      <c r="Q960" s="10" t="str">
        <f t="shared" si="195"/>
        <v/>
      </c>
      <c r="R960" s="13" t="str">
        <f t="shared" si="196"/>
        <v/>
      </c>
      <c r="S960" s="13" t="str">
        <f t="shared" si="197"/>
        <v/>
      </c>
      <c r="T960" s="22" t="str">
        <f>IF(R960&lt;&gt;"",VLOOKUP(P960,Constants!$D$3:$E$10,2),"")</f>
        <v/>
      </c>
    </row>
    <row r="961" spans="12:20" x14ac:dyDescent="0.25">
      <c r="L961" s="10" t="str">
        <f t="shared" si="190"/>
        <v/>
      </c>
      <c r="M961" s="10" t="str">
        <f t="shared" si="191"/>
        <v/>
      </c>
      <c r="N961" s="11" t="str">
        <f t="shared" si="192"/>
        <v/>
      </c>
      <c r="O961" s="10" t="str">
        <f t="shared" si="193"/>
        <v/>
      </c>
      <c r="P961" s="12" t="str">
        <f t="shared" si="194"/>
        <v/>
      </c>
      <c r="Q961" s="10" t="str">
        <f t="shared" si="195"/>
        <v/>
      </c>
      <c r="R961" s="13" t="str">
        <f t="shared" si="196"/>
        <v/>
      </c>
      <c r="S961" s="13" t="str">
        <f t="shared" si="197"/>
        <v/>
      </c>
      <c r="T961" s="22" t="str">
        <f>IF(R961&lt;&gt;"",VLOOKUP(P961,Constants!$D$3:$E$10,2),"")</f>
        <v/>
      </c>
    </row>
    <row r="962" spans="12:20" x14ac:dyDescent="0.25">
      <c r="L962" s="10" t="str">
        <f t="shared" si="190"/>
        <v/>
      </c>
      <c r="M962" s="10" t="str">
        <f t="shared" si="191"/>
        <v/>
      </c>
      <c r="N962" s="11" t="str">
        <f t="shared" si="192"/>
        <v/>
      </c>
      <c r="O962" s="10" t="str">
        <f t="shared" si="193"/>
        <v/>
      </c>
      <c r="P962" s="12" t="str">
        <f t="shared" si="194"/>
        <v/>
      </c>
      <c r="Q962" s="10" t="str">
        <f t="shared" si="195"/>
        <v/>
      </c>
      <c r="R962" s="13" t="str">
        <f t="shared" si="196"/>
        <v/>
      </c>
      <c r="S962" s="13" t="str">
        <f t="shared" si="197"/>
        <v/>
      </c>
      <c r="T962" s="22" t="str">
        <f>IF(R962&lt;&gt;"",VLOOKUP(P962,Constants!$D$3:$E$10,2),"")</f>
        <v/>
      </c>
    </row>
    <row r="963" spans="12:20" x14ac:dyDescent="0.25">
      <c r="L963" s="10" t="str">
        <f t="shared" si="190"/>
        <v/>
      </c>
      <c r="M963" s="10" t="str">
        <f t="shared" si="191"/>
        <v/>
      </c>
      <c r="N963" s="11" t="str">
        <f t="shared" si="192"/>
        <v/>
      </c>
      <c r="O963" s="10" t="str">
        <f t="shared" si="193"/>
        <v/>
      </c>
      <c r="P963" s="12" t="str">
        <f t="shared" si="194"/>
        <v/>
      </c>
      <c r="Q963" s="10" t="str">
        <f t="shared" si="195"/>
        <v/>
      </c>
      <c r="R963" s="13" t="str">
        <f t="shared" si="196"/>
        <v/>
      </c>
      <c r="S963" s="13" t="str">
        <f t="shared" si="197"/>
        <v/>
      </c>
      <c r="T963" s="22" t="str">
        <f>IF(R963&lt;&gt;"",VLOOKUP(P963,Constants!$D$3:$E$10,2),"")</f>
        <v/>
      </c>
    </row>
    <row r="964" spans="12:20" x14ac:dyDescent="0.25">
      <c r="L964" s="10" t="str">
        <f t="shared" si="190"/>
        <v/>
      </c>
      <c r="M964" s="10" t="str">
        <f t="shared" si="191"/>
        <v/>
      </c>
      <c r="N964" s="11" t="str">
        <f t="shared" si="192"/>
        <v/>
      </c>
      <c r="O964" s="10" t="str">
        <f t="shared" si="193"/>
        <v/>
      </c>
      <c r="P964" s="12" t="str">
        <f t="shared" si="194"/>
        <v/>
      </c>
      <c r="Q964" s="10" t="str">
        <f t="shared" si="195"/>
        <v/>
      </c>
      <c r="R964" s="13" t="str">
        <f t="shared" si="196"/>
        <v/>
      </c>
      <c r="S964" s="13" t="str">
        <f t="shared" si="197"/>
        <v/>
      </c>
      <c r="T964" s="22" t="str">
        <f>IF(R964&lt;&gt;"",VLOOKUP(P964,Constants!$D$3:$E$10,2),"")</f>
        <v/>
      </c>
    </row>
    <row r="965" spans="12:20" x14ac:dyDescent="0.25">
      <c r="L965" s="10" t="str">
        <f t="shared" si="190"/>
        <v/>
      </c>
      <c r="M965" s="10" t="str">
        <f t="shared" si="191"/>
        <v/>
      </c>
      <c r="N965" s="11" t="str">
        <f t="shared" si="192"/>
        <v/>
      </c>
      <c r="O965" s="10" t="str">
        <f t="shared" si="193"/>
        <v/>
      </c>
      <c r="P965" s="12" t="str">
        <f t="shared" si="194"/>
        <v/>
      </c>
      <c r="Q965" s="10" t="str">
        <f t="shared" si="195"/>
        <v/>
      </c>
      <c r="R965" s="13" t="str">
        <f t="shared" si="196"/>
        <v/>
      </c>
      <c r="S965" s="13" t="str">
        <f t="shared" si="197"/>
        <v/>
      </c>
      <c r="T965" s="22" t="str">
        <f>IF(R965&lt;&gt;"",VLOOKUP(P965,Constants!$D$3:$E$10,2),"")</f>
        <v/>
      </c>
    </row>
    <row r="966" spans="12:20" x14ac:dyDescent="0.25">
      <c r="L966" s="10" t="str">
        <f t="shared" si="190"/>
        <v/>
      </c>
      <c r="M966" s="10" t="str">
        <f t="shared" si="191"/>
        <v/>
      </c>
      <c r="N966" s="11" t="str">
        <f t="shared" si="192"/>
        <v/>
      </c>
      <c r="O966" s="10" t="str">
        <f t="shared" si="193"/>
        <v/>
      </c>
      <c r="P966" s="12" t="str">
        <f t="shared" si="194"/>
        <v/>
      </c>
      <c r="Q966" s="10" t="str">
        <f t="shared" si="195"/>
        <v/>
      </c>
      <c r="R966" s="13" t="str">
        <f t="shared" si="196"/>
        <v/>
      </c>
      <c r="S966" s="13" t="str">
        <f t="shared" si="197"/>
        <v/>
      </c>
      <c r="T966" s="22" t="str">
        <f>IF(R966&lt;&gt;"",VLOOKUP(P966,Constants!$D$3:$E$10,2),"")</f>
        <v/>
      </c>
    </row>
    <row r="967" spans="12:20" x14ac:dyDescent="0.25">
      <c r="L967" s="10" t="str">
        <f t="shared" si="190"/>
        <v/>
      </c>
      <c r="M967" s="10" t="str">
        <f t="shared" si="191"/>
        <v/>
      </c>
      <c r="N967" s="11" t="str">
        <f t="shared" si="192"/>
        <v/>
      </c>
      <c r="O967" s="10" t="str">
        <f t="shared" si="193"/>
        <v/>
      </c>
      <c r="P967" s="12" t="str">
        <f t="shared" si="194"/>
        <v/>
      </c>
      <c r="Q967" s="10" t="str">
        <f t="shared" si="195"/>
        <v/>
      </c>
      <c r="R967" s="13" t="str">
        <f t="shared" si="196"/>
        <v/>
      </c>
      <c r="S967" s="13" t="str">
        <f t="shared" si="197"/>
        <v/>
      </c>
      <c r="T967" s="22" t="str">
        <f>IF(R967&lt;&gt;"",VLOOKUP(P967,Constants!$D$3:$E$10,2),"")</f>
        <v/>
      </c>
    </row>
    <row r="968" spans="12:20" x14ac:dyDescent="0.25">
      <c r="L968" s="10" t="str">
        <f t="shared" si="190"/>
        <v/>
      </c>
      <c r="M968" s="10" t="str">
        <f t="shared" si="191"/>
        <v/>
      </c>
      <c r="N968" s="11" t="str">
        <f t="shared" si="192"/>
        <v/>
      </c>
      <c r="O968" s="10" t="str">
        <f t="shared" si="193"/>
        <v/>
      </c>
      <c r="P968" s="12" t="str">
        <f t="shared" si="194"/>
        <v/>
      </c>
      <c r="Q968" s="10" t="str">
        <f t="shared" si="195"/>
        <v/>
      </c>
      <c r="R968" s="13" t="str">
        <f t="shared" si="196"/>
        <v/>
      </c>
      <c r="S968" s="13" t="str">
        <f t="shared" si="197"/>
        <v/>
      </c>
      <c r="T968" s="22" t="str">
        <f>IF(R968&lt;&gt;"",VLOOKUP(P968,Constants!$D$3:$E$10,2),"")</f>
        <v/>
      </c>
    </row>
    <row r="969" spans="12:20" x14ac:dyDescent="0.25">
      <c r="L969" s="10" t="str">
        <f t="shared" si="190"/>
        <v/>
      </c>
      <c r="M969" s="10" t="str">
        <f t="shared" si="191"/>
        <v/>
      </c>
      <c r="N969" s="11" t="str">
        <f t="shared" si="192"/>
        <v/>
      </c>
      <c r="O969" s="10" t="str">
        <f t="shared" si="193"/>
        <v/>
      </c>
      <c r="P969" s="12" t="str">
        <f t="shared" si="194"/>
        <v/>
      </c>
      <c r="Q969" s="10" t="str">
        <f t="shared" si="195"/>
        <v/>
      </c>
      <c r="R969" s="13" t="str">
        <f t="shared" si="196"/>
        <v/>
      </c>
      <c r="S969" s="13" t="str">
        <f t="shared" si="197"/>
        <v/>
      </c>
      <c r="T969" s="22" t="str">
        <f>IF(R969&lt;&gt;"",VLOOKUP(P969,Constants!$D$3:$E$10,2),"")</f>
        <v/>
      </c>
    </row>
    <row r="970" spans="12:20" x14ac:dyDescent="0.25">
      <c r="L970" s="10" t="str">
        <f t="shared" si="190"/>
        <v/>
      </c>
      <c r="M970" s="10" t="str">
        <f t="shared" si="191"/>
        <v/>
      </c>
      <c r="N970" s="11" t="str">
        <f t="shared" si="192"/>
        <v/>
      </c>
      <c r="O970" s="10" t="str">
        <f t="shared" si="193"/>
        <v/>
      </c>
      <c r="P970" s="12" t="str">
        <f t="shared" si="194"/>
        <v/>
      </c>
      <c r="Q970" s="10" t="str">
        <f t="shared" si="195"/>
        <v/>
      </c>
      <c r="R970" s="13" t="str">
        <f t="shared" si="196"/>
        <v/>
      </c>
      <c r="S970" s="13" t="str">
        <f t="shared" si="197"/>
        <v/>
      </c>
      <c r="T970" s="22" t="str">
        <f>IF(R970&lt;&gt;"",VLOOKUP(P970,Constants!$D$3:$E$10,2),"")</f>
        <v/>
      </c>
    </row>
    <row r="971" spans="12:20" x14ac:dyDescent="0.25">
      <c r="L971" s="10" t="str">
        <f t="shared" si="190"/>
        <v/>
      </c>
      <c r="M971" s="10" t="str">
        <f t="shared" si="191"/>
        <v/>
      </c>
      <c r="N971" s="11" t="str">
        <f t="shared" si="192"/>
        <v/>
      </c>
      <c r="O971" s="10" t="str">
        <f t="shared" si="193"/>
        <v/>
      </c>
      <c r="P971" s="12" t="str">
        <f t="shared" si="194"/>
        <v/>
      </c>
      <c r="Q971" s="10" t="str">
        <f t="shared" si="195"/>
        <v/>
      </c>
      <c r="R971" s="13" t="str">
        <f t="shared" si="196"/>
        <v/>
      </c>
      <c r="S971" s="13" t="str">
        <f t="shared" si="197"/>
        <v/>
      </c>
      <c r="T971" s="22" t="str">
        <f>IF(R971&lt;&gt;"",VLOOKUP(P971,Constants!$D$3:$E$10,2),"")</f>
        <v/>
      </c>
    </row>
    <row r="972" spans="12:20" x14ac:dyDescent="0.25">
      <c r="L972" s="10" t="str">
        <f t="shared" si="190"/>
        <v/>
      </c>
      <c r="M972" s="10" t="str">
        <f t="shared" si="191"/>
        <v/>
      </c>
      <c r="N972" s="11" t="str">
        <f t="shared" si="192"/>
        <v/>
      </c>
      <c r="O972" s="10" t="str">
        <f t="shared" si="193"/>
        <v/>
      </c>
      <c r="P972" s="12" t="str">
        <f t="shared" si="194"/>
        <v/>
      </c>
      <c r="Q972" s="10" t="str">
        <f t="shared" si="195"/>
        <v/>
      </c>
      <c r="R972" s="13" t="str">
        <f t="shared" si="196"/>
        <v/>
      </c>
      <c r="S972" s="13" t="str">
        <f t="shared" si="197"/>
        <v/>
      </c>
      <c r="T972" s="22" t="str">
        <f>IF(R972&lt;&gt;"",VLOOKUP(P972,Constants!$D$3:$E$10,2),"")</f>
        <v/>
      </c>
    </row>
    <row r="973" spans="12:20" x14ac:dyDescent="0.25">
      <c r="L973" s="10" t="str">
        <f t="shared" si="190"/>
        <v/>
      </c>
      <c r="M973" s="10" t="str">
        <f t="shared" si="191"/>
        <v/>
      </c>
      <c r="N973" s="11" t="str">
        <f t="shared" si="192"/>
        <v/>
      </c>
      <c r="O973" s="10" t="str">
        <f t="shared" si="193"/>
        <v/>
      </c>
      <c r="P973" s="12" t="str">
        <f t="shared" si="194"/>
        <v/>
      </c>
      <c r="Q973" s="10" t="str">
        <f t="shared" si="195"/>
        <v/>
      </c>
      <c r="R973" s="13" t="str">
        <f t="shared" si="196"/>
        <v/>
      </c>
      <c r="S973" s="13" t="str">
        <f t="shared" si="197"/>
        <v/>
      </c>
      <c r="T973" s="22" t="str">
        <f>IF(R973&lt;&gt;"",VLOOKUP(P973,Constants!$D$3:$E$10,2),"")</f>
        <v/>
      </c>
    </row>
    <row r="974" spans="12:20" x14ac:dyDescent="0.25">
      <c r="L974" s="10" t="str">
        <f t="shared" si="190"/>
        <v/>
      </c>
      <c r="M974" s="10" t="str">
        <f t="shared" si="191"/>
        <v/>
      </c>
      <c r="N974" s="11" t="str">
        <f t="shared" si="192"/>
        <v/>
      </c>
      <c r="O974" s="10" t="str">
        <f t="shared" si="193"/>
        <v/>
      </c>
      <c r="P974" s="12" t="str">
        <f t="shared" si="194"/>
        <v/>
      </c>
      <c r="Q974" s="10" t="str">
        <f t="shared" si="195"/>
        <v/>
      </c>
      <c r="R974" s="13" t="str">
        <f t="shared" si="196"/>
        <v/>
      </c>
      <c r="S974" s="13" t="str">
        <f t="shared" si="197"/>
        <v/>
      </c>
      <c r="T974" s="22" t="str">
        <f>IF(R974&lt;&gt;"",VLOOKUP(P974,Constants!$D$3:$E$10,2),"")</f>
        <v/>
      </c>
    </row>
    <row r="975" spans="12:20" x14ac:dyDescent="0.25">
      <c r="L975" s="10" t="str">
        <f t="shared" si="190"/>
        <v/>
      </c>
      <c r="M975" s="10" t="str">
        <f t="shared" si="191"/>
        <v/>
      </c>
      <c r="N975" s="11" t="str">
        <f t="shared" si="192"/>
        <v/>
      </c>
      <c r="O975" s="10" t="str">
        <f t="shared" si="193"/>
        <v/>
      </c>
      <c r="P975" s="12" t="str">
        <f t="shared" si="194"/>
        <v/>
      </c>
      <c r="Q975" s="10" t="str">
        <f t="shared" si="195"/>
        <v/>
      </c>
      <c r="R975" s="13" t="str">
        <f t="shared" si="196"/>
        <v/>
      </c>
      <c r="S975" s="13" t="str">
        <f t="shared" si="197"/>
        <v/>
      </c>
      <c r="T975" s="22" t="str">
        <f>IF(R975&lt;&gt;"",VLOOKUP(P975,Constants!$D$3:$E$10,2),"")</f>
        <v/>
      </c>
    </row>
    <row r="976" spans="12:20" x14ac:dyDescent="0.25">
      <c r="L976" s="10" t="str">
        <f t="shared" si="190"/>
        <v/>
      </c>
      <c r="M976" s="10" t="str">
        <f t="shared" si="191"/>
        <v/>
      </c>
      <c r="N976" s="11" t="str">
        <f t="shared" si="192"/>
        <v/>
      </c>
      <c r="O976" s="10" t="str">
        <f t="shared" si="193"/>
        <v/>
      </c>
      <c r="P976" s="12" t="str">
        <f t="shared" si="194"/>
        <v/>
      </c>
      <c r="Q976" s="10" t="str">
        <f t="shared" si="195"/>
        <v/>
      </c>
      <c r="R976" s="13" t="str">
        <f t="shared" si="196"/>
        <v/>
      </c>
      <c r="S976" s="13" t="str">
        <f t="shared" si="197"/>
        <v/>
      </c>
      <c r="T976" s="22" t="str">
        <f>IF(R976&lt;&gt;"",VLOOKUP(P976,Constants!$D$3:$E$10,2),"")</f>
        <v/>
      </c>
    </row>
    <row r="977" spans="12:20" x14ac:dyDescent="0.25">
      <c r="L977" s="10" t="str">
        <f t="shared" si="190"/>
        <v/>
      </c>
      <c r="M977" s="10" t="str">
        <f t="shared" si="191"/>
        <v/>
      </c>
      <c r="N977" s="11" t="str">
        <f t="shared" si="192"/>
        <v/>
      </c>
      <c r="O977" s="10" t="str">
        <f t="shared" si="193"/>
        <v/>
      </c>
      <c r="P977" s="12" t="str">
        <f t="shared" si="194"/>
        <v/>
      </c>
      <c r="Q977" s="10" t="str">
        <f t="shared" si="195"/>
        <v/>
      </c>
      <c r="R977" s="13" t="str">
        <f t="shared" si="196"/>
        <v/>
      </c>
      <c r="S977" s="13" t="str">
        <f t="shared" si="197"/>
        <v/>
      </c>
      <c r="T977" s="22" t="str">
        <f>IF(R977&lt;&gt;"",VLOOKUP(P977,Constants!$D$3:$E$10,2),"")</f>
        <v/>
      </c>
    </row>
    <row r="978" spans="12:20" x14ac:dyDescent="0.25">
      <c r="L978" s="10" t="str">
        <f t="shared" ref="L978:L1041" si="198">IF($D978&lt;&gt;"",$D978*$E978/1000,"")</f>
        <v/>
      </c>
      <c r="M978" s="10" t="str">
        <f t="shared" ref="M978:M1041" si="199">IF($D978&lt;&gt;"",$D978*$F978/1000,"")</f>
        <v/>
      </c>
      <c r="N978" s="11" t="str">
        <f t="shared" ref="N978:N1041" si="200">IF($L978&lt;&gt;"",SQRT($L978*$L978+$M978*$M978),"")</f>
        <v/>
      </c>
      <c r="O978" s="10" t="str">
        <f t="shared" si="193"/>
        <v/>
      </c>
      <c r="P978" s="12" t="str">
        <f t="shared" si="194"/>
        <v/>
      </c>
      <c r="Q978" s="10" t="str">
        <f t="shared" si="195"/>
        <v/>
      </c>
      <c r="R978" s="13" t="str">
        <f t="shared" si="196"/>
        <v/>
      </c>
      <c r="S978" s="13" t="str">
        <f t="shared" si="197"/>
        <v/>
      </c>
      <c r="T978" s="22" t="str">
        <f>IF(R978&lt;&gt;"",VLOOKUP(P978,Constants!$D$3:$E$10,2),"")</f>
        <v/>
      </c>
    </row>
    <row r="979" spans="12:20" x14ac:dyDescent="0.25">
      <c r="L979" s="10" t="str">
        <f t="shared" si="198"/>
        <v/>
      </c>
      <c r="M979" s="10" t="str">
        <f t="shared" si="199"/>
        <v/>
      </c>
      <c r="N979" s="11" t="str">
        <f t="shared" si="200"/>
        <v/>
      </c>
      <c r="O979" s="10" t="str">
        <f t="shared" si="193"/>
        <v/>
      </c>
      <c r="P979" s="12" t="str">
        <f t="shared" si="194"/>
        <v/>
      </c>
      <c r="Q979" s="10" t="str">
        <f t="shared" si="195"/>
        <v/>
      </c>
      <c r="R979" s="13" t="str">
        <f t="shared" si="196"/>
        <v/>
      </c>
      <c r="S979" s="13" t="str">
        <f t="shared" si="197"/>
        <v/>
      </c>
      <c r="T979" s="22" t="str">
        <f>IF(R979&lt;&gt;"",VLOOKUP(P979,Constants!$D$3:$E$10,2),"")</f>
        <v/>
      </c>
    </row>
    <row r="980" spans="12:20" x14ac:dyDescent="0.25">
      <c r="L980" s="10" t="str">
        <f t="shared" si="198"/>
        <v/>
      </c>
      <c r="M980" s="10" t="str">
        <f t="shared" si="199"/>
        <v/>
      </c>
      <c r="N980" s="11" t="str">
        <f t="shared" si="200"/>
        <v/>
      </c>
      <c r="O980" s="10" t="str">
        <f t="shared" ref="O980:O1043" si="201">IF(D980&lt;&gt;"",1000/(2*D980),"")</f>
        <v/>
      </c>
      <c r="P980" s="12" t="str">
        <f t="shared" ref="P980:P1043" si="202">IF($N980&lt;&gt;"",D980*SQRT(E980*E980+F980*F980)/16000,"")</f>
        <v/>
      </c>
      <c r="Q980" s="10" t="str">
        <f t="shared" ref="Q980:Q1043" si="203">IF(F980&lt;&gt;"",F980*E980/1000000,"")</f>
        <v/>
      </c>
      <c r="R980" s="13" t="str">
        <f t="shared" ref="R980:R1043" si="204">IF(G980&lt;&gt;"",1000/G980,"")</f>
        <v/>
      </c>
      <c r="S980" s="13" t="str">
        <f t="shared" ref="S980:S1043" si="205">IF(R980&lt;&gt;"",Q980/R980*1000,"")</f>
        <v/>
      </c>
      <c r="T980" s="22" t="str">
        <f>IF(R980&lt;&gt;"",VLOOKUP(P980,Constants!$D$3:$E$10,2),"")</f>
        <v/>
      </c>
    </row>
    <row r="981" spans="12:20" x14ac:dyDescent="0.25">
      <c r="L981" s="10" t="str">
        <f t="shared" si="198"/>
        <v/>
      </c>
      <c r="M981" s="10" t="str">
        <f t="shared" si="199"/>
        <v/>
      </c>
      <c r="N981" s="11" t="str">
        <f t="shared" si="200"/>
        <v/>
      </c>
      <c r="O981" s="10" t="str">
        <f t="shared" si="201"/>
        <v/>
      </c>
      <c r="P981" s="12" t="str">
        <f t="shared" si="202"/>
        <v/>
      </c>
      <c r="Q981" s="10" t="str">
        <f t="shared" si="203"/>
        <v/>
      </c>
      <c r="R981" s="13" t="str">
        <f t="shared" si="204"/>
        <v/>
      </c>
      <c r="S981" s="13" t="str">
        <f t="shared" si="205"/>
        <v/>
      </c>
      <c r="T981" s="22" t="str">
        <f>IF(R981&lt;&gt;"",VLOOKUP(P981,Constants!$D$3:$E$10,2),"")</f>
        <v/>
      </c>
    </row>
    <row r="982" spans="12:20" x14ac:dyDescent="0.25">
      <c r="L982" s="10" t="str">
        <f t="shared" si="198"/>
        <v/>
      </c>
      <c r="M982" s="10" t="str">
        <f t="shared" si="199"/>
        <v/>
      </c>
      <c r="N982" s="11" t="str">
        <f t="shared" si="200"/>
        <v/>
      </c>
      <c r="O982" s="10" t="str">
        <f t="shared" si="201"/>
        <v/>
      </c>
      <c r="P982" s="12" t="str">
        <f t="shared" si="202"/>
        <v/>
      </c>
      <c r="Q982" s="10" t="str">
        <f t="shared" si="203"/>
        <v/>
      </c>
      <c r="R982" s="13" t="str">
        <f t="shared" si="204"/>
        <v/>
      </c>
      <c r="S982" s="13" t="str">
        <f t="shared" si="205"/>
        <v/>
      </c>
      <c r="T982" s="22" t="str">
        <f>IF(R982&lt;&gt;"",VLOOKUP(P982,Constants!$D$3:$E$10,2),"")</f>
        <v/>
      </c>
    </row>
    <row r="983" spans="12:20" x14ac:dyDescent="0.25">
      <c r="L983" s="10" t="str">
        <f t="shared" si="198"/>
        <v/>
      </c>
      <c r="M983" s="10" t="str">
        <f t="shared" si="199"/>
        <v/>
      </c>
      <c r="N983" s="11" t="str">
        <f t="shared" si="200"/>
        <v/>
      </c>
      <c r="O983" s="10" t="str">
        <f t="shared" si="201"/>
        <v/>
      </c>
      <c r="P983" s="12" t="str">
        <f t="shared" si="202"/>
        <v/>
      </c>
      <c r="Q983" s="10" t="str">
        <f t="shared" si="203"/>
        <v/>
      </c>
      <c r="R983" s="13" t="str">
        <f t="shared" si="204"/>
        <v/>
      </c>
      <c r="S983" s="13" t="str">
        <f t="shared" si="205"/>
        <v/>
      </c>
      <c r="T983" s="22" t="str">
        <f>IF(R983&lt;&gt;"",VLOOKUP(P983,Constants!$D$3:$E$10,2),"")</f>
        <v/>
      </c>
    </row>
    <row r="984" spans="12:20" x14ac:dyDescent="0.25">
      <c r="L984" s="10" t="str">
        <f t="shared" si="198"/>
        <v/>
      </c>
      <c r="M984" s="10" t="str">
        <f t="shared" si="199"/>
        <v/>
      </c>
      <c r="N984" s="11" t="str">
        <f t="shared" si="200"/>
        <v/>
      </c>
      <c r="O984" s="10" t="str">
        <f t="shared" si="201"/>
        <v/>
      </c>
      <c r="P984" s="12" t="str">
        <f t="shared" si="202"/>
        <v/>
      </c>
      <c r="Q984" s="10" t="str">
        <f t="shared" si="203"/>
        <v/>
      </c>
      <c r="R984" s="13" t="str">
        <f t="shared" si="204"/>
        <v/>
      </c>
      <c r="S984" s="13" t="str">
        <f t="shared" si="205"/>
        <v/>
      </c>
      <c r="T984" s="22" t="str">
        <f>IF(R984&lt;&gt;"",VLOOKUP(P984,Constants!$D$3:$E$10,2),"")</f>
        <v/>
      </c>
    </row>
    <row r="985" spans="12:20" x14ac:dyDescent="0.25">
      <c r="L985" s="10" t="str">
        <f t="shared" si="198"/>
        <v/>
      </c>
      <c r="M985" s="10" t="str">
        <f t="shared" si="199"/>
        <v/>
      </c>
      <c r="N985" s="11" t="str">
        <f t="shared" si="200"/>
        <v/>
      </c>
      <c r="O985" s="10" t="str">
        <f t="shared" si="201"/>
        <v/>
      </c>
      <c r="P985" s="12" t="str">
        <f t="shared" si="202"/>
        <v/>
      </c>
      <c r="Q985" s="10" t="str">
        <f t="shared" si="203"/>
        <v/>
      </c>
      <c r="R985" s="13" t="str">
        <f t="shared" si="204"/>
        <v/>
      </c>
      <c r="S985" s="13" t="str">
        <f t="shared" si="205"/>
        <v/>
      </c>
      <c r="T985" s="22" t="str">
        <f>IF(R985&lt;&gt;"",VLOOKUP(P985,Constants!$D$3:$E$10,2),"")</f>
        <v/>
      </c>
    </row>
    <row r="986" spans="12:20" x14ac:dyDescent="0.25">
      <c r="L986" s="10" t="str">
        <f t="shared" si="198"/>
        <v/>
      </c>
      <c r="M986" s="10" t="str">
        <f t="shared" si="199"/>
        <v/>
      </c>
      <c r="N986" s="11" t="str">
        <f t="shared" si="200"/>
        <v/>
      </c>
      <c r="O986" s="10" t="str">
        <f t="shared" si="201"/>
        <v/>
      </c>
      <c r="P986" s="12" t="str">
        <f t="shared" si="202"/>
        <v/>
      </c>
      <c r="Q986" s="10" t="str">
        <f t="shared" si="203"/>
        <v/>
      </c>
      <c r="R986" s="13" t="str">
        <f t="shared" si="204"/>
        <v/>
      </c>
      <c r="S986" s="13" t="str">
        <f t="shared" si="205"/>
        <v/>
      </c>
      <c r="T986" s="22" t="str">
        <f>IF(R986&lt;&gt;"",VLOOKUP(P986,Constants!$D$3:$E$10,2),"")</f>
        <v/>
      </c>
    </row>
    <row r="987" spans="12:20" x14ac:dyDescent="0.25">
      <c r="L987" s="10" t="str">
        <f t="shared" si="198"/>
        <v/>
      </c>
      <c r="M987" s="10" t="str">
        <f t="shared" si="199"/>
        <v/>
      </c>
      <c r="N987" s="11" t="str">
        <f t="shared" si="200"/>
        <v/>
      </c>
      <c r="O987" s="10" t="str">
        <f t="shared" si="201"/>
        <v/>
      </c>
      <c r="P987" s="12" t="str">
        <f t="shared" si="202"/>
        <v/>
      </c>
      <c r="Q987" s="10" t="str">
        <f t="shared" si="203"/>
        <v/>
      </c>
      <c r="R987" s="13" t="str">
        <f t="shared" si="204"/>
        <v/>
      </c>
      <c r="S987" s="13" t="str">
        <f t="shared" si="205"/>
        <v/>
      </c>
      <c r="T987" s="22" t="str">
        <f>IF(R987&lt;&gt;"",VLOOKUP(P987,Constants!$D$3:$E$10,2),"")</f>
        <v/>
      </c>
    </row>
    <row r="988" spans="12:20" x14ac:dyDescent="0.25">
      <c r="L988" s="10" t="str">
        <f t="shared" si="198"/>
        <v/>
      </c>
      <c r="M988" s="10" t="str">
        <f t="shared" si="199"/>
        <v/>
      </c>
      <c r="N988" s="11" t="str">
        <f t="shared" si="200"/>
        <v/>
      </c>
      <c r="O988" s="10" t="str">
        <f t="shared" si="201"/>
        <v/>
      </c>
      <c r="P988" s="12" t="str">
        <f t="shared" si="202"/>
        <v/>
      </c>
      <c r="Q988" s="10" t="str">
        <f t="shared" si="203"/>
        <v/>
      </c>
      <c r="R988" s="13" t="str">
        <f t="shared" si="204"/>
        <v/>
      </c>
      <c r="S988" s="13" t="str">
        <f t="shared" si="205"/>
        <v/>
      </c>
      <c r="T988" s="22" t="str">
        <f>IF(R988&lt;&gt;"",VLOOKUP(P988,Constants!$D$3:$E$10,2),"")</f>
        <v/>
      </c>
    </row>
    <row r="989" spans="12:20" x14ac:dyDescent="0.25">
      <c r="L989" s="10" t="str">
        <f t="shared" si="198"/>
        <v/>
      </c>
      <c r="M989" s="10" t="str">
        <f t="shared" si="199"/>
        <v/>
      </c>
      <c r="N989" s="11" t="str">
        <f t="shared" si="200"/>
        <v/>
      </c>
      <c r="O989" s="10" t="str">
        <f t="shared" si="201"/>
        <v/>
      </c>
      <c r="P989" s="12" t="str">
        <f t="shared" si="202"/>
        <v/>
      </c>
      <c r="Q989" s="10" t="str">
        <f t="shared" si="203"/>
        <v/>
      </c>
      <c r="R989" s="13" t="str">
        <f t="shared" si="204"/>
        <v/>
      </c>
      <c r="S989" s="13" t="str">
        <f t="shared" si="205"/>
        <v/>
      </c>
      <c r="T989" s="22" t="str">
        <f>IF(R989&lt;&gt;"",VLOOKUP(P989,Constants!$D$3:$E$10,2),"")</f>
        <v/>
      </c>
    </row>
    <row r="990" spans="12:20" x14ac:dyDescent="0.25">
      <c r="L990" s="10" t="str">
        <f t="shared" si="198"/>
        <v/>
      </c>
      <c r="M990" s="10" t="str">
        <f t="shared" si="199"/>
        <v/>
      </c>
      <c r="N990" s="11" t="str">
        <f t="shared" si="200"/>
        <v/>
      </c>
      <c r="O990" s="10" t="str">
        <f t="shared" si="201"/>
        <v/>
      </c>
      <c r="P990" s="12" t="str">
        <f t="shared" si="202"/>
        <v/>
      </c>
      <c r="Q990" s="10" t="str">
        <f t="shared" si="203"/>
        <v/>
      </c>
      <c r="R990" s="13" t="str">
        <f t="shared" si="204"/>
        <v/>
      </c>
      <c r="S990" s="13" t="str">
        <f t="shared" si="205"/>
        <v/>
      </c>
      <c r="T990" s="22" t="str">
        <f>IF(R990&lt;&gt;"",VLOOKUP(P990,Constants!$D$3:$E$10,2),"")</f>
        <v/>
      </c>
    </row>
    <row r="991" spans="12:20" x14ac:dyDescent="0.25">
      <c r="L991" s="10" t="str">
        <f t="shared" si="198"/>
        <v/>
      </c>
      <c r="M991" s="10" t="str">
        <f t="shared" si="199"/>
        <v/>
      </c>
      <c r="N991" s="11" t="str">
        <f t="shared" si="200"/>
        <v/>
      </c>
      <c r="O991" s="10" t="str">
        <f t="shared" si="201"/>
        <v/>
      </c>
      <c r="P991" s="12" t="str">
        <f t="shared" si="202"/>
        <v/>
      </c>
      <c r="Q991" s="10" t="str">
        <f t="shared" si="203"/>
        <v/>
      </c>
      <c r="R991" s="13" t="str">
        <f t="shared" si="204"/>
        <v/>
      </c>
      <c r="S991" s="13" t="str">
        <f t="shared" si="205"/>
        <v/>
      </c>
      <c r="T991" s="22" t="str">
        <f>IF(R991&lt;&gt;"",VLOOKUP(P991,Constants!$D$3:$E$10,2),"")</f>
        <v/>
      </c>
    </row>
    <row r="992" spans="12:20" x14ac:dyDescent="0.25">
      <c r="L992" s="10" t="str">
        <f t="shared" si="198"/>
        <v/>
      </c>
      <c r="M992" s="10" t="str">
        <f t="shared" si="199"/>
        <v/>
      </c>
      <c r="N992" s="11" t="str">
        <f t="shared" si="200"/>
        <v/>
      </c>
      <c r="O992" s="10" t="str">
        <f t="shared" si="201"/>
        <v/>
      </c>
      <c r="P992" s="12" t="str">
        <f t="shared" si="202"/>
        <v/>
      </c>
      <c r="Q992" s="10" t="str">
        <f t="shared" si="203"/>
        <v/>
      </c>
      <c r="R992" s="13" t="str">
        <f t="shared" si="204"/>
        <v/>
      </c>
      <c r="S992" s="13" t="str">
        <f t="shared" si="205"/>
        <v/>
      </c>
      <c r="T992" s="22" t="str">
        <f>IF(R992&lt;&gt;"",VLOOKUP(P992,Constants!$D$3:$E$10,2),"")</f>
        <v/>
      </c>
    </row>
    <row r="993" spans="12:20" x14ac:dyDescent="0.25">
      <c r="L993" s="10" t="str">
        <f t="shared" si="198"/>
        <v/>
      </c>
      <c r="M993" s="10" t="str">
        <f t="shared" si="199"/>
        <v/>
      </c>
      <c r="N993" s="11" t="str">
        <f t="shared" si="200"/>
        <v/>
      </c>
      <c r="O993" s="10" t="str">
        <f t="shared" si="201"/>
        <v/>
      </c>
      <c r="P993" s="12" t="str">
        <f t="shared" si="202"/>
        <v/>
      </c>
      <c r="Q993" s="10" t="str">
        <f t="shared" si="203"/>
        <v/>
      </c>
      <c r="R993" s="13" t="str">
        <f t="shared" si="204"/>
        <v/>
      </c>
      <c r="S993" s="13" t="str">
        <f t="shared" si="205"/>
        <v/>
      </c>
      <c r="T993" s="22" t="str">
        <f>IF(R993&lt;&gt;"",VLOOKUP(P993,Constants!$D$3:$E$10,2),"")</f>
        <v/>
      </c>
    </row>
    <row r="994" spans="12:20" x14ac:dyDescent="0.25">
      <c r="L994" s="10" t="str">
        <f t="shared" si="198"/>
        <v/>
      </c>
      <c r="M994" s="10" t="str">
        <f t="shared" si="199"/>
        <v/>
      </c>
      <c r="N994" s="11" t="str">
        <f t="shared" si="200"/>
        <v/>
      </c>
      <c r="O994" s="10" t="str">
        <f t="shared" si="201"/>
        <v/>
      </c>
      <c r="P994" s="12" t="str">
        <f t="shared" si="202"/>
        <v/>
      </c>
      <c r="Q994" s="10" t="str">
        <f t="shared" si="203"/>
        <v/>
      </c>
      <c r="R994" s="13" t="str">
        <f t="shared" si="204"/>
        <v/>
      </c>
      <c r="S994" s="13" t="str">
        <f t="shared" si="205"/>
        <v/>
      </c>
      <c r="T994" s="22" t="str">
        <f>IF(R994&lt;&gt;"",VLOOKUP(P994,Constants!$D$3:$E$10,2),"")</f>
        <v/>
      </c>
    </row>
    <row r="995" spans="12:20" x14ac:dyDescent="0.25">
      <c r="L995" s="10" t="str">
        <f t="shared" si="198"/>
        <v/>
      </c>
      <c r="M995" s="10" t="str">
        <f t="shared" si="199"/>
        <v/>
      </c>
      <c r="N995" s="11" t="str">
        <f t="shared" si="200"/>
        <v/>
      </c>
      <c r="O995" s="10" t="str">
        <f t="shared" si="201"/>
        <v/>
      </c>
      <c r="P995" s="12" t="str">
        <f t="shared" si="202"/>
        <v/>
      </c>
      <c r="Q995" s="10" t="str">
        <f t="shared" si="203"/>
        <v/>
      </c>
      <c r="R995" s="13" t="str">
        <f t="shared" si="204"/>
        <v/>
      </c>
      <c r="S995" s="13" t="str">
        <f t="shared" si="205"/>
        <v/>
      </c>
      <c r="T995" s="22" t="str">
        <f>IF(R995&lt;&gt;"",VLOOKUP(P995,Constants!$D$3:$E$10,2),"")</f>
        <v/>
      </c>
    </row>
    <row r="996" spans="12:20" x14ac:dyDescent="0.25">
      <c r="L996" s="10" t="str">
        <f t="shared" si="198"/>
        <v/>
      </c>
      <c r="M996" s="10" t="str">
        <f t="shared" si="199"/>
        <v/>
      </c>
      <c r="N996" s="11" t="str">
        <f t="shared" si="200"/>
        <v/>
      </c>
      <c r="O996" s="10" t="str">
        <f t="shared" si="201"/>
        <v/>
      </c>
      <c r="P996" s="12" t="str">
        <f t="shared" si="202"/>
        <v/>
      </c>
      <c r="Q996" s="10" t="str">
        <f t="shared" si="203"/>
        <v/>
      </c>
      <c r="R996" s="13" t="str">
        <f t="shared" si="204"/>
        <v/>
      </c>
      <c r="S996" s="13" t="str">
        <f t="shared" si="205"/>
        <v/>
      </c>
      <c r="T996" s="22" t="str">
        <f>IF(R996&lt;&gt;"",VLOOKUP(P996,Constants!$D$3:$E$10,2),"")</f>
        <v/>
      </c>
    </row>
    <row r="997" spans="12:20" x14ac:dyDescent="0.25">
      <c r="L997" s="10" t="str">
        <f t="shared" si="198"/>
        <v/>
      </c>
      <c r="M997" s="10" t="str">
        <f t="shared" si="199"/>
        <v/>
      </c>
      <c r="N997" s="11" t="str">
        <f t="shared" si="200"/>
        <v/>
      </c>
      <c r="O997" s="10" t="str">
        <f t="shared" si="201"/>
        <v/>
      </c>
      <c r="P997" s="12" t="str">
        <f t="shared" si="202"/>
        <v/>
      </c>
      <c r="Q997" s="10" t="str">
        <f t="shared" si="203"/>
        <v/>
      </c>
      <c r="R997" s="13" t="str">
        <f t="shared" si="204"/>
        <v/>
      </c>
      <c r="S997" s="13" t="str">
        <f t="shared" si="205"/>
        <v/>
      </c>
      <c r="T997" s="22" t="str">
        <f>IF(R997&lt;&gt;"",VLOOKUP(P997,Constants!$D$3:$E$10,2),"")</f>
        <v/>
      </c>
    </row>
    <row r="998" spans="12:20" x14ac:dyDescent="0.25">
      <c r="L998" s="10" t="str">
        <f t="shared" si="198"/>
        <v/>
      </c>
      <c r="M998" s="10" t="str">
        <f t="shared" si="199"/>
        <v/>
      </c>
      <c r="N998" s="11" t="str">
        <f t="shared" si="200"/>
        <v/>
      </c>
      <c r="O998" s="10" t="str">
        <f t="shared" si="201"/>
        <v/>
      </c>
      <c r="P998" s="12" t="str">
        <f t="shared" si="202"/>
        <v/>
      </c>
      <c r="Q998" s="10" t="str">
        <f t="shared" si="203"/>
        <v/>
      </c>
      <c r="R998" s="13" t="str">
        <f t="shared" si="204"/>
        <v/>
      </c>
      <c r="S998" s="13" t="str">
        <f t="shared" si="205"/>
        <v/>
      </c>
      <c r="T998" s="22" t="str">
        <f>IF(R998&lt;&gt;"",VLOOKUP(P998,Constants!$D$3:$E$10,2),"")</f>
        <v/>
      </c>
    </row>
    <row r="999" spans="12:20" x14ac:dyDescent="0.25">
      <c r="L999" s="10" t="str">
        <f t="shared" si="198"/>
        <v/>
      </c>
      <c r="M999" s="10" t="str">
        <f t="shared" si="199"/>
        <v/>
      </c>
      <c r="N999" s="11" t="str">
        <f t="shared" si="200"/>
        <v/>
      </c>
      <c r="O999" s="10" t="str">
        <f t="shared" si="201"/>
        <v/>
      </c>
      <c r="P999" s="12" t="str">
        <f t="shared" si="202"/>
        <v/>
      </c>
      <c r="Q999" s="10" t="str">
        <f t="shared" si="203"/>
        <v/>
      </c>
      <c r="R999" s="13" t="str">
        <f t="shared" si="204"/>
        <v/>
      </c>
      <c r="S999" s="13" t="str">
        <f t="shared" si="205"/>
        <v/>
      </c>
      <c r="T999" s="22" t="str">
        <f>IF(R999&lt;&gt;"",VLOOKUP(P999,Constants!$D$3:$E$10,2),"")</f>
        <v/>
      </c>
    </row>
    <row r="1000" spans="12:20" x14ac:dyDescent="0.25">
      <c r="L1000" s="10" t="str">
        <f t="shared" si="198"/>
        <v/>
      </c>
      <c r="M1000" s="10" t="str">
        <f t="shared" si="199"/>
        <v/>
      </c>
      <c r="N1000" s="11" t="str">
        <f t="shared" si="200"/>
        <v/>
      </c>
      <c r="O1000" s="10" t="str">
        <f t="shared" si="201"/>
        <v/>
      </c>
      <c r="P1000" s="12" t="str">
        <f t="shared" si="202"/>
        <v/>
      </c>
      <c r="Q1000" s="10" t="str">
        <f t="shared" si="203"/>
        <v/>
      </c>
      <c r="R1000" s="13" t="str">
        <f t="shared" si="204"/>
        <v/>
      </c>
      <c r="S1000" s="13" t="str">
        <f t="shared" si="205"/>
        <v/>
      </c>
      <c r="T1000" s="22" t="str">
        <f>IF(R1000&lt;&gt;"",VLOOKUP(P1000,Constants!$D$3:$E$10,2),"")</f>
        <v/>
      </c>
    </row>
    <row r="1001" spans="12:20" x14ac:dyDescent="0.25">
      <c r="L1001" s="10" t="str">
        <f t="shared" si="198"/>
        <v/>
      </c>
      <c r="M1001" s="10" t="str">
        <f t="shared" si="199"/>
        <v/>
      </c>
      <c r="N1001" s="11" t="str">
        <f t="shared" si="200"/>
        <v/>
      </c>
      <c r="O1001" s="10" t="str">
        <f t="shared" si="201"/>
        <v/>
      </c>
      <c r="P1001" s="12" t="str">
        <f t="shared" si="202"/>
        <v/>
      </c>
      <c r="Q1001" s="10" t="str">
        <f t="shared" si="203"/>
        <v/>
      </c>
      <c r="R1001" s="13" t="str">
        <f t="shared" si="204"/>
        <v/>
      </c>
      <c r="S1001" s="13" t="str">
        <f t="shared" si="205"/>
        <v/>
      </c>
      <c r="T1001" s="22" t="str">
        <f>IF(R1001&lt;&gt;"",VLOOKUP(P1001,Constants!$D$3:$E$10,2),"")</f>
        <v/>
      </c>
    </row>
    <row r="1002" spans="12:20" x14ac:dyDescent="0.25">
      <c r="L1002" s="10" t="str">
        <f t="shared" si="198"/>
        <v/>
      </c>
      <c r="M1002" s="10" t="str">
        <f t="shared" si="199"/>
        <v/>
      </c>
      <c r="N1002" s="11" t="str">
        <f t="shared" si="200"/>
        <v/>
      </c>
      <c r="O1002" s="10" t="str">
        <f t="shared" si="201"/>
        <v/>
      </c>
      <c r="P1002" s="12" t="str">
        <f t="shared" si="202"/>
        <v/>
      </c>
      <c r="Q1002" s="10" t="str">
        <f t="shared" si="203"/>
        <v/>
      </c>
      <c r="R1002" s="13" t="str">
        <f t="shared" si="204"/>
        <v/>
      </c>
      <c r="S1002" s="13" t="str">
        <f t="shared" si="205"/>
        <v/>
      </c>
      <c r="T1002" s="22" t="str">
        <f>IF(R1002&lt;&gt;"",VLOOKUP(P1002,Constants!$D$3:$E$10,2),"")</f>
        <v/>
      </c>
    </row>
    <row r="1003" spans="12:20" x14ac:dyDescent="0.25">
      <c r="L1003" s="10" t="str">
        <f t="shared" si="198"/>
        <v/>
      </c>
      <c r="M1003" s="10" t="str">
        <f t="shared" si="199"/>
        <v/>
      </c>
      <c r="N1003" s="11" t="str">
        <f t="shared" si="200"/>
        <v/>
      </c>
      <c r="O1003" s="10" t="str">
        <f t="shared" si="201"/>
        <v/>
      </c>
      <c r="P1003" s="12" t="str">
        <f t="shared" si="202"/>
        <v/>
      </c>
      <c r="Q1003" s="10" t="str">
        <f t="shared" si="203"/>
        <v/>
      </c>
      <c r="R1003" s="13" t="str">
        <f t="shared" si="204"/>
        <v/>
      </c>
      <c r="S1003" s="13" t="str">
        <f t="shared" si="205"/>
        <v/>
      </c>
      <c r="T1003" s="22" t="str">
        <f>IF(R1003&lt;&gt;"",VLOOKUP(P1003,Constants!$D$3:$E$10,2),"")</f>
        <v/>
      </c>
    </row>
    <row r="1004" spans="12:20" x14ac:dyDescent="0.25">
      <c r="L1004" s="10" t="str">
        <f t="shared" si="198"/>
        <v/>
      </c>
      <c r="M1004" s="10" t="str">
        <f t="shared" si="199"/>
        <v/>
      </c>
      <c r="N1004" s="11" t="str">
        <f t="shared" si="200"/>
        <v/>
      </c>
      <c r="O1004" s="10" t="str">
        <f t="shared" si="201"/>
        <v/>
      </c>
      <c r="P1004" s="12" t="str">
        <f t="shared" si="202"/>
        <v/>
      </c>
      <c r="Q1004" s="10" t="str">
        <f t="shared" si="203"/>
        <v/>
      </c>
      <c r="R1004" s="13" t="str">
        <f t="shared" si="204"/>
        <v/>
      </c>
      <c r="S1004" s="13" t="str">
        <f t="shared" si="205"/>
        <v/>
      </c>
      <c r="T1004" s="22" t="str">
        <f>IF(R1004&lt;&gt;"",VLOOKUP(P1004,Constants!$D$3:$E$10,2),"")</f>
        <v/>
      </c>
    </row>
    <row r="1005" spans="12:20" x14ac:dyDescent="0.25">
      <c r="L1005" s="10" t="str">
        <f t="shared" si="198"/>
        <v/>
      </c>
      <c r="M1005" s="10" t="str">
        <f t="shared" si="199"/>
        <v/>
      </c>
      <c r="N1005" s="11" t="str">
        <f t="shared" si="200"/>
        <v/>
      </c>
      <c r="O1005" s="10" t="str">
        <f t="shared" si="201"/>
        <v/>
      </c>
      <c r="P1005" s="12" t="str">
        <f t="shared" si="202"/>
        <v/>
      </c>
      <c r="Q1005" s="10" t="str">
        <f t="shared" si="203"/>
        <v/>
      </c>
      <c r="R1005" s="13" t="str">
        <f t="shared" si="204"/>
        <v/>
      </c>
      <c r="S1005" s="13" t="str">
        <f t="shared" si="205"/>
        <v/>
      </c>
      <c r="T1005" s="22" t="str">
        <f>IF(R1005&lt;&gt;"",VLOOKUP(P1005,Constants!$D$3:$E$10,2),"")</f>
        <v/>
      </c>
    </row>
    <row r="1006" spans="12:20" x14ac:dyDescent="0.25">
      <c r="L1006" s="10" t="str">
        <f t="shared" si="198"/>
        <v/>
      </c>
      <c r="M1006" s="10" t="str">
        <f t="shared" si="199"/>
        <v/>
      </c>
      <c r="N1006" s="11" t="str">
        <f t="shared" si="200"/>
        <v/>
      </c>
      <c r="O1006" s="10" t="str">
        <f t="shared" si="201"/>
        <v/>
      </c>
      <c r="P1006" s="12" t="str">
        <f t="shared" si="202"/>
        <v/>
      </c>
      <c r="Q1006" s="10" t="str">
        <f t="shared" si="203"/>
        <v/>
      </c>
      <c r="R1006" s="13" t="str">
        <f t="shared" si="204"/>
        <v/>
      </c>
      <c r="S1006" s="13" t="str">
        <f t="shared" si="205"/>
        <v/>
      </c>
      <c r="T1006" s="22" t="str">
        <f>IF(R1006&lt;&gt;"",VLOOKUP(P1006,Constants!$D$3:$E$10,2),"")</f>
        <v/>
      </c>
    </row>
    <row r="1007" spans="12:20" x14ac:dyDescent="0.25">
      <c r="L1007" s="10" t="str">
        <f t="shared" si="198"/>
        <v/>
      </c>
      <c r="M1007" s="10" t="str">
        <f t="shared" si="199"/>
        <v/>
      </c>
      <c r="N1007" s="11" t="str">
        <f t="shared" si="200"/>
        <v/>
      </c>
      <c r="O1007" s="10" t="str">
        <f t="shared" si="201"/>
        <v/>
      </c>
      <c r="P1007" s="12" t="str">
        <f t="shared" si="202"/>
        <v/>
      </c>
      <c r="Q1007" s="10" t="str">
        <f t="shared" si="203"/>
        <v/>
      </c>
      <c r="R1007" s="13" t="str">
        <f t="shared" si="204"/>
        <v/>
      </c>
      <c r="S1007" s="13" t="str">
        <f t="shared" si="205"/>
        <v/>
      </c>
      <c r="T1007" s="22" t="str">
        <f>IF(R1007&lt;&gt;"",VLOOKUP(P1007,Constants!$D$3:$E$10,2),"")</f>
        <v/>
      </c>
    </row>
    <row r="1008" spans="12:20" x14ac:dyDescent="0.25">
      <c r="L1008" s="10" t="str">
        <f t="shared" si="198"/>
        <v/>
      </c>
      <c r="M1008" s="10" t="str">
        <f t="shared" si="199"/>
        <v/>
      </c>
      <c r="N1008" s="11" t="str">
        <f t="shared" si="200"/>
        <v/>
      </c>
      <c r="O1008" s="10" t="str">
        <f t="shared" si="201"/>
        <v/>
      </c>
      <c r="P1008" s="12" t="str">
        <f t="shared" si="202"/>
        <v/>
      </c>
      <c r="Q1008" s="10" t="str">
        <f t="shared" si="203"/>
        <v/>
      </c>
      <c r="R1008" s="13" t="str">
        <f t="shared" si="204"/>
        <v/>
      </c>
      <c r="S1008" s="13" t="str">
        <f t="shared" si="205"/>
        <v/>
      </c>
      <c r="T1008" s="22" t="str">
        <f>IF(R1008&lt;&gt;"",VLOOKUP(P1008,Constants!$D$3:$E$10,2),"")</f>
        <v/>
      </c>
    </row>
    <row r="1009" spans="12:20" x14ac:dyDescent="0.25">
      <c r="L1009" s="10" t="str">
        <f t="shared" si="198"/>
        <v/>
      </c>
      <c r="M1009" s="10" t="str">
        <f t="shared" si="199"/>
        <v/>
      </c>
      <c r="N1009" s="11" t="str">
        <f t="shared" si="200"/>
        <v/>
      </c>
      <c r="O1009" s="10" t="str">
        <f t="shared" si="201"/>
        <v/>
      </c>
      <c r="P1009" s="12" t="str">
        <f t="shared" si="202"/>
        <v/>
      </c>
      <c r="Q1009" s="10" t="str">
        <f t="shared" si="203"/>
        <v/>
      </c>
      <c r="R1009" s="13" t="str">
        <f t="shared" si="204"/>
        <v/>
      </c>
      <c r="S1009" s="13" t="str">
        <f t="shared" si="205"/>
        <v/>
      </c>
      <c r="T1009" s="22" t="str">
        <f>IF(R1009&lt;&gt;"",VLOOKUP(P1009,Constants!$D$3:$E$10,2),"")</f>
        <v/>
      </c>
    </row>
    <row r="1010" spans="12:20" x14ac:dyDescent="0.25">
      <c r="L1010" s="10" t="str">
        <f t="shared" si="198"/>
        <v/>
      </c>
      <c r="M1010" s="10" t="str">
        <f t="shared" si="199"/>
        <v/>
      </c>
      <c r="N1010" s="11" t="str">
        <f t="shared" si="200"/>
        <v/>
      </c>
      <c r="O1010" s="10" t="str">
        <f t="shared" si="201"/>
        <v/>
      </c>
      <c r="P1010" s="12" t="str">
        <f t="shared" si="202"/>
        <v/>
      </c>
      <c r="Q1010" s="10" t="str">
        <f t="shared" si="203"/>
        <v/>
      </c>
      <c r="R1010" s="13" t="str">
        <f t="shared" si="204"/>
        <v/>
      </c>
      <c r="S1010" s="13" t="str">
        <f t="shared" si="205"/>
        <v/>
      </c>
      <c r="T1010" s="22" t="str">
        <f>IF(R1010&lt;&gt;"",VLOOKUP(P1010,Constants!$D$3:$E$10,2),"")</f>
        <v/>
      </c>
    </row>
    <row r="1011" spans="12:20" x14ac:dyDescent="0.25">
      <c r="L1011" s="10" t="str">
        <f t="shared" si="198"/>
        <v/>
      </c>
      <c r="M1011" s="10" t="str">
        <f t="shared" si="199"/>
        <v/>
      </c>
      <c r="N1011" s="11" t="str">
        <f t="shared" si="200"/>
        <v/>
      </c>
      <c r="O1011" s="10" t="str">
        <f t="shared" si="201"/>
        <v/>
      </c>
      <c r="P1011" s="12" t="str">
        <f t="shared" si="202"/>
        <v/>
      </c>
      <c r="Q1011" s="10" t="str">
        <f t="shared" si="203"/>
        <v/>
      </c>
      <c r="R1011" s="13" t="str">
        <f t="shared" si="204"/>
        <v/>
      </c>
      <c r="S1011" s="13" t="str">
        <f t="shared" si="205"/>
        <v/>
      </c>
      <c r="T1011" s="22" t="str">
        <f>IF(R1011&lt;&gt;"",VLOOKUP(P1011,Constants!$D$3:$E$10,2),"")</f>
        <v/>
      </c>
    </row>
    <row r="1012" spans="12:20" x14ac:dyDescent="0.25">
      <c r="L1012" s="10" t="str">
        <f t="shared" si="198"/>
        <v/>
      </c>
      <c r="M1012" s="10" t="str">
        <f t="shared" si="199"/>
        <v/>
      </c>
      <c r="N1012" s="11" t="str">
        <f t="shared" si="200"/>
        <v/>
      </c>
      <c r="O1012" s="10" t="str">
        <f t="shared" si="201"/>
        <v/>
      </c>
      <c r="P1012" s="12" t="str">
        <f t="shared" si="202"/>
        <v/>
      </c>
      <c r="Q1012" s="10" t="str">
        <f t="shared" si="203"/>
        <v/>
      </c>
      <c r="R1012" s="13" t="str">
        <f t="shared" si="204"/>
        <v/>
      </c>
      <c r="S1012" s="13" t="str">
        <f t="shared" si="205"/>
        <v/>
      </c>
      <c r="T1012" s="22" t="str">
        <f>IF(R1012&lt;&gt;"",VLOOKUP(P1012,Constants!$D$3:$E$10,2),"")</f>
        <v/>
      </c>
    </row>
    <row r="1013" spans="12:20" x14ac:dyDescent="0.25">
      <c r="L1013" s="10" t="str">
        <f t="shared" si="198"/>
        <v/>
      </c>
      <c r="M1013" s="10" t="str">
        <f t="shared" si="199"/>
        <v/>
      </c>
      <c r="N1013" s="11" t="str">
        <f t="shared" si="200"/>
        <v/>
      </c>
      <c r="O1013" s="10" t="str">
        <f t="shared" si="201"/>
        <v/>
      </c>
      <c r="P1013" s="12" t="str">
        <f t="shared" si="202"/>
        <v/>
      </c>
      <c r="Q1013" s="10" t="str">
        <f t="shared" si="203"/>
        <v/>
      </c>
      <c r="R1013" s="13" t="str">
        <f t="shared" si="204"/>
        <v/>
      </c>
      <c r="S1013" s="13" t="str">
        <f t="shared" si="205"/>
        <v/>
      </c>
      <c r="T1013" s="22" t="str">
        <f>IF(R1013&lt;&gt;"",VLOOKUP(P1013,Constants!$D$3:$E$10,2),"")</f>
        <v/>
      </c>
    </row>
    <row r="1014" spans="12:20" x14ac:dyDescent="0.25">
      <c r="L1014" s="10" t="str">
        <f t="shared" si="198"/>
        <v/>
      </c>
      <c r="M1014" s="10" t="str">
        <f t="shared" si="199"/>
        <v/>
      </c>
      <c r="N1014" s="11" t="str">
        <f t="shared" si="200"/>
        <v/>
      </c>
      <c r="O1014" s="10" t="str">
        <f t="shared" si="201"/>
        <v/>
      </c>
      <c r="P1014" s="12" t="str">
        <f t="shared" si="202"/>
        <v/>
      </c>
      <c r="Q1014" s="10" t="str">
        <f t="shared" si="203"/>
        <v/>
      </c>
      <c r="R1014" s="13" t="str">
        <f t="shared" si="204"/>
        <v/>
      </c>
      <c r="S1014" s="13" t="str">
        <f t="shared" si="205"/>
        <v/>
      </c>
      <c r="T1014" s="22" t="str">
        <f>IF(R1014&lt;&gt;"",VLOOKUP(P1014,Constants!$D$3:$E$10,2),"")</f>
        <v/>
      </c>
    </row>
    <row r="1015" spans="12:20" x14ac:dyDescent="0.25">
      <c r="L1015" s="10" t="str">
        <f t="shared" si="198"/>
        <v/>
      </c>
      <c r="M1015" s="10" t="str">
        <f t="shared" si="199"/>
        <v/>
      </c>
      <c r="N1015" s="11" t="str">
        <f t="shared" si="200"/>
        <v/>
      </c>
      <c r="O1015" s="10" t="str">
        <f t="shared" si="201"/>
        <v/>
      </c>
      <c r="P1015" s="12" t="str">
        <f t="shared" si="202"/>
        <v/>
      </c>
      <c r="Q1015" s="10" t="str">
        <f t="shared" si="203"/>
        <v/>
      </c>
      <c r="R1015" s="13" t="str">
        <f t="shared" si="204"/>
        <v/>
      </c>
      <c r="S1015" s="13" t="str">
        <f t="shared" si="205"/>
        <v/>
      </c>
      <c r="T1015" s="22" t="str">
        <f>IF(R1015&lt;&gt;"",VLOOKUP(P1015,Constants!$D$3:$E$10,2),"")</f>
        <v/>
      </c>
    </row>
    <row r="1016" spans="12:20" x14ac:dyDescent="0.25">
      <c r="L1016" s="10" t="str">
        <f t="shared" si="198"/>
        <v/>
      </c>
      <c r="M1016" s="10" t="str">
        <f t="shared" si="199"/>
        <v/>
      </c>
      <c r="N1016" s="11" t="str">
        <f t="shared" si="200"/>
        <v/>
      </c>
      <c r="O1016" s="10" t="str">
        <f t="shared" si="201"/>
        <v/>
      </c>
      <c r="P1016" s="12" t="str">
        <f t="shared" si="202"/>
        <v/>
      </c>
      <c r="Q1016" s="10" t="str">
        <f t="shared" si="203"/>
        <v/>
      </c>
      <c r="R1016" s="13" t="str">
        <f t="shared" si="204"/>
        <v/>
      </c>
      <c r="S1016" s="13" t="str">
        <f t="shared" si="205"/>
        <v/>
      </c>
      <c r="T1016" s="22" t="str">
        <f>IF(R1016&lt;&gt;"",VLOOKUP(P1016,Constants!$D$3:$E$10,2),"")</f>
        <v/>
      </c>
    </row>
    <row r="1017" spans="12:20" x14ac:dyDescent="0.25">
      <c r="L1017" s="10" t="str">
        <f t="shared" si="198"/>
        <v/>
      </c>
      <c r="M1017" s="10" t="str">
        <f t="shared" si="199"/>
        <v/>
      </c>
      <c r="N1017" s="11" t="str">
        <f t="shared" si="200"/>
        <v/>
      </c>
      <c r="O1017" s="10" t="str">
        <f t="shared" si="201"/>
        <v/>
      </c>
      <c r="P1017" s="12" t="str">
        <f t="shared" si="202"/>
        <v/>
      </c>
      <c r="Q1017" s="10" t="str">
        <f t="shared" si="203"/>
        <v/>
      </c>
      <c r="R1017" s="13" t="str">
        <f t="shared" si="204"/>
        <v/>
      </c>
      <c r="S1017" s="13" t="str">
        <f t="shared" si="205"/>
        <v/>
      </c>
      <c r="T1017" s="22" t="str">
        <f>IF(R1017&lt;&gt;"",VLOOKUP(P1017,Constants!$D$3:$E$10,2),"")</f>
        <v/>
      </c>
    </row>
    <row r="1018" spans="12:20" x14ac:dyDescent="0.25">
      <c r="L1018" s="10" t="str">
        <f t="shared" si="198"/>
        <v/>
      </c>
      <c r="M1018" s="10" t="str">
        <f t="shared" si="199"/>
        <v/>
      </c>
      <c r="N1018" s="11" t="str">
        <f t="shared" si="200"/>
        <v/>
      </c>
      <c r="O1018" s="10" t="str">
        <f t="shared" si="201"/>
        <v/>
      </c>
      <c r="P1018" s="12" t="str">
        <f t="shared" si="202"/>
        <v/>
      </c>
      <c r="Q1018" s="10" t="str">
        <f t="shared" si="203"/>
        <v/>
      </c>
      <c r="R1018" s="13" t="str">
        <f t="shared" si="204"/>
        <v/>
      </c>
      <c r="S1018" s="13" t="str">
        <f t="shared" si="205"/>
        <v/>
      </c>
      <c r="T1018" s="22" t="str">
        <f>IF(R1018&lt;&gt;"",VLOOKUP(P1018,Constants!$D$3:$E$10,2),"")</f>
        <v/>
      </c>
    </row>
    <row r="1019" spans="12:20" x14ac:dyDescent="0.25">
      <c r="L1019" s="10" t="str">
        <f t="shared" si="198"/>
        <v/>
      </c>
      <c r="M1019" s="10" t="str">
        <f t="shared" si="199"/>
        <v/>
      </c>
      <c r="N1019" s="11" t="str">
        <f t="shared" si="200"/>
        <v/>
      </c>
      <c r="O1019" s="10" t="str">
        <f t="shared" si="201"/>
        <v/>
      </c>
      <c r="P1019" s="12" t="str">
        <f t="shared" si="202"/>
        <v/>
      </c>
      <c r="Q1019" s="10" t="str">
        <f t="shared" si="203"/>
        <v/>
      </c>
      <c r="R1019" s="13" t="str">
        <f t="shared" si="204"/>
        <v/>
      </c>
      <c r="S1019" s="13" t="str">
        <f t="shared" si="205"/>
        <v/>
      </c>
      <c r="T1019" s="22" t="str">
        <f>IF(R1019&lt;&gt;"",VLOOKUP(P1019,Constants!$D$3:$E$10,2),"")</f>
        <v/>
      </c>
    </row>
    <row r="1020" spans="12:20" x14ac:dyDescent="0.25">
      <c r="L1020" s="10" t="str">
        <f t="shared" si="198"/>
        <v/>
      </c>
      <c r="M1020" s="10" t="str">
        <f t="shared" si="199"/>
        <v/>
      </c>
      <c r="N1020" s="11" t="str">
        <f t="shared" si="200"/>
        <v/>
      </c>
      <c r="O1020" s="10" t="str">
        <f t="shared" si="201"/>
        <v/>
      </c>
      <c r="P1020" s="12" t="str">
        <f t="shared" si="202"/>
        <v/>
      </c>
      <c r="Q1020" s="10" t="str">
        <f t="shared" si="203"/>
        <v/>
      </c>
      <c r="R1020" s="13" t="str">
        <f t="shared" si="204"/>
        <v/>
      </c>
      <c r="S1020" s="13" t="str">
        <f t="shared" si="205"/>
        <v/>
      </c>
      <c r="T1020" s="22" t="str">
        <f>IF(R1020&lt;&gt;"",VLOOKUP(P1020,Constants!$D$3:$E$10,2),"")</f>
        <v/>
      </c>
    </row>
    <row r="1021" spans="12:20" x14ac:dyDescent="0.25">
      <c r="L1021" s="10" t="str">
        <f t="shared" si="198"/>
        <v/>
      </c>
      <c r="M1021" s="10" t="str">
        <f t="shared" si="199"/>
        <v/>
      </c>
      <c r="N1021" s="11" t="str">
        <f t="shared" si="200"/>
        <v/>
      </c>
      <c r="O1021" s="10" t="str">
        <f t="shared" si="201"/>
        <v/>
      </c>
      <c r="P1021" s="12" t="str">
        <f t="shared" si="202"/>
        <v/>
      </c>
      <c r="Q1021" s="10" t="str">
        <f t="shared" si="203"/>
        <v/>
      </c>
      <c r="R1021" s="13" t="str">
        <f t="shared" si="204"/>
        <v/>
      </c>
      <c r="S1021" s="13" t="str">
        <f t="shared" si="205"/>
        <v/>
      </c>
      <c r="T1021" s="22" t="str">
        <f>IF(R1021&lt;&gt;"",VLOOKUP(P1021,Constants!$D$3:$E$10,2),"")</f>
        <v/>
      </c>
    </row>
    <row r="1022" spans="12:20" x14ac:dyDescent="0.25">
      <c r="L1022" s="10" t="str">
        <f t="shared" si="198"/>
        <v/>
      </c>
      <c r="M1022" s="10" t="str">
        <f t="shared" si="199"/>
        <v/>
      </c>
      <c r="N1022" s="11" t="str">
        <f t="shared" si="200"/>
        <v/>
      </c>
      <c r="O1022" s="10" t="str">
        <f t="shared" si="201"/>
        <v/>
      </c>
      <c r="P1022" s="12" t="str">
        <f t="shared" si="202"/>
        <v/>
      </c>
      <c r="Q1022" s="10" t="str">
        <f t="shared" si="203"/>
        <v/>
      </c>
      <c r="R1022" s="13" t="str">
        <f t="shared" si="204"/>
        <v/>
      </c>
      <c r="S1022" s="13" t="str">
        <f t="shared" si="205"/>
        <v/>
      </c>
      <c r="T1022" s="22" t="str">
        <f>IF(R1022&lt;&gt;"",VLOOKUP(P1022,Constants!$D$3:$E$10,2),"")</f>
        <v/>
      </c>
    </row>
    <row r="1023" spans="12:20" x14ac:dyDescent="0.25">
      <c r="L1023" s="10" t="str">
        <f t="shared" si="198"/>
        <v/>
      </c>
      <c r="M1023" s="10" t="str">
        <f t="shared" si="199"/>
        <v/>
      </c>
      <c r="N1023" s="11" t="str">
        <f t="shared" si="200"/>
        <v/>
      </c>
      <c r="O1023" s="10" t="str">
        <f t="shared" si="201"/>
        <v/>
      </c>
      <c r="P1023" s="12" t="str">
        <f t="shared" si="202"/>
        <v/>
      </c>
      <c r="Q1023" s="10" t="str">
        <f t="shared" si="203"/>
        <v/>
      </c>
      <c r="R1023" s="13" t="str">
        <f t="shared" si="204"/>
        <v/>
      </c>
      <c r="S1023" s="13" t="str">
        <f t="shared" si="205"/>
        <v/>
      </c>
      <c r="T1023" s="22" t="str">
        <f>IF(R1023&lt;&gt;"",VLOOKUP(P1023,Constants!$D$3:$E$10,2),"")</f>
        <v/>
      </c>
    </row>
    <row r="1024" spans="12:20" x14ac:dyDescent="0.25">
      <c r="L1024" s="10" t="str">
        <f t="shared" si="198"/>
        <v/>
      </c>
      <c r="M1024" s="10" t="str">
        <f t="shared" si="199"/>
        <v/>
      </c>
      <c r="N1024" s="11" t="str">
        <f t="shared" si="200"/>
        <v/>
      </c>
      <c r="O1024" s="10" t="str">
        <f t="shared" si="201"/>
        <v/>
      </c>
      <c r="P1024" s="12" t="str">
        <f t="shared" si="202"/>
        <v/>
      </c>
      <c r="Q1024" s="10" t="str">
        <f t="shared" si="203"/>
        <v/>
      </c>
      <c r="R1024" s="13" t="str">
        <f t="shared" si="204"/>
        <v/>
      </c>
      <c r="S1024" s="13" t="str">
        <f t="shared" si="205"/>
        <v/>
      </c>
      <c r="T1024" s="22" t="str">
        <f>IF(R1024&lt;&gt;"",VLOOKUP(P1024,Constants!$D$3:$E$10,2),"")</f>
        <v/>
      </c>
    </row>
    <row r="1025" spans="12:20" x14ac:dyDescent="0.25">
      <c r="L1025" s="10" t="str">
        <f t="shared" si="198"/>
        <v/>
      </c>
      <c r="M1025" s="10" t="str">
        <f t="shared" si="199"/>
        <v/>
      </c>
      <c r="N1025" s="11" t="str">
        <f t="shared" si="200"/>
        <v/>
      </c>
      <c r="O1025" s="10" t="str">
        <f t="shared" si="201"/>
        <v/>
      </c>
      <c r="P1025" s="12" t="str">
        <f t="shared" si="202"/>
        <v/>
      </c>
      <c r="Q1025" s="10" t="str">
        <f t="shared" si="203"/>
        <v/>
      </c>
      <c r="R1025" s="13" t="str">
        <f t="shared" si="204"/>
        <v/>
      </c>
      <c r="S1025" s="13" t="str">
        <f t="shared" si="205"/>
        <v/>
      </c>
      <c r="T1025" s="22" t="str">
        <f>IF(R1025&lt;&gt;"",VLOOKUP(P1025,Constants!$D$3:$E$10,2),"")</f>
        <v/>
      </c>
    </row>
    <row r="1026" spans="12:20" x14ac:dyDescent="0.25">
      <c r="L1026" s="10" t="str">
        <f t="shared" si="198"/>
        <v/>
      </c>
      <c r="M1026" s="10" t="str">
        <f t="shared" si="199"/>
        <v/>
      </c>
      <c r="N1026" s="11" t="str">
        <f t="shared" si="200"/>
        <v/>
      </c>
      <c r="O1026" s="10" t="str">
        <f t="shared" si="201"/>
        <v/>
      </c>
      <c r="P1026" s="12" t="str">
        <f t="shared" si="202"/>
        <v/>
      </c>
      <c r="Q1026" s="10" t="str">
        <f t="shared" si="203"/>
        <v/>
      </c>
      <c r="R1026" s="13" t="str">
        <f t="shared" si="204"/>
        <v/>
      </c>
      <c r="S1026" s="13" t="str">
        <f t="shared" si="205"/>
        <v/>
      </c>
      <c r="T1026" s="22" t="str">
        <f>IF(R1026&lt;&gt;"",VLOOKUP(P1026,Constants!$D$3:$E$10,2),"")</f>
        <v/>
      </c>
    </row>
    <row r="1027" spans="12:20" x14ac:dyDescent="0.25">
      <c r="L1027" s="10" t="str">
        <f t="shared" si="198"/>
        <v/>
      </c>
      <c r="M1027" s="10" t="str">
        <f t="shared" si="199"/>
        <v/>
      </c>
      <c r="N1027" s="11" t="str">
        <f t="shared" si="200"/>
        <v/>
      </c>
      <c r="O1027" s="10" t="str">
        <f t="shared" si="201"/>
        <v/>
      </c>
      <c r="P1027" s="12" t="str">
        <f t="shared" si="202"/>
        <v/>
      </c>
      <c r="Q1027" s="10" t="str">
        <f t="shared" si="203"/>
        <v/>
      </c>
      <c r="R1027" s="13" t="str">
        <f t="shared" si="204"/>
        <v/>
      </c>
      <c r="S1027" s="13" t="str">
        <f t="shared" si="205"/>
        <v/>
      </c>
      <c r="T1027" s="22" t="str">
        <f>IF(R1027&lt;&gt;"",VLOOKUP(P1027,Constants!$D$3:$E$10,2),"")</f>
        <v/>
      </c>
    </row>
    <row r="1028" spans="12:20" x14ac:dyDescent="0.25">
      <c r="L1028" s="10" t="str">
        <f t="shared" si="198"/>
        <v/>
      </c>
      <c r="M1028" s="10" t="str">
        <f t="shared" si="199"/>
        <v/>
      </c>
      <c r="N1028" s="11" t="str">
        <f t="shared" si="200"/>
        <v/>
      </c>
      <c r="O1028" s="10" t="str">
        <f t="shared" si="201"/>
        <v/>
      </c>
      <c r="P1028" s="12" t="str">
        <f t="shared" si="202"/>
        <v/>
      </c>
      <c r="Q1028" s="10" t="str">
        <f t="shared" si="203"/>
        <v/>
      </c>
      <c r="R1028" s="13" t="str">
        <f t="shared" si="204"/>
        <v/>
      </c>
      <c r="S1028" s="13" t="str">
        <f t="shared" si="205"/>
        <v/>
      </c>
      <c r="T1028" s="22" t="str">
        <f>IF(R1028&lt;&gt;"",VLOOKUP(P1028,Constants!$D$3:$E$10,2),"")</f>
        <v/>
      </c>
    </row>
    <row r="1029" spans="12:20" x14ac:dyDescent="0.25">
      <c r="L1029" s="10" t="str">
        <f t="shared" si="198"/>
        <v/>
      </c>
      <c r="M1029" s="10" t="str">
        <f t="shared" si="199"/>
        <v/>
      </c>
      <c r="N1029" s="11" t="str">
        <f t="shared" si="200"/>
        <v/>
      </c>
      <c r="O1029" s="10" t="str">
        <f t="shared" si="201"/>
        <v/>
      </c>
      <c r="P1029" s="12" t="str">
        <f t="shared" si="202"/>
        <v/>
      </c>
      <c r="Q1029" s="10" t="str">
        <f t="shared" si="203"/>
        <v/>
      </c>
      <c r="R1029" s="13" t="str">
        <f t="shared" si="204"/>
        <v/>
      </c>
      <c r="S1029" s="13" t="str">
        <f t="shared" si="205"/>
        <v/>
      </c>
      <c r="T1029" s="22" t="str">
        <f>IF(R1029&lt;&gt;"",VLOOKUP(P1029,Constants!$D$3:$E$10,2),"")</f>
        <v/>
      </c>
    </row>
    <row r="1030" spans="12:20" x14ac:dyDescent="0.25">
      <c r="L1030" s="10" t="str">
        <f t="shared" si="198"/>
        <v/>
      </c>
      <c r="M1030" s="10" t="str">
        <f t="shared" si="199"/>
        <v/>
      </c>
      <c r="N1030" s="11" t="str">
        <f t="shared" si="200"/>
        <v/>
      </c>
      <c r="O1030" s="10" t="str">
        <f t="shared" si="201"/>
        <v/>
      </c>
      <c r="P1030" s="12" t="str">
        <f t="shared" si="202"/>
        <v/>
      </c>
      <c r="Q1030" s="10" t="str">
        <f t="shared" si="203"/>
        <v/>
      </c>
      <c r="R1030" s="13" t="str">
        <f t="shared" si="204"/>
        <v/>
      </c>
      <c r="S1030" s="13" t="str">
        <f t="shared" si="205"/>
        <v/>
      </c>
      <c r="T1030" s="22" t="str">
        <f>IF(R1030&lt;&gt;"",VLOOKUP(P1030,Constants!$D$3:$E$10,2),"")</f>
        <v/>
      </c>
    </row>
    <row r="1031" spans="12:20" x14ac:dyDescent="0.25">
      <c r="L1031" s="10" t="str">
        <f t="shared" si="198"/>
        <v/>
      </c>
      <c r="M1031" s="10" t="str">
        <f t="shared" si="199"/>
        <v/>
      </c>
      <c r="N1031" s="11" t="str">
        <f t="shared" si="200"/>
        <v/>
      </c>
      <c r="O1031" s="10" t="str">
        <f t="shared" si="201"/>
        <v/>
      </c>
      <c r="P1031" s="12" t="str">
        <f t="shared" si="202"/>
        <v/>
      </c>
      <c r="Q1031" s="10" t="str">
        <f t="shared" si="203"/>
        <v/>
      </c>
      <c r="R1031" s="13" t="str">
        <f t="shared" si="204"/>
        <v/>
      </c>
      <c r="S1031" s="13" t="str">
        <f t="shared" si="205"/>
        <v/>
      </c>
      <c r="T1031" s="22" t="str">
        <f>IF(R1031&lt;&gt;"",VLOOKUP(P1031,Constants!$D$3:$E$10,2),"")</f>
        <v/>
      </c>
    </row>
    <row r="1032" spans="12:20" x14ac:dyDescent="0.25">
      <c r="L1032" s="10" t="str">
        <f t="shared" si="198"/>
        <v/>
      </c>
      <c r="M1032" s="10" t="str">
        <f t="shared" si="199"/>
        <v/>
      </c>
      <c r="N1032" s="11" t="str">
        <f t="shared" si="200"/>
        <v/>
      </c>
      <c r="O1032" s="10" t="str">
        <f t="shared" si="201"/>
        <v/>
      </c>
      <c r="P1032" s="12" t="str">
        <f t="shared" si="202"/>
        <v/>
      </c>
      <c r="Q1032" s="10" t="str">
        <f t="shared" si="203"/>
        <v/>
      </c>
      <c r="R1032" s="13" t="str">
        <f t="shared" si="204"/>
        <v/>
      </c>
      <c r="S1032" s="13" t="str">
        <f t="shared" si="205"/>
        <v/>
      </c>
      <c r="T1032" s="22" t="str">
        <f>IF(R1032&lt;&gt;"",VLOOKUP(P1032,Constants!$D$3:$E$10,2),"")</f>
        <v/>
      </c>
    </row>
    <row r="1033" spans="12:20" x14ac:dyDescent="0.25">
      <c r="L1033" s="10" t="str">
        <f t="shared" si="198"/>
        <v/>
      </c>
      <c r="M1033" s="10" t="str">
        <f t="shared" si="199"/>
        <v/>
      </c>
      <c r="N1033" s="11" t="str">
        <f t="shared" si="200"/>
        <v/>
      </c>
      <c r="O1033" s="10" t="str">
        <f t="shared" si="201"/>
        <v/>
      </c>
      <c r="P1033" s="12" t="str">
        <f t="shared" si="202"/>
        <v/>
      </c>
      <c r="Q1033" s="10" t="str">
        <f t="shared" si="203"/>
        <v/>
      </c>
      <c r="R1033" s="13" t="str">
        <f t="shared" si="204"/>
        <v/>
      </c>
      <c r="S1033" s="13" t="str">
        <f t="shared" si="205"/>
        <v/>
      </c>
      <c r="T1033" s="22" t="str">
        <f>IF(R1033&lt;&gt;"",VLOOKUP(P1033,Constants!$D$3:$E$10,2),"")</f>
        <v/>
      </c>
    </row>
    <row r="1034" spans="12:20" x14ac:dyDescent="0.25">
      <c r="L1034" s="10" t="str">
        <f t="shared" si="198"/>
        <v/>
      </c>
      <c r="M1034" s="10" t="str">
        <f t="shared" si="199"/>
        <v/>
      </c>
      <c r="N1034" s="11" t="str">
        <f t="shared" si="200"/>
        <v/>
      </c>
      <c r="O1034" s="10" t="str">
        <f t="shared" si="201"/>
        <v/>
      </c>
      <c r="P1034" s="12" t="str">
        <f t="shared" si="202"/>
        <v/>
      </c>
      <c r="Q1034" s="10" t="str">
        <f t="shared" si="203"/>
        <v/>
      </c>
      <c r="R1034" s="13" t="str">
        <f t="shared" si="204"/>
        <v/>
      </c>
      <c r="S1034" s="13" t="str">
        <f t="shared" si="205"/>
        <v/>
      </c>
      <c r="T1034" s="22" t="str">
        <f>IF(R1034&lt;&gt;"",VLOOKUP(P1034,Constants!$D$3:$E$10,2),"")</f>
        <v/>
      </c>
    </row>
    <row r="1035" spans="12:20" x14ac:dyDescent="0.25">
      <c r="L1035" s="10" t="str">
        <f t="shared" si="198"/>
        <v/>
      </c>
      <c r="M1035" s="10" t="str">
        <f t="shared" si="199"/>
        <v/>
      </c>
      <c r="N1035" s="11" t="str">
        <f t="shared" si="200"/>
        <v/>
      </c>
      <c r="O1035" s="10" t="str">
        <f t="shared" si="201"/>
        <v/>
      </c>
      <c r="P1035" s="12" t="str">
        <f t="shared" si="202"/>
        <v/>
      </c>
      <c r="Q1035" s="10" t="str">
        <f t="shared" si="203"/>
        <v/>
      </c>
      <c r="R1035" s="13" t="str">
        <f t="shared" si="204"/>
        <v/>
      </c>
      <c r="S1035" s="13" t="str">
        <f t="shared" si="205"/>
        <v/>
      </c>
      <c r="T1035" s="22" t="str">
        <f>IF(R1035&lt;&gt;"",VLOOKUP(P1035,Constants!$D$3:$E$10,2),"")</f>
        <v/>
      </c>
    </row>
    <row r="1036" spans="12:20" x14ac:dyDescent="0.25">
      <c r="L1036" s="10" t="str">
        <f t="shared" si="198"/>
        <v/>
      </c>
      <c r="M1036" s="10" t="str">
        <f t="shared" si="199"/>
        <v/>
      </c>
      <c r="N1036" s="11" t="str">
        <f t="shared" si="200"/>
        <v/>
      </c>
      <c r="O1036" s="10" t="str">
        <f t="shared" si="201"/>
        <v/>
      </c>
      <c r="P1036" s="12" t="str">
        <f t="shared" si="202"/>
        <v/>
      </c>
      <c r="Q1036" s="10" t="str">
        <f t="shared" si="203"/>
        <v/>
      </c>
      <c r="R1036" s="13" t="str">
        <f t="shared" si="204"/>
        <v/>
      </c>
      <c r="S1036" s="13" t="str">
        <f t="shared" si="205"/>
        <v/>
      </c>
      <c r="T1036" s="22" t="str">
        <f>IF(R1036&lt;&gt;"",VLOOKUP(P1036,Constants!$D$3:$E$10,2),"")</f>
        <v/>
      </c>
    </row>
    <row r="1037" spans="12:20" x14ac:dyDescent="0.25">
      <c r="L1037" s="10" t="str">
        <f t="shared" si="198"/>
        <v/>
      </c>
      <c r="M1037" s="10" t="str">
        <f t="shared" si="199"/>
        <v/>
      </c>
      <c r="N1037" s="11" t="str">
        <f t="shared" si="200"/>
        <v/>
      </c>
      <c r="O1037" s="10" t="str">
        <f t="shared" si="201"/>
        <v/>
      </c>
      <c r="P1037" s="12" t="str">
        <f t="shared" si="202"/>
        <v/>
      </c>
      <c r="Q1037" s="10" t="str">
        <f t="shared" si="203"/>
        <v/>
      </c>
      <c r="R1037" s="13" t="str">
        <f t="shared" si="204"/>
        <v/>
      </c>
      <c r="S1037" s="13" t="str">
        <f t="shared" si="205"/>
        <v/>
      </c>
      <c r="T1037" s="22" t="str">
        <f>IF(R1037&lt;&gt;"",VLOOKUP(P1037,Constants!$D$3:$E$10,2),"")</f>
        <v/>
      </c>
    </row>
    <row r="1038" spans="12:20" x14ac:dyDescent="0.25">
      <c r="L1038" s="10" t="str">
        <f t="shared" si="198"/>
        <v/>
      </c>
      <c r="M1038" s="10" t="str">
        <f t="shared" si="199"/>
        <v/>
      </c>
      <c r="N1038" s="11" t="str">
        <f t="shared" si="200"/>
        <v/>
      </c>
      <c r="O1038" s="10" t="str">
        <f t="shared" si="201"/>
        <v/>
      </c>
      <c r="P1038" s="12" t="str">
        <f t="shared" si="202"/>
        <v/>
      </c>
      <c r="Q1038" s="10" t="str">
        <f t="shared" si="203"/>
        <v/>
      </c>
      <c r="R1038" s="13" t="str">
        <f t="shared" si="204"/>
        <v/>
      </c>
      <c r="S1038" s="13" t="str">
        <f t="shared" si="205"/>
        <v/>
      </c>
      <c r="T1038" s="22" t="str">
        <f>IF(R1038&lt;&gt;"",VLOOKUP(P1038,Constants!$D$3:$E$10,2),"")</f>
        <v/>
      </c>
    </row>
    <row r="1039" spans="12:20" x14ac:dyDescent="0.25">
      <c r="L1039" s="10" t="str">
        <f t="shared" si="198"/>
        <v/>
      </c>
      <c r="M1039" s="10" t="str">
        <f t="shared" si="199"/>
        <v/>
      </c>
      <c r="N1039" s="11" t="str">
        <f t="shared" si="200"/>
        <v/>
      </c>
      <c r="O1039" s="10" t="str">
        <f t="shared" si="201"/>
        <v/>
      </c>
      <c r="P1039" s="12" t="str">
        <f t="shared" si="202"/>
        <v/>
      </c>
      <c r="Q1039" s="10" t="str">
        <f t="shared" si="203"/>
        <v/>
      </c>
      <c r="R1039" s="13" t="str">
        <f t="shared" si="204"/>
        <v/>
      </c>
      <c r="S1039" s="13" t="str">
        <f t="shared" si="205"/>
        <v/>
      </c>
      <c r="T1039" s="22" t="str">
        <f>IF(R1039&lt;&gt;"",VLOOKUP(P1039,Constants!$D$3:$E$10,2),"")</f>
        <v/>
      </c>
    </row>
    <row r="1040" spans="12:20" x14ac:dyDescent="0.25">
      <c r="L1040" s="10" t="str">
        <f t="shared" si="198"/>
        <v/>
      </c>
      <c r="M1040" s="10" t="str">
        <f t="shared" si="199"/>
        <v/>
      </c>
      <c r="N1040" s="11" t="str">
        <f t="shared" si="200"/>
        <v/>
      </c>
      <c r="O1040" s="10" t="str">
        <f t="shared" si="201"/>
        <v/>
      </c>
      <c r="P1040" s="12" t="str">
        <f t="shared" si="202"/>
        <v/>
      </c>
      <c r="Q1040" s="10" t="str">
        <f t="shared" si="203"/>
        <v/>
      </c>
      <c r="R1040" s="13" t="str">
        <f t="shared" si="204"/>
        <v/>
      </c>
      <c r="S1040" s="13" t="str">
        <f t="shared" si="205"/>
        <v/>
      </c>
      <c r="T1040" s="22" t="str">
        <f>IF(R1040&lt;&gt;"",VLOOKUP(P1040,Constants!$D$3:$E$10,2),"")</f>
        <v/>
      </c>
    </row>
    <row r="1041" spans="12:20" x14ac:dyDescent="0.25">
      <c r="L1041" s="10" t="str">
        <f t="shared" si="198"/>
        <v/>
      </c>
      <c r="M1041" s="10" t="str">
        <f t="shared" si="199"/>
        <v/>
      </c>
      <c r="N1041" s="11" t="str">
        <f t="shared" si="200"/>
        <v/>
      </c>
      <c r="O1041" s="10" t="str">
        <f t="shared" si="201"/>
        <v/>
      </c>
      <c r="P1041" s="12" t="str">
        <f t="shared" si="202"/>
        <v/>
      </c>
      <c r="Q1041" s="10" t="str">
        <f t="shared" si="203"/>
        <v/>
      </c>
      <c r="R1041" s="13" t="str">
        <f t="shared" si="204"/>
        <v/>
      </c>
      <c r="S1041" s="13" t="str">
        <f t="shared" si="205"/>
        <v/>
      </c>
      <c r="T1041" s="22" t="str">
        <f>IF(R1041&lt;&gt;"",VLOOKUP(P1041,Constants!$D$3:$E$10,2),"")</f>
        <v/>
      </c>
    </row>
    <row r="1042" spans="12:20" x14ac:dyDescent="0.25">
      <c r="L1042" s="10" t="str">
        <f t="shared" ref="L1042:L1105" si="206">IF($D1042&lt;&gt;"",$D1042*$E1042/1000,"")</f>
        <v/>
      </c>
      <c r="M1042" s="10" t="str">
        <f t="shared" ref="M1042:M1105" si="207">IF($D1042&lt;&gt;"",$D1042*$F1042/1000,"")</f>
        <v/>
      </c>
      <c r="N1042" s="11" t="str">
        <f t="shared" ref="N1042:N1105" si="208">IF($L1042&lt;&gt;"",SQRT($L1042*$L1042+$M1042*$M1042),"")</f>
        <v/>
      </c>
      <c r="O1042" s="10" t="str">
        <f t="shared" si="201"/>
        <v/>
      </c>
      <c r="P1042" s="12" t="str">
        <f t="shared" si="202"/>
        <v/>
      </c>
      <c r="Q1042" s="10" t="str">
        <f t="shared" si="203"/>
        <v/>
      </c>
      <c r="R1042" s="13" t="str">
        <f t="shared" si="204"/>
        <v/>
      </c>
      <c r="S1042" s="13" t="str">
        <f t="shared" si="205"/>
        <v/>
      </c>
      <c r="T1042" s="22" t="str">
        <f>IF(R1042&lt;&gt;"",VLOOKUP(P1042,Constants!$D$3:$E$10,2),"")</f>
        <v/>
      </c>
    </row>
    <row r="1043" spans="12:20" x14ac:dyDescent="0.25">
      <c r="L1043" s="10" t="str">
        <f t="shared" si="206"/>
        <v/>
      </c>
      <c r="M1043" s="10" t="str">
        <f t="shared" si="207"/>
        <v/>
      </c>
      <c r="N1043" s="11" t="str">
        <f t="shared" si="208"/>
        <v/>
      </c>
      <c r="O1043" s="10" t="str">
        <f t="shared" si="201"/>
        <v/>
      </c>
      <c r="P1043" s="12" t="str">
        <f t="shared" si="202"/>
        <v/>
      </c>
      <c r="Q1043" s="10" t="str">
        <f t="shared" si="203"/>
        <v/>
      </c>
      <c r="R1043" s="13" t="str">
        <f t="shared" si="204"/>
        <v/>
      </c>
      <c r="S1043" s="13" t="str">
        <f t="shared" si="205"/>
        <v/>
      </c>
      <c r="T1043" s="22" t="str">
        <f>IF(R1043&lt;&gt;"",VLOOKUP(P1043,Constants!$D$3:$E$10,2),"")</f>
        <v/>
      </c>
    </row>
    <row r="1044" spans="12:20" x14ac:dyDescent="0.25">
      <c r="L1044" s="10" t="str">
        <f t="shared" si="206"/>
        <v/>
      </c>
      <c r="M1044" s="10" t="str">
        <f t="shared" si="207"/>
        <v/>
      </c>
      <c r="N1044" s="11" t="str">
        <f t="shared" si="208"/>
        <v/>
      </c>
      <c r="O1044" s="10" t="str">
        <f t="shared" ref="O1044:O1107" si="209">IF(D1044&lt;&gt;"",1000/(2*D1044),"")</f>
        <v/>
      </c>
      <c r="P1044" s="12" t="str">
        <f t="shared" ref="P1044:P1107" si="210">IF($N1044&lt;&gt;"",D1044*SQRT(E1044*E1044+F1044*F1044)/16000,"")</f>
        <v/>
      </c>
      <c r="Q1044" s="10" t="str">
        <f t="shared" ref="Q1044:Q1107" si="211">IF(F1044&lt;&gt;"",F1044*E1044/1000000,"")</f>
        <v/>
      </c>
      <c r="R1044" s="13" t="str">
        <f t="shared" ref="R1044:R1107" si="212">IF(G1044&lt;&gt;"",1000/G1044,"")</f>
        <v/>
      </c>
      <c r="S1044" s="13" t="str">
        <f t="shared" ref="S1044:S1107" si="213">IF(R1044&lt;&gt;"",Q1044/R1044*1000,"")</f>
        <v/>
      </c>
      <c r="T1044" s="22" t="str">
        <f>IF(R1044&lt;&gt;"",VLOOKUP(P1044,Constants!$D$3:$E$10,2),"")</f>
        <v/>
      </c>
    </row>
    <row r="1045" spans="12:20" x14ac:dyDescent="0.25">
      <c r="L1045" s="10" t="str">
        <f t="shared" si="206"/>
        <v/>
      </c>
      <c r="M1045" s="10" t="str">
        <f t="shared" si="207"/>
        <v/>
      </c>
      <c r="N1045" s="11" t="str">
        <f t="shared" si="208"/>
        <v/>
      </c>
      <c r="O1045" s="10" t="str">
        <f t="shared" si="209"/>
        <v/>
      </c>
      <c r="P1045" s="12" t="str">
        <f t="shared" si="210"/>
        <v/>
      </c>
      <c r="Q1045" s="10" t="str">
        <f t="shared" si="211"/>
        <v/>
      </c>
      <c r="R1045" s="13" t="str">
        <f t="shared" si="212"/>
        <v/>
      </c>
      <c r="S1045" s="13" t="str">
        <f t="shared" si="213"/>
        <v/>
      </c>
      <c r="T1045" s="22" t="str">
        <f>IF(R1045&lt;&gt;"",VLOOKUP(P1045,Constants!$D$3:$E$10,2),"")</f>
        <v/>
      </c>
    </row>
    <row r="1046" spans="12:20" x14ac:dyDescent="0.25">
      <c r="L1046" s="10" t="str">
        <f t="shared" si="206"/>
        <v/>
      </c>
      <c r="M1046" s="10" t="str">
        <f t="shared" si="207"/>
        <v/>
      </c>
      <c r="N1046" s="11" t="str">
        <f t="shared" si="208"/>
        <v/>
      </c>
      <c r="O1046" s="10" t="str">
        <f t="shared" si="209"/>
        <v/>
      </c>
      <c r="P1046" s="12" t="str">
        <f t="shared" si="210"/>
        <v/>
      </c>
      <c r="Q1046" s="10" t="str">
        <f t="shared" si="211"/>
        <v/>
      </c>
      <c r="R1046" s="13" t="str">
        <f t="shared" si="212"/>
        <v/>
      </c>
      <c r="S1046" s="13" t="str">
        <f t="shared" si="213"/>
        <v/>
      </c>
      <c r="T1046" s="22" t="str">
        <f>IF(R1046&lt;&gt;"",VLOOKUP(P1046,Constants!$D$3:$E$10,2),"")</f>
        <v/>
      </c>
    </row>
    <row r="1047" spans="12:20" x14ac:dyDescent="0.25">
      <c r="L1047" s="10" t="str">
        <f t="shared" si="206"/>
        <v/>
      </c>
      <c r="M1047" s="10" t="str">
        <f t="shared" si="207"/>
        <v/>
      </c>
      <c r="N1047" s="11" t="str">
        <f t="shared" si="208"/>
        <v/>
      </c>
      <c r="O1047" s="10" t="str">
        <f t="shared" si="209"/>
        <v/>
      </c>
      <c r="P1047" s="12" t="str">
        <f t="shared" si="210"/>
        <v/>
      </c>
      <c r="Q1047" s="10" t="str">
        <f t="shared" si="211"/>
        <v/>
      </c>
      <c r="R1047" s="13" t="str">
        <f t="shared" si="212"/>
        <v/>
      </c>
      <c r="S1047" s="13" t="str">
        <f t="shared" si="213"/>
        <v/>
      </c>
      <c r="T1047" s="22" t="str">
        <f>IF(R1047&lt;&gt;"",VLOOKUP(P1047,Constants!$D$3:$E$10,2),"")</f>
        <v/>
      </c>
    </row>
    <row r="1048" spans="12:20" x14ac:dyDescent="0.25">
      <c r="L1048" s="10" t="str">
        <f t="shared" si="206"/>
        <v/>
      </c>
      <c r="M1048" s="10" t="str">
        <f t="shared" si="207"/>
        <v/>
      </c>
      <c r="N1048" s="11" t="str">
        <f t="shared" si="208"/>
        <v/>
      </c>
      <c r="O1048" s="10" t="str">
        <f t="shared" si="209"/>
        <v/>
      </c>
      <c r="P1048" s="12" t="str">
        <f t="shared" si="210"/>
        <v/>
      </c>
      <c r="Q1048" s="10" t="str">
        <f t="shared" si="211"/>
        <v/>
      </c>
      <c r="R1048" s="13" t="str">
        <f t="shared" si="212"/>
        <v/>
      </c>
      <c r="S1048" s="13" t="str">
        <f t="shared" si="213"/>
        <v/>
      </c>
      <c r="T1048" s="22" t="str">
        <f>IF(R1048&lt;&gt;"",VLOOKUP(P1048,Constants!$D$3:$E$10,2),"")</f>
        <v/>
      </c>
    </row>
    <row r="1049" spans="12:20" x14ac:dyDescent="0.25">
      <c r="L1049" s="10" t="str">
        <f t="shared" si="206"/>
        <v/>
      </c>
      <c r="M1049" s="10" t="str">
        <f t="shared" si="207"/>
        <v/>
      </c>
      <c r="N1049" s="11" t="str">
        <f t="shared" si="208"/>
        <v/>
      </c>
      <c r="O1049" s="10" t="str">
        <f t="shared" si="209"/>
        <v/>
      </c>
      <c r="P1049" s="12" t="str">
        <f t="shared" si="210"/>
        <v/>
      </c>
      <c r="Q1049" s="10" t="str">
        <f t="shared" si="211"/>
        <v/>
      </c>
      <c r="R1049" s="13" t="str">
        <f t="shared" si="212"/>
        <v/>
      </c>
      <c r="S1049" s="13" t="str">
        <f t="shared" si="213"/>
        <v/>
      </c>
      <c r="T1049" s="22" t="str">
        <f>IF(R1049&lt;&gt;"",VLOOKUP(P1049,Constants!$D$3:$E$10,2),"")</f>
        <v/>
      </c>
    </row>
    <row r="1050" spans="12:20" x14ac:dyDescent="0.25">
      <c r="L1050" s="10" t="str">
        <f t="shared" si="206"/>
        <v/>
      </c>
      <c r="M1050" s="10" t="str">
        <f t="shared" si="207"/>
        <v/>
      </c>
      <c r="N1050" s="11" t="str">
        <f t="shared" si="208"/>
        <v/>
      </c>
      <c r="O1050" s="10" t="str">
        <f t="shared" si="209"/>
        <v/>
      </c>
      <c r="P1050" s="12" t="str">
        <f t="shared" si="210"/>
        <v/>
      </c>
      <c r="Q1050" s="10" t="str">
        <f t="shared" si="211"/>
        <v/>
      </c>
      <c r="R1050" s="13" t="str">
        <f t="shared" si="212"/>
        <v/>
      </c>
      <c r="S1050" s="13" t="str">
        <f t="shared" si="213"/>
        <v/>
      </c>
      <c r="T1050" s="22" t="str">
        <f>IF(R1050&lt;&gt;"",VLOOKUP(P1050,Constants!$D$3:$E$10,2),"")</f>
        <v/>
      </c>
    </row>
    <row r="1051" spans="12:20" x14ac:dyDescent="0.25">
      <c r="L1051" s="10" t="str">
        <f t="shared" si="206"/>
        <v/>
      </c>
      <c r="M1051" s="10" t="str">
        <f t="shared" si="207"/>
        <v/>
      </c>
      <c r="N1051" s="11" t="str">
        <f t="shared" si="208"/>
        <v/>
      </c>
      <c r="O1051" s="10" t="str">
        <f t="shared" si="209"/>
        <v/>
      </c>
      <c r="P1051" s="12" t="str">
        <f t="shared" si="210"/>
        <v/>
      </c>
      <c r="Q1051" s="10" t="str">
        <f t="shared" si="211"/>
        <v/>
      </c>
      <c r="R1051" s="13" t="str">
        <f t="shared" si="212"/>
        <v/>
      </c>
      <c r="S1051" s="13" t="str">
        <f t="shared" si="213"/>
        <v/>
      </c>
      <c r="T1051" s="22" t="str">
        <f>IF(R1051&lt;&gt;"",VLOOKUP(P1051,Constants!$D$3:$E$10,2),"")</f>
        <v/>
      </c>
    </row>
    <row r="1052" spans="12:20" x14ac:dyDescent="0.25">
      <c r="L1052" s="10" t="str">
        <f t="shared" si="206"/>
        <v/>
      </c>
      <c r="M1052" s="10" t="str">
        <f t="shared" si="207"/>
        <v/>
      </c>
      <c r="N1052" s="11" t="str">
        <f t="shared" si="208"/>
        <v/>
      </c>
      <c r="O1052" s="10" t="str">
        <f t="shared" si="209"/>
        <v/>
      </c>
      <c r="P1052" s="12" t="str">
        <f t="shared" si="210"/>
        <v/>
      </c>
      <c r="Q1052" s="10" t="str">
        <f t="shared" si="211"/>
        <v/>
      </c>
      <c r="R1052" s="13" t="str">
        <f t="shared" si="212"/>
        <v/>
      </c>
      <c r="S1052" s="13" t="str">
        <f t="shared" si="213"/>
        <v/>
      </c>
      <c r="T1052" s="22" t="str">
        <f>IF(R1052&lt;&gt;"",VLOOKUP(P1052,Constants!$D$3:$E$10,2),"")</f>
        <v/>
      </c>
    </row>
    <row r="1053" spans="12:20" x14ac:dyDescent="0.25">
      <c r="L1053" s="10" t="str">
        <f t="shared" si="206"/>
        <v/>
      </c>
      <c r="M1053" s="10" t="str">
        <f t="shared" si="207"/>
        <v/>
      </c>
      <c r="N1053" s="11" t="str">
        <f t="shared" si="208"/>
        <v/>
      </c>
      <c r="O1053" s="10" t="str">
        <f t="shared" si="209"/>
        <v/>
      </c>
      <c r="P1053" s="12" t="str">
        <f t="shared" si="210"/>
        <v/>
      </c>
      <c r="Q1053" s="10" t="str">
        <f t="shared" si="211"/>
        <v/>
      </c>
      <c r="R1053" s="13" t="str">
        <f t="shared" si="212"/>
        <v/>
      </c>
      <c r="S1053" s="13" t="str">
        <f t="shared" si="213"/>
        <v/>
      </c>
      <c r="T1053" s="22" t="str">
        <f>IF(R1053&lt;&gt;"",VLOOKUP(P1053,Constants!$D$3:$E$10,2),"")</f>
        <v/>
      </c>
    </row>
    <row r="1054" spans="12:20" x14ac:dyDescent="0.25">
      <c r="L1054" s="10" t="str">
        <f t="shared" si="206"/>
        <v/>
      </c>
      <c r="M1054" s="10" t="str">
        <f t="shared" si="207"/>
        <v/>
      </c>
      <c r="N1054" s="11" t="str">
        <f t="shared" si="208"/>
        <v/>
      </c>
      <c r="O1054" s="10" t="str">
        <f t="shared" si="209"/>
        <v/>
      </c>
      <c r="P1054" s="12" t="str">
        <f t="shared" si="210"/>
        <v/>
      </c>
      <c r="Q1054" s="10" t="str">
        <f t="shared" si="211"/>
        <v/>
      </c>
      <c r="R1054" s="13" t="str">
        <f t="shared" si="212"/>
        <v/>
      </c>
      <c r="S1054" s="13" t="str">
        <f t="shared" si="213"/>
        <v/>
      </c>
      <c r="T1054" s="22" t="str">
        <f>IF(R1054&lt;&gt;"",VLOOKUP(P1054,Constants!$D$3:$E$10,2),"")</f>
        <v/>
      </c>
    </row>
    <row r="1055" spans="12:20" x14ac:dyDescent="0.25">
      <c r="L1055" s="10" t="str">
        <f t="shared" si="206"/>
        <v/>
      </c>
      <c r="M1055" s="10" t="str">
        <f t="shared" si="207"/>
        <v/>
      </c>
      <c r="N1055" s="11" t="str">
        <f t="shared" si="208"/>
        <v/>
      </c>
      <c r="O1055" s="10" t="str">
        <f t="shared" si="209"/>
        <v/>
      </c>
      <c r="P1055" s="12" t="str">
        <f t="shared" si="210"/>
        <v/>
      </c>
      <c r="Q1055" s="10" t="str">
        <f t="shared" si="211"/>
        <v/>
      </c>
      <c r="R1055" s="13" t="str">
        <f t="shared" si="212"/>
        <v/>
      </c>
      <c r="S1055" s="13" t="str">
        <f t="shared" si="213"/>
        <v/>
      </c>
      <c r="T1055" s="22" t="str">
        <f>IF(R1055&lt;&gt;"",VLOOKUP(P1055,Constants!$D$3:$E$10,2),"")</f>
        <v/>
      </c>
    </row>
    <row r="1056" spans="12:20" x14ac:dyDescent="0.25">
      <c r="L1056" s="10" t="str">
        <f t="shared" si="206"/>
        <v/>
      </c>
      <c r="M1056" s="10" t="str">
        <f t="shared" si="207"/>
        <v/>
      </c>
      <c r="N1056" s="11" t="str">
        <f t="shared" si="208"/>
        <v/>
      </c>
      <c r="O1056" s="10" t="str">
        <f t="shared" si="209"/>
        <v/>
      </c>
      <c r="P1056" s="12" t="str">
        <f t="shared" si="210"/>
        <v/>
      </c>
      <c r="Q1056" s="10" t="str">
        <f t="shared" si="211"/>
        <v/>
      </c>
      <c r="R1056" s="13" t="str">
        <f t="shared" si="212"/>
        <v/>
      </c>
      <c r="S1056" s="13" t="str">
        <f t="shared" si="213"/>
        <v/>
      </c>
      <c r="T1056" s="22" t="str">
        <f>IF(R1056&lt;&gt;"",VLOOKUP(P1056,Constants!$D$3:$E$10,2),"")</f>
        <v/>
      </c>
    </row>
    <row r="1057" spans="12:20" x14ac:dyDescent="0.25">
      <c r="L1057" s="10" t="str">
        <f t="shared" si="206"/>
        <v/>
      </c>
      <c r="M1057" s="10" t="str">
        <f t="shared" si="207"/>
        <v/>
      </c>
      <c r="N1057" s="11" t="str">
        <f t="shared" si="208"/>
        <v/>
      </c>
      <c r="O1057" s="10" t="str">
        <f t="shared" si="209"/>
        <v/>
      </c>
      <c r="P1057" s="12" t="str">
        <f t="shared" si="210"/>
        <v/>
      </c>
      <c r="Q1057" s="10" t="str">
        <f t="shared" si="211"/>
        <v/>
      </c>
      <c r="R1057" s="13" t="str">
        <f t="shared" si="212"/>
        <v/>
      </c>
      <c r="S1057" s="13" t="str">
        <f t="shared" si="213"/>
        <v/>
      </c>
      <c r="T1057" s="22" t="str">
        <f>IF(R1057&lt;&gt;"",VLOOKUP(P1057,Constants!$D$3:$E$10,2),"")</f>
        <v/>
      </c>
    </row>
    <row r="1058" spans="12:20" x14ac:dyDescent="0.25">
      <c r="L1058" s="10" t="str">
        <f t="shared" si="206"/>
        <v/>
      </c>
      <c r="M1058" s="10" t="str">
        <f t="shared" si="207"/>
        <v/>
      </c>
      <c r="N1058" s="11" t="str">
        <f t="shared" si="208"/>
        <v/>
      </c>
      <c r="O1058" s="10" t="str">
        <f t="shared" si="209"/>
        <v/>
      </c>
      <c r="P1058" s="12" t="str">
        <f t="shared" si="210"/>
        <v/>
      </c>
      <c r="Q1058" s="10" t="str">
        <f t="shared" si="211"/>
        <v/>
      </c>
      <c r="R1058" s="13" t="str">
        <f t="shared" si="212"/>
        <v/>
      </c>
      <c r="S1058" s="13" t="str">
        <f t="shared" si="213"/>
        <v/>
      </c>
      <c r="T1058" s="22" t="str">
        <f>IF(R1058&lt;&gt;"",VLOOKUP(P1058,Constants!$D$3:$E$10,2),"")</f>
        <v/>
      </c>
    </row>
    <row r="1059" spans="12:20" x14ac:dyDescent="0.25">
      <c r="L1059" s="10" t="str">
        <f t="shared" si="206"/>
        <v/>
      </c>
      <c r="M1059" s="10" t="str">
        <f t="shared" si="207"/>
        <v/>
      </c>
      <c r="N1059" s="11" t="str">
        <f t="shared" si="208"/>
        <v/>
      </c>
      <c r="O1059" s="10" t="str">
        <f t="shared" si="209"/>
        <v/>
      </c>
      <c r="P1059" s="12" t="str">
        <f t="shared" si="210"/>
        <v/>
      </c>
      <c r="Q1059" s="10" t="str">
        <f t="shared" si="211"/>
        <v/>
      </c>
      <c r="R1059" s="13" t="str">
        <f t="shared" si="212"/>
        <v/>
      </c>
      <c r="S1059" s="13" t="str">
        <f t="shared" si="213"/>
        <v/>
      </c>
      <c r="T1059" s="22" t="str">
        <f>IF(R1059&lt;&gt;"",VLOOKUP(P1059,Constants!$D$3:$E$10,2),"")</f>
        <v/>
      </c>
    </row>
    <row r="1060" spans="12:20" x14ac:dyDescent="0.25">
      <c r="L1060" s="10" t="str">
        <f t="shared" si="206"/>
        <v/>
      </c>
      <c r="M1060" s="10" t="str">
        <f t="shared" si="207"/>
        <v/>
      </c>
      <c r="N1060" s="11" t="str">
        <f t="shared" si="208"/>
        <v/>
      </c>
      <c r="O1060" s="10" t="str">
        <f t="shared" si="209"/>
        <v/>
      </c>
      <c r="P1060" s="12" t="str">
        <f t="shared" si="210"/>
        <v/>
      </c>
      <c r="Q1060" s="10" t="str">
        <f t="shared" si="211"/>
        <v/>
      </c>
      <c r="R1060" s="13" t="str">
        <f t="shared" si="212"/>
        <v/>
      </c>
      <c r="S1060" s="13" t="str">
        <f t="shared" si="213"/>
        <v/>
      </c>
      <c r="T1060" s="22" t="str">
        <f>IF(R1060&lt;&gt;"",VLOOKUP(P1060,Constants!$D$3:$E$10,2),"")</f>
        <v/>
      </c>
    </row>
    <row r="1061" spans="12:20" x14ac:dyDescent="0.25">
      <c r="L1061" s="10" t="str">
        <f t="shared" si="206"/>
        <v/>
      </c>
      <c r="M1061" s="10" t="str">
        <f t="shared" si="207"/>
        <v/>
      </c>
      <c r="N1061" s="11" t="str">
        <f t="shared" si="208"/>
        <v/>
      </c>
      <c r="O1061" s="10" t="str">
        <f t="shared" si="209"/>
        <v/>
      </c>
      <c r="P1061" s="12" t="str">
        <f t="shared" si="210"/>
        <v/>
      </c>
      <c r="Q1061" s="10" t="str">
        <f t="shared" si="211"/>
        <v/>
      </c>
      <c r="R1061" s="13" t="str">
        <f t="shared" si="212"/>
        <v/>
      </c>
      <c r="S1061" s="13" t="str">
        <f t="shared" si="213"/>
        <v/>
      </c>
      <c r="T1061" s="22" t="str">
        <f>IF(R1061&lt;&gt;"",VLOOKUP(P1061,Constants!$D$3:$E$10,2),"")</f>
        <v/>
      </c>
    </row>
    <row r="1062" spans="12:20" x14ac:dyDescent="0.25">
      <c r="L1062" s="10" t="str">
        <f t="shared" si="206"/>
        <v/>
      </c>
      <c r="M1062" s="10" t="str">
        <f t="shared" si="207"/>
        <v/>
      </c>
      <c r="N1062" s="11" t="str">
        <f t="shared" si="208"/>
        <v/>
      </c>
      <c r="O1062" s="10" t="str">
        <f t="shared" si="209"/>
        <v/>
      </c>
      <c r="P1062" s="12" t="str">
        <f t="shared" si="210"/>
        <v/>
      </c>
      <c r="Q1062" s="10" t="str">
        <f t="shared" si="211"/>
        <v/>
      </c>
      <c r="R1062" s="13" t="str">
        <f t="shared" si="212"/>
        <v/>
      </c>
      <c r="S1062" s="13" t="str">
        <f t="shared" si="213"/>
        <v/>
      </c>
      <c r="T1062" s="22" t="str">
        <f>IF(R1062&lt;&gt;"",VLOOKUP(P1062,Constants!$D$3:$E$10,2),"")</f>
        <v/>
      </c>
    </row>
    <row r="1063" spans="12:20" x14ac:dyDescent="0.25">
      <c r="L1063" s="10" t="str">
        <f t="shared" si="206"/>
        <v/>
      </c>
      <c r="M1063" s="10" t="str">
        <f t="shared" si="207"/>
        <v/>
      </c>
      <c r="N1063" s="11" t="str">
        <f t="shared" si="208"/>
        <v/>
      </c>
      <c r="O1063" s="10" t="str">
        <f t="shared" si="209"/>
        <v/>
      </c>
      <c r="P1063" s="12" t="str">
        <f t="shared" si="210"/>
        <v/>
      </c>
      <c r="Q1063" s="10" t="str">
        <f t="shared" si="211"/>
        <v/>
      </c>
      <c r="R1063" s="13" t="str">
        <f t="shared" si="212"/>
        <v/>
      </c>
      <c r="S1063" s="13" t="str">
        <f t="shared" si="213"/>
        <v/>
      </c>
      <c r="T1063" s="22" t="str">
        <f>IF(R1063&lt;&gt;"",VLOOKUP(P1063,Constants!$D$3:$E$10,2),"")</f>
        <v/>
      </c>
    </row>
    <row r="1064" spans="12:20" x14ac:dyDescent="0.25">
      <c r="L1064" s="10" t="str">
        <f t="shared" si="206"/>
        <v/>
      </c>
      <c r="M1064" s="10" t="str">
        <f t="shared" si="207"/>
        <v/>
      </c>
      <c r="N1064" s="11" t="str">
        <f t="shared" si="208"/>
        <v/>
      </c>
      <c r="O1064" s="10" t="str">
        <f t="shared" si="209"/>
        <v/>
      </c>
      <c r="P1064" s="12" t="str">
        <f t="shared" si="210"/>
        <v/>
      </c>
      <c r="Q1064" s="10" t="str">
        <f t="shared" si="211"/>
        <v/>
      </c>
      <c r="R1064" s="13" t="str">
        <f t="shared" si="212"/>
        <v/>
      </c>
      <c r="S1064" s="13" t="str">
        <f t="shared" si="213"/>
        <v/>
      </c>
      <c r="T1064" s="22" t="str">
        <f>IF(R1064&lt;&gt;"",VLOOKUP(P1064,Constants!$D$3:$E$10,2),"")</f>
        <v/>
      </c>
    </row>
    <row r="1065" spans="12:20" x14ac:dyDescent="0.25">
      <c r="L1065" s="10" t="str">
        <f t="shared" si="206"/>
        <v/>
      </c>
      <c r="M1065" s="10" t="str">
        <f t="shared" si="207"/>
        <v/>
      </c>
      <c r="N1065" s="11" t="str">
        <f t="shared" si="208"/>
        <v/>
      </c>
      <c r="O1065" s="10" t="str">
        <f t="shared" si="209"/>
        <v/>
      </c>
      <c r="P1065" s="12" t="str">
        <f t="shared" si="210"/>
        <v/>
      </c>
      <c r="Q1065" s="10" t="str">
        <f t="shared" si="211"/>
        <v/>
      </c>
      <c r="R1065" s="13" t="str">
        <f t="shared" si="212"/>
        <v/>
      </c>
      <c r="S1065" s="13" t="str">
        <f t="shared" si="213"/>
        <v/>
      </c>
      <c r="T1065" s="22" t="str">
        <f>IF(R1065&lt;&gt;"",VLOOKUP(P1065,Constants!$D$3:$E$10,2),"")</f>
        <v/>
      </c>
    </row>
    <row r="1066" spans="12:20" x14ac:dyDescent="0.25">
      <c r="L1066" s="10" t="str">
        <f t="shared" si="206"/>
        <v/>
      </c>
      <c r="M1066" s="10" t="str">
        <f t="shared" si="207"/>
        <v/>
      </c>
      <c r="N1066" s="11" t="str">
        <f t="shared" si="208"/>
        <v/>
      </c>
      <c r="O1066" s="10" t="str">
        <f t="shared" si="209"/>
        <v/>
      </c>
      <c r="P1066" s="12" t="str">
        <f t="shared" si="210"/>
        <v/>
      </c>
      <c r="Q1066" s="10" t="str">
        <f t="shared" si="211"/>
        <v/>
      </c>
      <c r="R1066" s="13" t="str">
        <f t="shared" si="212"/>
        <v/>
      </c>
      <c r="S1066" s="13" t="str">
        <f t="shared" si="213"/>
        <v/>
      </c>
      <c r="T1066" s="22" t="str">
        <f>IF(R1066&lt;&gt;"",VLOOKUP(P1066,Constants!$D$3:$E$10,2),"")</f>
        <v/>
      </c>
    </row>
    <row r="1067" spans="12:20" x14ac:dyDescent="0.25">
      <c r="L1067" s="10" t="str">
        <f t="shared" si="206"/>
        <v/>
      </c>
      <c r="M1067" s="10" t="str">
        <f t="shared" si="207"/>
        <v/>
      </c>
      <c r="N1067" s="11" t="str">
        <f t="shared" si="208"/>
        <v/>
      </c>
      <c r="O1067" s="10" t="str">
        <f t="shared" si="209"/>
        <v/>
      </c>
      <c r="P1067" s="12" t="str">
        <f t="shared" si="210"/>
        <v/>
      </c>
      <c r="Q1067" s="10" t="str">
        <f t="shared" si="211"/>
        <v/>
      </c>
      <c r="R1067" s="13" t="str">
        <f t="shared" si="212"/>
        <v/>
      </c>
      <c r="S1067" s="13" t="str">
        <f t="shared" si="213"/>
        <v/>
      </c>
      <c r="T1067" s="22" t="str">
        <f>IF(R1067&lt;&gt;"",VLOOKUP(P1067,Constants!$D$3:$E$10,2),"")</f>
        <v/>
      </c>
    </row>
    <row r="1068" spans="12:20" x14ac:dyDescent="0.25">
      <c r="L1068" s="10" t="str">
        <f t="shared" si="206"/>
        <v/>
      </c>
      <c r="M1068" s="10" t="str">
        <f t="shared" si="207"/>
        <v/>
      </c>
      <c r="N1068" s="11" t="str">
        <f t="shared" si="208"/>
        <v/>
      </c>
      <c r="O1068" s="10" t="str">
        <f t="shared" si="209"/>
        <v/>
      </c>
      <c r="P1068" s="12" t="str">
        <f t="shared" si="210"/>
        <v/>
      </c>
      <c r="Q1068" s="10" t="str">
        <f t="shared" si="211"/>
        <v/>
      </c>
      <c r="R1068" s="13" t="str">
        <f t="shared" si="212"/>
        <v/>
      </c>
      <c r="S1068" s="13" t="str">
        <f t="shared" si="213"/>
        <v/>
      </c>
      <c r="T1068" s="22" t="str">
        <f>IF(R1068&lt;&gt;"",VLOOKUP(P1068,Constants!$D$3:$E$10,2),"")</f>
        <v/>
      </c>
    </row>
    <row r="1069" spans="12:20" x14ac:dyDescent="0.25">
      <c r="L1069" s="10" t="str">
        <f t="shared" si="206"/>
        <v/>
      </c>
      <c r="M1069" s="10" t="str">
        <f t="shared" si="207"/>
        <v/>
      </c>
      <c r="N1069" s="11" t="str">
        <f t="shared" si="208"/>
        <v/>
      </c>
      <c r="O1069" s="10" t="str">
        <f t="shared" si="209"/>
        <v/>
      </c>
      <c r="P1069" s="12" t="str">
        <f t="shared" si="210"/>
        <v/>
      </c>
      <c r="Q1069" s="10" t="str">
        <f t="shared" si="211"/>
        <v/>
      </c>
      <c r="R1069" s="13" t="str">
        <f t="shared" si="212"/>
        <v/>
      </c>
      <c r="S1069" s="13" t="str">
        <f t="shared" si="213"/>
        <v/>
      </c>
      <c r="T1069" s="22" t="str">
        <f>IF(R1069&lt;&gt;"",VLOOKUP(P1069,Constants!$D$3:$E$10,2),"")</f>
        <v/>
      </c>
    </row>
    <row r="1070" spans="12:20" x14ac:dyDescent="0.25">
      <c r="L1070" s="10" t="str">
        <f t="shared" si="206"/>
        <v/>
      </c>
      <c r="M1070" s="10" t="str">
        <f t="shared" si="207"/>
        <v/>
      </c>
      <c r="N1070" s="11" t="str">
        <f t="shared" si="208"/>
        <v/>
      </c>
      <c r="O1070" s="10" t="str">
        <f t="shared" si="209"/>
        <v/>
      </c>
      <c r="P1070" s="12" t="str">
        <f t="shared" si="210"/>
        <v/>
      </c>
      <c r="Q1070" s="10" t="str">
        <f t="shared" si="211"/>
        <v/>
      </c>
      <c r="R1070" s="13" t="str">
        <f t="shared" si="212"/>
        <v/>
      </c>
      <c r="S1070" s="13" t="str">
        <f t="shared" si="213"/>
        <v/>
      </c>
      <c r="T1070" s="22" t="str">
        <f>IF(R1070&lt;&gt;"",VLOOKUP(P1070,Constants!$D$3:$E$10,2),"")</f>
        <v/>
      </c>
    </row>
    <row r="1071" spans="12:20" x14ac:dyDescent="0.25">
      <c r="L1071" s="10" t="str">
        <f t="shared" si="206"/>
        <v/>
      </c>
      <c r="M1071" s="10" t="str">
        <f t="shared" si="207"/>
        <v/>
      </c>
      <c r="N1071" s="11" t="str">
        <f t="shared" si="208"/>
        <v/>
      </c>
      <c r="O1071" s="10" t="str">
        <f t="shared" si="209"/>
        <v/>
      </c>
      <c r="P1071" s="12" t="str">
        <f t="shared" si="210"/>
        <v/>
      </c>
      <c r="Q1071" s="10" t="str">
        <f t="shared" si="211"/>
        <v/>
      </c>
      <c r="R1071" s="13" t="str">
        <f t="shared" si="212"/>
        <v/>
      </c>
      <c r="S1071" s="13" t="str">
        <f t="shared" si="213"/>
        <v/>
      </c>
      <c r="T1071" s="22" t="str">
        <f>IF(R1071&lt;&gt;"",VLOOKUP(P1071,Constants!$D$3:$E$10,2),"")</f>
        <v/>
      </c>
    </row>
    <row r="1072" spans="12:20" x14ac:dyDescent="0.25">
      <c r="L1072" s="10" t="str">
        <f t="shared" si="206"/>
        <v/>
      </c>
      <c r="M1072" s="10" t="str">
        <f t="shared" si="207"/>
        <v/>
      </c>
      <c r="N1072" s="11" t="str">
        <f t="shared" si="208"/>
        <v/>
      </c>
      <c r="O1072" s="10" t="str">
        <f t="shared" si="209"/>
        <v/>
      </c>
      <c r="P1072" s="12" t="str">
        <f t="shared" si="210"/>
        <v/>
      </c>
      <c r="Q1072" s="10" t="str">
        <f t="shared" si="211"/>
        <v/>
      </c>
      <c r="R1072" s="13" t="str">
        <f t="shared" si="212"/>
        <v/>
      </c>
      <c r="S1072" s="13" t="str">
        <f t="shared" si="213"/>
        <v/>
      </c>
      <c r="T1072" s="22" t="str">
        <f>IF(R1072&lt;&gt;"",VLOOKUP(P1072,Constants!$D$3:$E$10,2),"")</f>
        <v/>
      </c>
    </row>
    <row r="1073" spans="12:20" x14ac:dyDescent="0.25">
      <c r="L1073" s="10" t="str">
        <f t="shared" si="206"/>
        <v/>
      </c>
      <c r="M1073" s="10" t="str">
        <f t="shared" si="207"/>
        <v/>
      </c>
      <c r="N1073" s="11" t="str">
        <f t="shared" si="208"/>
        <v/>
      </c>
      <c r="O1073" s="10" t="str">
        <f t="shared" si="209"/>
        <v/>
      </c>
      <c r="P1073" s="12" t="str">
        <f t="shared" si="210"/>
        <v/>
      </c>
      <c r="Q1073" s="10" t="str">
        <f t="shared" si="211"/>
        <v/>
      </c>
      <c r="R1073" s="13" t="str">
        <f t="shared" si="212"/>
        <v/>
      </c>
      <c r="S1073" s="13" t="str">
        <f t="shared" si="213"/>
        <v/>
      </c>
      <c r="T1073" s="22" t="str">
        <f>IF(R1073&lt;&gt;"",VLOOKUP(P1073,Constants!$D$3:$E$10,2),"")</f>
        <v/>
      </c>
    </row>
    <row r="1074" spans="12:20" x14ac:dyDescent="0.25">
      <c r="L1074" s="10" t="str">
        <f t="shared" si="206"/>
        <v/>
      </c>
      <c r="M1074" s="10" t="str">
        <f t="shared" si="207"/>
        <v/>
      </c>
      <c r="N1074" s="11" t="str">
        <f t="shared" si="208"/>
        <v/>
      </c>
      <c r="O1074" s="10" t="str">
        <f t="shared" si="209"/>
        <v/>
      </c>
      <c r="P1074" s="12" t="str">
        <f t="shared" si="210"/>
        <v/>
      </c>
      <c r="Q1074" s="10" t="str">
        <f t="shared" si="211"/>
        <v/>
      </c>
      <c r="R1074" s="13" t="str">
        <f t="shared" si="212"/>
        <v/>
      </c>
      <c r="S1074" s="13" t="str">
        <f t="shared" si="213"/>
        <v/>
      </c>
      <c r="T1074" s="22" t="str">
        <f>IF(R1074&lt;&gt;"",VLOOKUP(P1074,Constants!$D$3:$E$10,2),"")</f>
        <v/>
      </c>
    </row>
    <row r="1075" spans="12:20" x14ac:dyDescent="0.25">
      <c r="L1075" s="10" t="str">
        <f t="shared" si="206"/>
        <v/>
      </c>
      <c r="M1075" s="10" t="str">
        <f t="shared" si="207"/>
        <v/>
      </c>
      <c r="N1075" s="11" t="str">
        <f t="shared" si="208"/>
        <v/>
      </c>
      <c r="O1075" s="10" t="str">
        <f t="shared" si="209"/>
        <v/>
      </c>
      <c r="P1075" s="12" t="str">
        <f t="shared" si="210"/>
        <v/>
      </c>
      <c r="Q1075" s="10" t="str">
        <f t="shared" si="211"/>
        <v/>
      </c>
      <c r="R1075" s="13" t="str">
        <f t="shared" si="212"/>
        <v/>
      </c>
      <c r="S1075" s="13" t="str">
        <f t="shared" si="213"/>
        <v/>
      </c>
      <c r="T1075" s="22" t="str">
        <f>IF(R1075&lt;&gt;"",VLOOKUP(P1075,Constants!$D$3:$E$10,2),"")</f>
        <v/>
      </c>
    </row>
    <row r="1076" spans="12:20" x14ac:dyDescent="0.25">
      <c r="L1076" s="10" t="str">
        <f t="shared" si="206"/>
        <v/>
      </c>
      <c r="M1076" s="10" t="str">
        <f t="shared" si="207"/>
        <v/>
      </c>
      <c r="N1076" s="11" t="str">
        <f t="shared" si="208"/>
        <v/>
      </c>
      <c r="O1076" s="10" t="str">
        <f t="shared" si="209"/>
        <v/>
      </c>
      <c r="P1076" s="12" t="str">
        <f t="shared" si="210"/>
        <v/>
      </c>
      <c r="Q1076" s="10" t="str">
        <f t="shared" si="211"/>
        <v/>
      </c>
      <c r="R1076" s="13" t="str">
        <f t="shared" si="212"/>
        <v/>
      </c>
      <c r="S1076" s="13" t="str">
        <f t="shared" si="213"/>
        <v/>
      </c>
      <c r="T1076" s="22" t="str">
        <f>IF(R1076&lt;&gt;"",VLOOKUP(P1076,Constants!$D$3:$E$10,2),"")</f>
        <v/>
      </c>
    </row>
    <row r="1077" spans="12:20" x14ac:dyDescent="0.25">
      <c r="L1077" s="10" t="str">
        <f t="shared" si="206"/>
        <v/>
      </c>
      <c r="M1077" s="10" t="str">
        <f t="shared" si="207"/>
        <v/>
      </c>
      <c r="N1077" s="11" t="str">
        <f t="shared" si="208"/>
        <v/>
      </c>
      <c r="O1077" s="10" t="str">
        <f t="shared" si="209"/>
        <v/>
      </c>
      <c r="P1077" s="12" t="str">
        <f t="shared" si="210"/>
        <v/>
      </c>
      <c r="Q1077" s="10" t="str">
        <f t="shared" si="211"/>
        <v/>
      </c>
      <c r="R1077" s="13" t="str">
        <f t="shared" si="212"/>
        <v/>
      </c>
      <c r="S1077" s="13" t="str">
        <f t="shared" si="213"/>
        <v/>
      </c>
      <c r="T1077" s="22" t="str">
        <f>IF(R1077&lt;&gt;"",VLOOKUP(P1077,Constants!$D$3:$E$10,2),"")</f>
        <v/>
      </c>
    </row>
    <row r="1078" spans="12:20" x14ac:dyDescent="0.25">
      <c r="L1078" s="10" t="str">
        <f t="shared" si="206"/>
        <v/>
      </c>
      <c r="M1078" s="10" t="str">
        <f t="shared" si="207"/>
        <v/>
      </c>
      <c r="N1078" s="11" t="str">
        <f t="shared" si="208"/>
        <v/>
      </c>
      <c r="O1078" s="10" t="str">
        <f t="shared" si="209"/>
        <v/>
      </c>
      <c r="P1078" s="12" t="str">
        <f t="shared" si="210"/>
        <v/>
      </c>
      <c r="Q1078" s="10" t="str">
        <f t="shared" si="211"/>
        <v/>
      </c>
      <c r="R1078" s="13" t="str">
        <f t="shared" si="212"/>
        <v/>
      </c>
      <c r="S1078" s="13" t="str">
        <f t="shared" si="213"/>
        <v/>
      </c>
      <c r="T1078" s="22" t="str">
        <f>IF(R1078&lt;&gt;"",VLOOKUP(P1078,Constants!$D$3:$E$10,2),"")</f>
        <v/>
      </c>
    </row>
    <row r="1079" spans="12:20" x14ac:dyDescent="0.25">
      <c r="L1079" s="10" t="str">
        <f t="shared" si="206"/>
        <v/>
      </c>
      <c r="M1079" s="10" t="str">
        <f t="shared" si="207"/>
        <v/>
      </c>
      <c r="N1079" s="11" t="str">
        <f t="shared" si="208"/>
        <v/>
      </c>
      <c r="O1079" s="10" t="str">
        <f t="shared" si="209"/>
        <v/>
      </c>
      <c r="P1079" s="12" t="str">
        <f t="shared" si="210"/>
        <v/>
      </c>
      <c r="Q1079" s="10" t="str">
        <f t="shared" si="211"/>
        <v/>
      </c>
      <c r="R1079" s="13" t="str">
        <f t="shared" si="212"/>
        <v/>
      </c>
      <c r="S1079" s="13" t="str">
        <f t="shared" si="213"/>
        <v/>
      </c>
      <c r="T1079" s="22" t="str">
        <f>IF(R1079&lt;&gt;"",VLOOKUP(P1079,Constants!$D$3:$E$10,2),"")</f>
        <v/>
      </c>
    </row>
    <row r="1080" spans="12:20" x14ac:dyDescent="0.25">
      <c r="L1080" s="10" t="str">
        <f t="shared" si="206"/>
        <v/>
      </c>
      <c r="M1080" s="10" t="str">
        <f t="shared" si="207"/>
        <v/>
      </c>
      <c r="N1080" s="11" t="str">
        <f t="shared" si="208"/>
        <v/>
      </c>
      <c r="O1080" s="10" t="str">
        <f t="shared" si="209"/>
        <v/>
      </c>
      <c r="P1080" s="12" t="str">
        <f t="shared" si="210"/>
        <v/>
      </c>
      <c r="Q1080" s="10" t="str">
        <f t="shared" si="211"/>
        <v/>
      </c>
      <c r="R1080" s="13" t="str">
        <f t="shared" si="212"/>
        <v/>
      </c>
      <c r="S1080" s="13" t="str">
        <f t="shared" si="213"/>
        <v/>
      </c>
      <c r="T1080" s="22" t="str">
        <f>IF(R1080&lt;&gt;"",VLOOKUP(P1080,Constants!$D$3:$E$10,2),"")</f>
        <v/>
      </c>
    </row>
    <row r="1081" spans="12:20" x14ac:dyDescent="0.25">
      <c r="L1081" s="10" t="str">
        <f t="shared" si="206"/>
        <v/>
      </c>
      <c r="M1081" s="10" t="str">
        <f t="shared" si="207"/>
        <v/>
      </c>
      <c r="N1081" s="11" t="str">
        <f t="shared" si="208"/>
        <v/>
      </c>
      <c r="O1081" s="10" t="str">
        <f t="shared" si="209"/>
        <v/>
      </c>
      <c r="P1081" s="12" t="str">
        <f t="shared" si="210"/>
        <v/>
      </c>
      <c r="Q1081" s="10" t="str">
        <f t="shared" si="211"/>
        <v/>
      </c>
      <c r="R1081" s="13" t="str">
        <f t="shared" si="212"/>
        <v/>
      </c>
      <c r="S1081" s="13" t="str">
        <f t="shared" si="213"/>
        <v/>
      </c>
      <c r="T1081" s="22" t="str">
        <f>IF(R1081&lt;&gt;"",VLOOKUP(P1081,Constants!$D$3:$E$10,2),"")</f>
        <v/>
      </c>
    </row>
    <row r="1082" spans="12:20" x14ac:dyDescent="0.25">
      <c r="L1082" s="10" t="str">
        <f t="shared" si="206"/>
        <v/>
      </c>
      <c r="M1082" s="10" t="str">
        <f t="shared" si="207"/>
        <v/>
      </c>
      <c r="N1082" s="11" t="str">
        <f t="shared" si="208"/>
        <v/>
      </c>
      <c r="O1082" s="10" t="str">
        <f t="shared" si="209"/>
        <v/>
      </c>
      <c r="P1082" s="12" t="str">
        <f t="shared" si="210"/>
        <v/>
      </c>
      <c r="Q1082" s="10" t="str">
        <f t="shared" si="211"/>
        <v/>
      </c>
      <c r="R1082" s="13" t="str">
        <f t="shared" si="212"/>
        <v/>
      </c>
      <c r="S1082" s="13" t="str">
        <f t="shared" si="213"/>
        <v/>
      </c>
      <c r="T1082" s="22" t="str">
        <f>IF(R1082&lt;&gt;"",VLOOKUP(P1082,Constants!$D$3:$E$10,2),"")</f>
        <v/>
      </c>
    </row>
    <row r="1083" spans="12:20" x14ac:dyDescent="0.25">
      <c r="L1083" s="10" t="str">
        <f t="shared" si="206"/>
        <v/>
      </c>
      <c r="M1083" s="10" t="str">
        <f t="shared" si="207"/>
        <v/>
      </c>
      <c r="N1083" s="11" t="str">
        <f t="shared" si="208"/>
        <v/>
      </c>
      <c r="O1083" s="10" t="str">
        <f t="shared" si="209"/>
        <v/>
      </c>
      <c r="P1083" s="12" t="str">
        <f t="shared" si="210"/>
        <v/>
      </c>
      <c r="Q1083" s="10" t="str">
        <f t="shared" si="211"/>
        <v/>
      </c>
      <c r="R1083" s="13" t="str">
        <f t="shared" si="212"/>
        <v/>
      </c>
      <c r="S1083" s="13" t="str">
        <f t="shared" si="213"/>
        <v/>
      </c>
      <c r="T1083" s="22" t="str">
        <f>IF(R1083&lt;&gt;"",VLOOKUP(P1083,Constants!$D$3:$E$10,2),"")</f>
        <v/>
      </c>
    </row>
    <row r="1084" spans="12:20" x14ac:dyDescent="0.25">
      <c r="L1084" s="10" t="str">
        <f t="shared" si="206"/>
        <v/>
      </c>
      <c r="M1084" s="10" t="str">
        <f t="shared" si="207"/>
        <v/>
      </c>
      <c r="N1084" s="11" t="str">
        <f t="shared" si="208"/>
        <v/>
      </c>
      <c r="O1084" s="10" t="str">
        <f t="shared" si="209"/>
        <v/>
      </c>
      <c r="P1084" s="12" t="str">
        <f t="shared" si="210"/>
        <v/>
      </c>
      <c r="Q1084" s="10" t="str">
        <f t="shared" si="211"/>
        <v/>
      </c>
      <c r="R1084" s="13" t="str">
        <f t="shared" si="212"/>
        <v/>
      </c>
      <c r="S1084" s="13" t="str">
        <f t="shared" si="213"/>
        <v/>
      </c>
      <c r="T1084" s="22" t="str">
        <f>IF(R1084&lt;&gt;"",VLOOKUP(P1084,Constants!$D$3:$E$10,2),"")</f>
        <v/>
      </c>
    </row>
    <row r="1085" spans="12:20" x14ac:dyDescent="0.25">
      <c r="L1085" s="10" t="str">
        <f t="shared" si="206"/>
        <v/>
      </c>
      <c r="M1085" s="10" t="str">
        <f t="shared" si="207"/>
        <v/>
      </c>
      <c r="N1085" s="11" t="str">
        <f t="shared" si="208"/>
        <v/>
      </c>
      <c r="O1085" s="10" t="str">
        <f t="shared" si="209"/>
        <v/>
      </c>
      <c r="P1085" s="12" t="str">
        <f t="shared" si="210"/>
        <v/>
      </c>
      <c r="Q1085" s="10" t="str">
        <f t="shared" si="211"/>
        <v/>
      </c>
      <c r="R1085" s="13" t="str">
        <f t="shared" si="212"/>
        <v/>
      </c>
      <c r="S1085" s="13" t="str">
        <f t="shared" si="213"/>
        <v/>
      </c>
      <c r="T1085" s="22" t="str">
        <f>IF(R1085&lt;&gt;"",VLOOKUP(P1085,Constants!$D$3:$E$10,2),"")</f>
        <v/>
      </c>
    </row>
    <row r="1086" spans="12:20" x14ac:dyDescent="0.25">
      <c r="L1086" s="10" t="str">
        <f t="shared" si="206"/>
        <v/>
      </c>
      <c r="M1086" s="10" t="str">
        <f t="shared" si="207"/>
        <v/>
      </c>
      <c r="N1086" s="11" t="str">
        <f t="shared" si="208"/>
        <v/>
      </c>
      <c r="O1086" s="10" t="str">
        <f t="shared" si="209"/>
        <v/>
      </c>
      <c r="P1086" s="12" t="str">
        <f t="shared" si="210"/>
        <v/>
      </c>
      <c r="Q1086" s="10" t="str">
        <f t="shared" si="211"/>
        <v/>
      </c>
      <c r="R1086" s="13" t="str">
        <f t="shared" si="212"/>
        <v/>
      </c>
      <c r="S1086" s="13" t="str">
        <f t="shared" si="213"/>
        <v/>
      </c>
      <c r="T1086" s="22" t="str">
        <f>IF(R1086&lt;&gt;"",VLOOKUP(P1086,Constants!$D$3:$E$10,2),"")</f>
        <v/>
      </c>
    </row>
    <row r="1087" spans="12:20" x14ac:dyDescent="0.25">
      <c r="L1087" s="10" t="str">
        <f t="shared" si="206"/>
        <v/>
      </c>
      <c r="M1087" s="10" t="str">
        <f t="shared" si="207"/>
        <v/>
      </c>
      <c r="N1087" s="11" t="str">
        <f t="shared" si="208"/>
        <v/>
      </c>
      <c r="O1087" s="10" t="str">
        <f t="shared" si="209"/>
        <v/>
      </c>
      <c r="P1087" s="12" t="str">
        <f t="shared" si="210"/>
        <v/>
      </c>
      <c r="Q1087" s="10" t="str">
        <f t="shared" si="211"/>
        <v/>
      </c>
      <c r="R1087" s="13" t="str">
        <f t="shared" si="212"/>
        <v/>
      </c>
      <c r="S1087" s="13" t="str">
        <f t="shared" si="213"/>
        <v/>
      </c>
      <c r="T1087" s="22" t="str">
        <f>IF(R1087&lt;&gt;"",VLOOKUP(P1087,Constants!$D$3:$E$10,2),"")</f>
        <v/>
      </c>
    </row>
    <row r="1088" spans="12:20" x14ac:dyDescent="0.25">
      <c r="L1088" s="10" t="str">
        <f t="shared" si="206"/>
        <v/>
      </c>
      <c r="M1088" s="10" t="str">
        <f t="shared" si="207"/>
        <v/>
      </c>
      <c r="N1088" s="11" t="str">
        <f t="shared" si="208"/>
        <v/>
      </c>
      <c r="O1088" s="10" t="str">
        <f t="shared" si="209"/>
        <v/>
      </c>
      <c r="P1088" s="12" t="str">
        <f t="shared" si="210"/>
        <v/>
      </c>
      <c r="Q1088" s="10" t="str">
        <f t="shared" si="211"/>
        <v/>
      </c>
      <c r="R1088" s="13" t="str">
        <f t="shared" si="212"/>
        <v/>
      </c>
      <c r="S1088" s="13" t="str">
        <f t="shared" si="213"/>
        <v/>
      </c>
      <c r="T1088" s="22" t="str">
        <f>IF(R1088&lt;&gt;"",VLOOKUP(P1088,Constants!$D$3:$E$10,2),"")</f>
        <v/>
      </c>
    </row>
    <row r="1089" spans="12:20" x14ac:dyDescent="0.25">
      <c r="L1089" s="10" t="str">
        <f t="shared" si="206"/>
        <v/>
      </c>
      <c r="M1089" s="10" t="str">
        <f t="shared" si="207"/>
        <v/>
      </c>
      <c r="N1089" s="11" t="str">
        <f t="shared" si="208"/>
        <v/>
      </c>
      <c r="O1089" s="10" t="str">
        <f t="shared" si="209"/>
        <v/>
      </c>
      <c r="P1089" s="12" t="str">
        <f t="shared" si="210"/>
        <v/>
      </c>
      <c r="Q1089" s="10" t="str">
        <f t="shared" si="211"/>
        <v/>
      </c>
      <c r="R1089" s="13" t="str">
        <f t="shared" si="212"/>
        <v/>
      </c>
      <c r="S1089" s="13" t="str">
        <f t="shared" si="213"/>
        <v/>
      </c>
      <c r="T1089" s="22" t="str">
        <f>IF(R1089&lt;&gt;"",VLOOKUP(P1089,Constants!$D$3:$E$10,2),"")</f>
        <v/>
      </c>
    </row>
    <row r="1090" spans="12:20" x14ac:dyDescent="0.25">
      <c r="L1090" s="10" t="str">
        <f t="shared" si="206"/>
        <v/>
      </c>
      <c r="M1090" s="10" t="str">
        <f t="shared" si="207"/>
        <v/>
      </c>
      <c r="N1090" s="11" t="str">
        <f t="shared" si="208"/>
        <v/>
      </c>
      <c r="O1090" s="10" t="str">
        <f t="shared" si="209"/>
        <v/>
      </c>
      <c r="P1090" s="12" t="str">
        <f t="shared" si="210"/>
        <v/>
      </c>
      <c r="Q1090" s="10" t="str">
        <f t="shared" si="211"/>
        <v/>
      </c>
      <c r="R1090" s="13" t="str">
        <f t="shared" si="212"/>
        <v/>
      </c>
      <c r="S1090" s="13" t="str">
        <f t="shared" si="213"/>
        <v/>
      </c>
      <c r="T1090" s="22" t="str">
        <f>IF(R1090&lt;&gt;"",VLOOKUP(P1090,Constants!$D$3:$E$10,2),"")</f>
        <v/>
      </c>
    </row>
    <row r="1091" spans="12:20" x14ac:dyDescent="0.25">
      <c r="L1091" s="10" t="str">
        <f t="shared" si="206"/>
        <v/>
      </c>
      <c r="M1091" s="10" t="str">
        <f t="shared" si="207"/>
        <v/>
      </c>
      <c r="N1091" s="11" t="str">
        <f t="shared" si="208"/>
        <v/>
      </c>
      <c r="O1091" s="10" t="str">
        <f t="shared" si="209"/>
        <v/>
      </c>
      <c r="P1091" s="12" t="str">
        <f t="shared" si="210"/>
        <v/>
      </c>
      <c r="Q1091" s="10" t="str">
        <f t="shared" si="211"/>
        <v/>
      </c>
      <c r="R1091" s="13" t="str">
        <f t="shared" si="212"/>
        <v/>
      </c>
      <c r="S1091" s="13" t="str">
        <f t="shared" si="213"/>
        <v/>
      </c>
      <c r="T1091" s="22" t="str">
        <f>IF(R1091&lt;&gt;"",VLOOKUP(P1091,Constants!$D$3:$E$10,2),"")</f>
        <v/>
      </c>
    </row>
    <row r="1092" spans="12:20" x14ac:dyDescent="0.25">
      <c r="L1092" s="10" t="str">
        <f t="shared" si="206"/>
        <v/>
      </c>
      <c r="M1092" s="10" t="str">
        <f t="shared" si="207"/>
        <v/>
      </c>
      <c r="N1092" s="11" t="str">
        <f t="shared" si="208"/>
        <v/>
      </c>
      <c r="O1092" s="10" t="str">
        <f t="shared" si="209"/>
        <v/>
      </c>
      <c r="P1092" s="12" t="str">
        <f t="shared" si="210"/>
        <v/>
      </c>
      <c r="Q1092" s="10" t="str">
        <f t="shared" si="211"/>
        <v/>
      </c>
      <c r="R1092" s="13" t="str">
        <f t="shared" si="212"/>
        <v/>
      </c>
      <c r="S1092" s="13" t="str">
        <f t="shared" si="213"/>
        <v/>
      </c>
      <c r="T1092" s="22" t="str">
        <f>IF(R1092&lt;&gt;"",VLOOKUP(P1092,Constants!$D$3:$E$10,2),"")</f>
        <v/>
      </c>
    </row>
    <row r="1093" spans="12:20" x14ac:dyDescent="0.25">
      <c r="L1093" s="10" t="str">
        <f t="shared" si="206"/>
        <v/>
      </c>
      <c r="M1093" s="10" t="str">
        <f t="shared" si="207"/>
        <v/>
      </c>
      <c r="N1093" s="11" t="str">
        <f t="shared" si="208"/>
        <v/>
      </c>
      <c r="O1093" s="10" t="str">
        <f t="shared" si="209"/>
        <v/>
      </c>
      <c r="P1093" s="12" t="str">
        <f t="shared" si="210"/>
        <v/>
      </c>
      <c r="Q1093" s="10" t="str">
        <f t="shared" si="211"/>
        <v/>
      </c>
      <c r="R1093" s="13" t="str">
        <f t="shared" si="212"/>
        <v/>
      </c>
      <c r="S1093" s="13" t="str">
        <f t="shared" si="213"/>
        <v/>
      </c>
      <c r="T1093" s="22" t="str">
        <f>IF(R1093&lt;&gt;"",VLOOKUP(P1093,Constants!$D$3:$E$10,2),"")</f>
        <v/>
      </c>
    </row>
    <row r="1094" spans="12:20" x14ac:dyDescent="0.25">
      <c r="L1094" s="10" t="str">
        <f t="shared" si="206"/>
        <v/>
      </c>
      <c r="M1094" s="10" t="str">
        <f t="shared" si="207"/>
        <v/>
      </c>
      <c r="N1094" s="11" t="str">
        <f t="shared" si="208"/>
        <v/>
      </c>
      <c r="O1094" s="10" t="str">
        <f t="shared" si="209"/>
        <v/>
      </c>
      <c r="P1094" s="12" t="str">
        <f t="shared" si="210"/>
        <v/>
      </c>
      <c r="Q1094" s="10" t="str">
        <f t="shared" si="211"/>
        <v/>
      </c>
      <c r="R1094" s="13" t="str">
        <f t="shared" si="212"/>
        <v/>
      </c>
      <c r="S1094" s="13" t="str">
        <f t="shared" si="213"/>
        <v/>
      </c>
      <c r="T1094" s="22" t="str">
        <f>IF(R1094&lt;&gt;"",VLOOKUP(P1094,Constants!$D$3:$E$10,2),"")</f>
        <v/>
      </c>
    </row>
    <row r="1095" spans="12:20" x14ac:dyDescent="0.25">
      <c r="L1095" s="10" t="str">
        <f t="shared" si="206"/>
        <v/>
      </c>
      <c r="M1095" s="10" t="str">
        <f t="shared" si="207"/>
        <v/>
      </c>
      <c r="N1095" s="11" t="str">
        <f t="shared" si="208"/>
        <v/>
      </c>
      <c r="O1095" s="10" t="str">
        <f t="shared" si="209"/>
        <v/>
      </c>
      <c r="P1095" s="12" t="str">
        <f t="shared" si="210"/>
        <v/>
      </c>
      <c r="Q1095" s="10" t="str">
        <f t="shared" si="211"/>
        <v/>
      </c>
      <c r="R1095" s="13" t="str">
        <f t="shared" si="212"/>
        <v/>
      </c>
      <c r="S1095" s="13" t="str">
        <f t="shared" si="213"/>
        <v/>
      </c>
      <c r="T1095" s="22" t="str">
        <f>IF(R1095&lt;&gt;"",VLOOKUP(P1095,Constants!$D$3:$E$10,2),"")</f>
        <v/>
      </c>
    </row>
    <row r="1096" spans="12:20" x14ac:dyDescent="0.25">
      <c r="L1096" s="10" t="str">
        <f t="shared" si="206"/>
        <v/>
      </c>
      <c r="M1096" s="10" t="str">
        <f t="shared" si="207"/>
        <v/>
      </c>
      <c r="N1096" s="11" t="str">
        <f t="shared" si="208"/>
        <v/>
      </c>
      <c r="O1096" s="10" t="str">
        <f t="shared" si="209"/>
        <v/>
      </c>
      <c r="P1096" s="12" t="str">
        <f t="shared" si="210"/>
        <v/>
      </c>
      <c r="Q1096" s="10" t="str">
        <f t="shared" si="211"/>
        <v/>
      </c>
      <c r="R1096" s="13" t="str">
        <f t="shared" si="212"/>
        <v/>
      </c>
      <c r="S1096" s="13" t="str">
        <f t="shared" si="213"/>
        <v/>
      </c>
      <c r="T1096" s="22" t="str">
        <f>IF(R1096&lt;&gt;"",VLOOKUP(P1096,Constants!$D$3:$E$10,2),"")</f>
        <v/>
      </c>
    </row>
    <row r="1097" spans="12:20" x14ac:dyDescent="0.25">
      <c r="L1097" s="10" t="str">
        <f t="shared" si="206"/>
        <v/>
      </c>
      <c r="M1097" s="10" t="str">
        <f t="shared" si="207"/>
        <v/>
      </c>
      <c r="N1097" s="11" t="str">
        <f t="shared" si="208"/>
        <v/>
      </c>
      <c r="O1097" s="10" t="str">
        <f t="shared" si="209"/>
        <v/>
      </c>
      <c r="P1097" s="12" t="str">
        <f t="shared" si="210"/>
        <v/>
      </c>
      <c r="Q1097" s="10" t="str">
        <f t="shared" si="211"/>
        <v/>
      </c>
      <c r="R1097" s="13" t="str">
        <f t="shared" si="212"/>
        <v/>
      </c>
      <c r="S1097" s="13" t="str">
        <f t="shared" si="213"/>
        <v/>
      </c>
      <c r="T1097" s="22" t="str">
        <f>IF(R1097&lt;&gt;"",VLOOKUP(P1097,Constants!$D$3:$E$10,2),"")</f>
        <v/>
      </c>
    </row>
    <row r="1098" spans="12:20" x14ac:dyDescent="0.25">
      <c r="L1098" s="10" t="str">
        <f t="shared" si="206"/>
        <v/>
      </c>
      <c r="M1098" s="10" t="str">
        <f t="shared" si="207"/>
        <v/>
      </c>
      <c r="N1098" s="11" t="str">
        <f t="shared" si="208"/>
        <v/>
      </c>
      <c r="O1098" s="10" t="str">
        <f t="shared" si="209"/>
        <v/>
      </c>
      <c r="P1098" s="12" t="str">
        <f t="shared" si="210"/>
        <v/>
      </c>
      <c r="Q1098" s="10" t="str">
        <f t="shared" si="211"/>
        <v/>
      </c>
      <c r="R1098" s="13" t="str">
        <f t="shared" si="212"/>
        <v/>
      </c>
      <c r="S1098" s="13" t="str">
        <f t="shared" si="213"/>
        <v/>
      </c>
      <c r="T1098" s="22" t="str">
        <f>IF(R1098&lt;&gt;"",VLOOKUP(P1098,Constants!$D$3:$E$10,2),"")</f>
        <v/>
      </c>
    </row>
    <row r="1099" spans="12:20" x14ac:dyDescent="0.25">
      <c r="L1099" s="10" t="str">
        <f t="shared" si="206"/>
        <v/>
      </c>
      <c r="M1099" s="10" t="str">
        <f t="shared" si="207"/>
        <v/>
      </c>
      <c r="N1099" s="11" t="str">
        <f t="shared" si="208"/>
        <v/>
      </c>
      <c r="O1099" s="10" t="str">
        <f t="shared" si="209"/>
        <v/>
      </c>
      <c r="P1099" s="12" t="str">
        <f t="shared" si="210"/>
        <v/>
      </c>
      <c r="Q1099" s="10" t="str">
        <f t="shared" si="211"/>
        <v/>
      </c>
      <c r="R1099" s="13" t="str">
        <f t="shared" si="212"/>
        <v/>
      </c>
      <c r="S1099" s="13" t="str">
        <f t="shared" si="213"/>
        <v/>
      </c>
      <c r="T1099" s="22" t="str">
        <f>IF(R1099&lt;&gt;"",VLOOKUP(P1099,Constants!$D$3:$E$10,2),"")</f>
        <v/>
      </c>
    </row>
    <row r="1100" spans="12:20" x14ac:dyDescent="0.25">
      <c r="L1100" s="10" t="str">
        <f t="shared" si="206"/>
        <v/>
      </c>
      <c r="M1100" s="10" t="str">
        <f t="shared" si="207"/>
        <v/>
      </c>
      <c r="N1100" s="11" t="str">
        <f t="shared" si="208"/>
        <v/>
      </c>
      <c r="O1100" s="10" t="str">
        <f t="shared" si="209"/>
        <v/>
      </c>
      <c r="P1100" s="12" t="str">
        <f t="shared" si="210"/>
        <v/>
      </c>
      <c r="Q1100" s="10" t="str">
        <f t="shared" si="211"/>
        <v/>
      </c>
      <c r="R1100" s="13" t="str">
        <f t="shared" si="212"/>
        <v/>
      </c>
      <c r="S1100" s="13" t="str">
        <f t="shared" si="213"/>
        <v/>
      </c>
      <c r="T1100" s="22" t="str">
        <f>IF(R1100&lt;&gt;"",VLOOKUP(P1100,Constants!$D$3:$E$10,2),"")</f>
        <v/>
      </c>
    </row>
    <row r="1101" spans="12:20" x14ac:dyDescent="0.25">
      <c r="L1101" s="10" t="str">
        <f t="shared" si="206"/>
        <v/>
      </c>
      <c r="M1101" s="10" t="str">
        <f t="shared" si="207"/>
        <v/>
      </c>
      <c r="N1101" s="11" t="str">
        <f t="shared" si="208"/>
        <v/>
      </c>
      <c r="O1101" s="10" t="str">
        <f t="shared" si="209"/>
        <v/>
      </c>
      <c r="P1101" s="12" t="str">
        <f t="shared" si="210"/>
        <v/>
      </c>
      <c r="Q1101" s="10" t="str">
        <f t="shared" si="211"/>
        <v/>
      </c>
      <c r="R1101" s="13" t="str">
        <f t="shared" si="212"/>
        <v/>
      </c>
      <c r="S1101" s="13" t="str">
        <f t="shared" si="213"/>
        <v/>
      </c>
      <c r="T1101" s="22" t="str">
        <f>IF(R1101&lt;&gt;"",VLOOKUP(P1101,Constants!$D$3:$E$10,2),"")</f>
        <v/>
      </c>
    </row>
    <row r="1102" spans="12:20" x14ac:dyDescent="0.25">
      <c r="L1102" s="10" t="str">
        <f t="shared" si="206"/>
        <v/>
      </c>
      <c r="M1102" s="10" t="str">
        <f t="shared" si="207"/>
        <v/>
      </c>
      <c r="N1102" s="11" t="str">
        <f t="shared" si="208"/>
        <v/>
      </c>
      <c r="O1102" s="10" t="str">
        <f t="shared" si="209"/>
        <v/>
      </c>
      <c r="P1102" s="12" t="str">
        <f t="shared" si="210"/>
        <v/>
      </c>
      <c r="Q1102" s="10" t="str">
        <f t="shared" si="211"/>
        <v/>
      </c>
      <c r="R1102" s="13" t="str">
        <f t="shared" si="212"/>
        <v/>
      </c>
      <c r="S1102" s="13" t="str">
        <f t="shared" si="213"/>
        <v/>
      </c>
      <c r="T1102" s="22" t="str">
        <f>IF(R1102&lt;&gt;"",VLOOKUP(P1102,Constants!$D$3:$E$10,2),"")</f>
        <v/>
      </c>
    </row>
    <row r="1103" spans="12:20" x14ac:dyDescent="0.25">
      <c r="L1103" s="10" t="str">
        <f t="shared" si="206"/>
        <v/>
      </c>
      <c r="M1103" s="10" t="str">
        <f t="shared" si="207"/>
        <v/>
      </c>
      <c r="N1103" s="11" t="str">
        <f t="shared" si="208"/>
        <v/>
      </c>
      <c r="O1103" s="10" t="str">
        <f t="shared" si="209"/>
        <v/>
      </c>
      <c r="P1103" s="12" t="str">
        <f t="shared" si="210"/>
        <v/>
      </c>
      <c r="Q1103" s="10" t="str">
        <f t="shared" si="211"/>
        <v/>
      </c>
      <c r="R1103" s="13" t="str">
        <f t="shared" si="212"/>
        <v/>
      </c>
      <c r="S1103" s="13" t="str">
        <f t="shared" si="213"/>
        <v/>
      </c>
      <c r="T1103" s="22" t="str">
        <f>IF(R1103&lt;&gt;"",VLOOKUP(P1103,Constants!$D$3:$E$10,2),"")</f>
        <v/>
      </c>
    </row>
    <row r="1104" spans="12:20" x14ac:dyDescent="0.25">
      <c r="L1104" s="10" t="str">
        <f t="shared" si="206"/>
        <v/>
      </c>
      <c r="M1104" s="10" t="str">
        <f t="shared" si="207"/>
        <v/>
      </c>
      <c r="N1104" s="11" t="str">
        <f t="shared" si="208"/>
        <v/>
      </c>
      <c r="O1104" s="10" t="str">
        <f t="shared" si="209"/>
        <v/>
      </c>
      <c r="P1104" s="12" t="str">
        <f t="shared" si="210"/>
        <v/>
      </c>
      <c r="Q1104" s="10" t="str">
        <f t="shared" si="211"/>
        <v/>
      </c>
      <c r="R1104" s="13" t="str">
        <f t="shared" si="212"/>
        <v/>
      </c>
      <c r="S1104" s="13" t="str">
        <f t="shared" si="213"/>
        <v/>
      </c>
      <c r="T1104" s="22" t="str">
        <f>IF(R1104&lt;&gt;"",VLOOKUP(P1104,Constants!$D$3:$E$10,2),"")</f>
        <v/>
      </c>
    </row>
    <row r="1105" spans="12:20" x14ac:dyDescent="0.25">
      <c r="L1105" s="10" t="str">
        <f t="shared" si="206"/>
        <v/>
      </c>
      <c r="M1105" s="10" t="str">
        <f t="shared" si="207"/>
        <v/>
      </c>
      <c r="N1105" s="11" t="str">
        <f t="shared" si="208"/>
        <v/>
      </c>
      <c r="O1105" s="10" t="str">
        <f t="shared" si="209"/>
        <v/>
      </c>
      <c r="P1105" s="12" t="str">
        <f t="shared" si="210"/>
        <v/>
      </c>
      <c r="Q1105" s="10" t="str">
        <f t="shared" si="211"/>
        <v/>
      </c>
      <c r="R1105" s="13" t="str">
        <f t="shared" si="212"/>
        <v/>
      </c>
      <c r="S1105" s="13" t="str">
        <f t="shared" si="213"/>
        <v/>
      </c>
      <c r="T1105" s="22" t="str">
        <f>IF(R1105&lt;&gt;"",VLOOKUP(P1105,Constants!$D$3:$E$10,2),"")</f>
        <v/>
      </c>
    </row>
    <row r="1106" spans="12:20" x14ac:dyDescent="0.25">
      <c r="L1106" s="10" t="str">
        <f t="shared" ref="L1106:L1169" si="214">IF($D1106&lt;&gt;"",$D1106*$E1106/1000,"")</f>
        <v/>
      </c>
      <c r="M1106" s="10" t="str">
        <f t="shared" ref="M1106:M1169" si="215">IF($D1106&lt;&gt;"",$D1106*$F1106/1000,"")</f>
        <v/>
      </c>
      <c r="N1106" s="11" t="str">
        <f t="shared" ref="N1106:N1169" si="216">IF($L1106&lt;&gt;"",SQRT($L1106*$L1106+$M1106*$M1106),"")</f>
        <v/>
      </c>
      <c r="O1106" s="10" t="str">
        <f t="shared" si="209"/>
        <v/>
      </c>
      <c r="P1106" s="12" t="str">
        <f t="shared" si="210"/>
        <v/>
      </c>
      <c r="Q1106" s="10" t="str">
        <f t="shared" si="211"/>
        <v/>
      </c>
      <c r="R1106" s="13" t="str">
        <f t="shared" si="212"/>
        <v/>
      </c>
      <c r="S1106" s="13" t="str">
        <f t="shared" si="213"/>
        <v/>
      </c>
      <c r="T1106" s="22" t="str">
        <f>IF(R1106&lt;&gt;"",VLOOKUP(P1106,Constants!$D$3:$E$10,2),"")</f>
        <v/>
      </c>
    </row>
    <row r="1107" spans="12:20" x14ac:dyDescent="0.25">
      <c r="L1107" s="10" t="str">
        <f t="shared" si="214"/>
        <v/>
      </c>
      <c r="M1107" s="10" t="str">
        <f t="shared" si="215"/>
        <v/>
      </c>
      <c r="N1107" s="11" t="str">
        <f t="shared" si="216"/>
        <v/>
      </c>
      <c r="O1107" s="10" t="str">
        <f t="shared" si="209"/>
        <v/>
      </c>
      <c r="P1107" s="12" t="str">
        <f t="shared" si="210"/>
        <v/>
      </c>
      <c r="Q1107" s="10" t="str">
        <f t="shared" si="211"/>
        <v/>
      </c>
      <c r="R1107" s="13" t="str">
        <f t="shared" si="212"/>
        <v/>
      </c>
      <c r="S1107" s="13" t="str">
        <f t="shared" si="213"/>
        <v/>
      </c>
      <c r="T1107" s="22" t="str">
        <f>IF(R1107&lt;&gt;"",VLOOKUP(P1107,Constants!$D$3:$E$10,2),"")</f>
        <v/>
      </c>
    </row>
    <row r="1108" spans="12:20" x14ac:dyDescent="0.25">
      <c r="L1108" s="10" t="str">
        <f t="shared" si="214"/>
        <v/>
      </c>
      <c r="M1108" s="10" t="str">
        <f t="shared" si="215"/>
        <v/>
      </c>
      <c r="N1108" s="11" t="str">
        <f t="shared" si="216"/>
        <v/>
      </c>
      <c r="O1108" s="10" t="str">
        <f t="shared" ref="O1108:O1171" si="217">IF(D1108&lt;&gt;"",1000/(2*D1108),"")</f>
        <v/>
      </c>
      <c r="P1108" s="12" t="str">
        <f t="shared" ref="P1108:P1171" si="218">IF($N1108&lt;&gt;"",D1108*SQRT(E1108*E1108+F1108*F1108)/16000,"")</f>
        <v/>
      </c>
      <c r="Q1108" s="10" t="str">
        <f t="shared" ref="Q1108:Q1171" si="219">IF(F1108&lt;&gt;"",F1108*E1108/1000000,"")</f>
        <v/>
      </c>
      <c r="R1108" s="13" t="str">
        <f t="shared" ref="R1108:R1171" si="220">IF(G1108&lt;&gt;"",1000/G1108,"")</f>
        <v/>
      </c>
      <c r="S1108" s="13" t="str">
        <f t="shared" ref="S1108:S1171" si="221">IF(R1108&lt;&gt;"",Q1108/R1108*1000,"")</f>
        <v/>
      </c>
      <c r="T1108" s="22" t="str">
        <f>IF(R1108&lt;&gt;"",VLOOKUP(P1108,Constants!$D$3:$E$10,2),"")</f>
        <v/>
      </c>
    </row>
    <row r="1109" spans="12:20" x14ac:dyDescent="0.25">
      <c r="L1109" s="10" t="str">
        <f t="shared" si="214"/>
        <v/>
      </c>
      <c r="M1109" s="10" t="str">
        <f t="shared" si="215"/>
        <v/>
      </c>
      <c r="N1109" s="11" t="str">
        <f t="shared" si="216"/>
        <v/>
      </c>
      <c r="O1109" s="10" t="str">
        <f t="shared" si="217"/>
        <v/>
      </c>
      <c r="P1109" s="12" t="str">
        <f t="shared" si="218"/>
        <v/>
      </c>
      <c r="Q1109" s="10" t="str">
        <f t="shared" si="219"/>
        <v/>
      </c>
      <c r="R1109" s="13" t="str">
        <f t="shared" si="220"/>
        <v/>
      </c>
      <c r="S1109" s="13" t="str">
        <f t="shared" si="221"/>
        <v/>
      </c>
      <c r="T1109" s="22" t="str">
        <f>IF(R1109&lt;&gt;"",VLOOKUP(P1109,Constants!$D$3:$E$10,2),"")</f>
        <v/>
      </c>
    </row>
    <row r="1110" spans="12:20" x14ac:dyDescent="0.25">
      <c r="L1110" s="10" t="str">
        <f t="shared" si="214"/>
        <v/>
      </c>
      <c r="M1110" s="10" t="str">
        <f t="shared" si="215"/>
        <v/>
      </c>
      <c r="N1110" s="11" t="str">
        <f t="shared" si="216"/>
        <v/>
      </c>
      <c r="O1110" s="10" t="str">
        <f t="shared" si="217"/>
        <v/>
      </c>
      <c r="P1110" s="12" t="str">
        <f t="shared" si="218"/>
        <v/>
      </c>
      <c r="Q1110" s="10" t="str">
        <f t="shared" si="219"/>
        <v/>
      </c>
      <c r="R1110" s="13" t="str">
        <f t="shared" si="220"/>
        <v/>
      </c>
      <c r="S1110" s="13" t="str">
        <f t="shared" si="221"/>
        <v/>
      </c>
      <c r="T1110" s="22" t="str">
        <f>IF(R1110&lt;&gt;"",VLOOKUP(P1110,Constants!$D$3:$E$10,2),"")</f>
        <v/>
      </c>
    </row>
    <row r="1111" spans="12:20" x14ac:dyDescent="0.25">
      <c r="L1111" s="10" t="str">
        <f t="shared" si="214"/>
        <v/>
      </c>
      <c r="M1111" s="10" t="str">
        <f t="shared" si="215"/>
        <v/>
      </c>
      <c r="N1111" s="11" t="str">
        <f t="shared" si="216"/>
        <v/>
      </c>
      <c r="O1111" s="10" t="str">
        <f t="shared" si="217"/>
        <v/>
      </c>
      <c r="P1111" s="12" t="str">
        <f t="shared" si="218"/>
        <v/>
      </c>
      <c r="Q1111" s="10" t="str">
        <f t="shared" si="219"/>
        <v/>
      </c>
      <c r="R1111" s="13" t="str">
        <f t="shared" si="220"/>
        <v/>
      </c>
      <c r="S1111" s="13" t="str">
        <f t="shared" si="221"/>
        <v/>
      </c>
      <c r="T1111" s="22" t="str">
        <f>IF(R1111&lt;&gt;"",VLOOKUP(P1111,Constants!$D$3:$E$10,2),"")</f>
        <v/>
      </c>
    </row>
    <row r="1112" spans="12:20" x14ac:dyDescent="0.25">
      <c r="L1112" s="10" t="str">
        <f t="shared" si="214"/>
        <v/>
      </c>
      <c r="M1112" s="10" t="str">
        <f t="shared" si="215"/>
        <v/>
      </c>
      <c r="N1112" s="11" t="str">
        <f t="shared" si="216"/>
        <v/>
      </c>
      <c r="O1112" s="10" t="str">
        <f t="shared" si="217"/>
        <v/>
      </c>
      <c r="P1112" s="12" t="str">
        <f t="shared" si="218"/>
        <v/>
      </c>
      <c r="Q1112" s="10" t="str">
        <f t="shared" si="219"/>
        <v/>
      </c>
      <c r="R1112" s="13" t="str">
        <f t="shared" si="220"/>
        <v/>
      </c>
      <c r="S1112" s="13" t="str">
        <f t="shared" si="221"/>
        <v/>
      </c>
      <c r="T1112" s="22" t="str">
        <f>IF(R1112&lt;&gt;"",VLOOKUP(P1112,Constants!$D$3:$E$10,2),"")</f>
        <v/>
      </c>
    </row>
    <row r="1113" spans="12:20" x14ac:dyDescent="0.25">
      <c r="L1113" s="10" t="str">
        <f t="shared" si="214"/>
        <v/>
      </c>
      <c r="M1113" s="10" t="str">
        <f t="shared" si="215"/>
        <v/>
      </c>
      <c r="N1113" s="11" t="str">
        <f t="shared" si="216"/>
        <v/>
      </c>
      <c r="O1113" s="10" t="str">
        <f t="shared" si="217"/>
        <v/>
      </c>
      <c r="P1113" s="12" t="str">
        <f t="shared" si="218"/>
        <v/>
      </c>
      <c r="Q1113" s="10" t="str">
        <f t="shared" si="219"/>
        <v/>
      </c>
      <c r="R1113" s="13" t="str">
        <f t="shared" si="220"/>
        <v/>
      </c>
      <c r="S1113" s="13" t="str">
        <f t="shared" si="221"/>
        <v/>
      </c>
      <c r="T1113" s="22" t="str">
        <f>IF(R1113&lt;&gt;"",VLOOKUP(P1113,Constants!$D$3:$E$10,2),"")</f>
        <v/>
      </c>
    </row>
    <row r="1114" spans="12:20" x14ac:dyDescent="0.25">
      <c r="L1114" s="10" t="str">
        <f t="shared" si="214"/>
        <v/>
      </c>
      <c r="M1114" s="10" t="str">
        <f t="shared" si="215"/>
        <v/>
      </c>
      <c r="N1114" s="11" t="str">
        <f t="shared" si="216"/>
        <v/>
      </c>
      <c r="O1114" s="10" t="str">
        <f t="shared" si="217"/>
        <v/>
      </c>
      <c r="P1114" s="12" t="str">
        <f t="shared" si="218"/>
        <v/>
      </c>
      <c r="Q1114" s="10" t="str">
        <f t="shared" si="219"/>
        <v/>
      </c>
      <c r="R1114" s="13" t="str">
        <f t="shared" si="220"/>
        <v/>
      </c>
      <c r="S1114" s="13" t="str">
        <f t="shared" si="221"/>
        <v/>
      </c>
      <c r="T1114" s="22" t="str">
        <f>IF(R1114&lt;&gt;"",VLOOKUP(P1114,Constants!$D$3:$E$10,2),"")</f>
        <v/>
      </c>
    </row>
    <row r="1115" spans="12:20" x14ac:dyDescent="0.25">
      <c r="L1115" s="10" t="str">
        <f t="shared" si="214"/>
        <v/>
      </c>
      <c r="M1115" s="10" t="str">
        <f t="shared" si="215"/>
        <v/>
      </c>
      <c r="N1115" s="11" t="str">
        <f t="shared" si="216"/>
        <v/>
      </c>
      <c r="O1115" s="10" t="str">
        <f t="shared" si="217"/>
        <v/>
      </c>
      <c r="P1115" s="12" t="str">
        <f t="shared" si="218"/>
        <v/>
      </c>
      <c r="Q1115" s="10" t="str">
        <f t="shared" si="219"/>
        <v/>
      </c>
      <c r="R1115" s="13" t="str">
        <f t="shared" si="220"/>
        <v/>
      </c>
      <c r="S1115" s="13" t="str">
        <f t="shared" si="221"/>
        <v/>
      </c>
      <c r="T1115" s="22" t="str">
        <f>IF(R1115&lt;&gt;"",VLOOKUP(P1115,Constants!$D$3:$E$10,2),"")</f>
        <v/>
      </c>
    </row>
    <row r="1116" spans="12:20" x14ac:dyDescent="0.25">
      <c r="L1116" s="10" t="str">
        <f t="shared" si="214"/>
        <v/>
      </c>
      <c r="M1116" s="10" t="str">
        <f t="shared" si="215"/>
        <v/>
      </c>
      <c r="N1116" s="11" t="str">
        <f t="shared" si="216"/>
        <v/>
      </c>
      <c r="O1116" s="10" t="str">
        <f t="shared" si="217"/>
        <v/>
      </c>
      <c r="P1116" s="12" t="str">
        <f t="shared" si="218"/>
        <v/>
      </c>
      <c r="Q1116" s="10" t="str">
        <f t="shared" si="219"/>
        <v/>
      </c>
      <c r="R1116" s="13" t="str">
        <f t="shared" si="220"/>
        <v/>
      </c>
      <c r="S1116" s="13" t="str">
        <f t="shared" si="221"/>
        <v/>
      </c>
      <c r="T1116" s="22" t="str">
        <f>IF(R1116&lt;&gt;"",VLOOKUP(P1116,Constants!$D$3:$E$10,2),"")</f>
        <v/>
      </c>
    </row>
    <row r="1117" spans="12:20" x14ac:dyDescent="0.25">
      <c r="L1117" s="10" t="str">
        <f t="shared" si="214"/>
        <v/>
      </c>
      <c r="M1117" s="10" t="str">
        <f t="shared" si="215"/>
        <v/>
      </c>
      <c r="N1117" s="11" t="str">
        <f t="shared" si="216"/>
        <v/>
      </c>
      <c r="O1117" s="10" t="str">
        <f t="shared" si="217"/>
        <v/>
      </c>
      <c r="P1117" s="12" t="str">
        <f t="shared" si="218"/>
        <v/>
      </c>
      <c r="Q1117" s="10" t="str">
        <f t="shared" si="219"/>
        <v/>
      </c>
      <c r="R1117" s="13" t="str">
        <f t="shared" si="220"/>
        <v/>
      </c>
      <c r="S1117" s="13" t="str">
        <f t="shared" si="221"/>
        <v/>
      </c>
      <c r="T1117" s="22" t="str">
        <f>IF(R1117&lt;&gt;"",VLOOKUP(P1117,Constants!$D$3:$E$10,2),"")</f>
        <v/>
      </c>
    </row>
    <row r="1118" spans="12:20" x14ac:dyDescent="0.25">
      <c r="L1118" s="10" t="str">
        <f t="shared" si="214"/>
        <v/>
      </c>
      <c r="M1118" s="10" t="str">
        <f t="shared" si="215"/>
        <v/>
      </c>
      <c r="N1118" s="11" t="str">
        <f t="shared" si="216"/>
        <v/>
      </c>
      <c r="O1118" s="10" t="str">
        <f t="shared" si="217"/>
        <v/>
      </c>
      <c r="P1118" s="12" t="str">
        <f t="shared" si="218"/>
        <v/>
      </c>
      <c r="Q1118" s="10" t="str">
        <f t="shared" si="219"/>
        <v/>
      </c>
      <c r="R1118" s="13" t="str">
        <f t="shared" si="220"/>
        <v/>
      </c>
      <c r="S1118" s="13" t="str">
        <f t="shared" si="221"/>
        <v/>
      </c>
      <c r="T1118" s="22" t="str">
        <f>IF(R1118&lt;&gt;"",VLOOKUP(P1118,Constants!$D$3:$E$10,2),"")</f>
        <v/>
      </c>
    </row>
    <row r="1119" spans="12:20" x14ac:dyDescent="0.25">
      <c r="L1119" s="10" t="str">
        <f t="shared" si="214"/>
        <v/>
      </c>
      <c r="M1119" s="10" t="str">
        <f t="shared" si="215"/>
        <v/>
      </c>
      <c r="N1119" s="11" t="str">
        <f t="shared" si="216"/>
        <v/>
      </c>
      <c r="O1119" s="10" t="str">
        <f t="shared" si="217"/>
        <v/>
      </c>
      <c r="P1119" s="12" t="str">
        <f t="shared" si="218"/>
        <v/>
      </c>
      <c r="Q1119" s="10" t="str">
        <f t="shared" si="219"/>
        <v/>
      </c>
      <c r="R1119" s="13" t="str">
        <f t="shared" si="220"/>
        <v/>
      </c>
      <c r="S1119" s="13" t="str">
        <f t="shared" si="221"/>
        <v/>
      </c>
      <c r="T1119" s="22" t="str">
        <f>IF(R1119&lt;&gt;"",VLOOKUP(P1119,Constants!$D$3:$E$10,2),"")</f>
        <v/>
      </c>
    </row>
    <row r="1120" spans="12:20" x14ac:dyDescent="0.25">
      <c r="L1120" s="10" t="str">
        <f t="shared" si="214"/>
        <v/>
      </c>
      <c r="M1120" s="10" t="str">
        <f t="shared" si="215"/>
        <v/>
      </c>
      <c r="N1120" s="11" t="str">
        <f t="shared" si="216"/>
        <v/>
      </c>
      <c r="O1120" s="10" t="str">
        <f t="shared" si="217"/>
        <v/>
      </c>
      <c r="P1120" s="12" t="str">
        <f t="shared" si="218"/>
        <v/>
      </c>
      <c r="Q1120" s="10" t="str">
        <f t="shared" si="219"/>
        <v/>
      </c>
      <c r="R1120" s="13" t="str">
        <f t="shared" si="220"/>
        <v/>
      </c>
      <c r="S1120" s="13" t="str">
        <f t="shared" si="221"/>
        <v/>
      </c>
      <c r="T1120" s="22" t="str">
        <f>IF(R1120&lt;&gt;"",VLOOKUP(P1120,Constants!$D$3:$E$10,2),"")</f>
        <v/>
      </c>
    </row>
    <row r="1121" spans="12:20" x14ac:dyDescent="0.25">
      <c r="L1121" s="10" t="str">
        <f t="shared" si="214"/>
        <v/>
      </c>
      <c r="M1121" s="10" t="str">
        <f t="shared" si="215"/>
        <v/>
      </c>
      <c r="N1121" s="11" t="str">
        <f t="shared" si="216"/>
        <v/>
      </c>
      <c r="O1121" s="10" t="str">
        <f t="shared" si="217"/>
        <v/>
      </c>
      <c r="P1121" s="12" t="str">
        <f t="shared" si="218"/>
        <v/>
      </c>
      <c r="Q1121" s="10" t="str">
        <f t="shared" si="219"/>
        <v/>
      </c>
      <c r="R1121" s="13" t="str">
        <f t="shared" si="220"/>
        <v/>
      </c>
      <c r="S1121" s="13" t="str">
        <f t="shared" si="221"/>
        <v/>
      </c>
      <c r="T1121" s="22" t="str">
        <f>IF(R1121&lt;&gt;"",VLOOKUP(P1121,Constants!$D$3:$E$10,2),"")</f>
        <v/>
      </c>
    </row>
    <row r="1122" spans="12:20" x14ac:dyDescent="0.25">
      <c r="L1122" s="10" t="str">
        <f t="shared" si="214"/>
        <v/>
      </c>
      <c r="M1122" s="10" t="str">
        <f t="shared" si="215"/>
        <v/>
      </c>
      <c r="N1122" s="11" t="str">
        <f t="shared" si="216"/>
        <v/>
      </c>
      <c r="O1122" s="10" t="str">
        <f t="shared" si="217"/>
        <v/>
      </c>
      <c r="P1122" s="12" t="str">
        <f t="shared" si="218"/>
        <v/>
      </c>
      <c r="Q1122" s="10" t="str">
        <f t="shared" si="219"/>
        <v/>
      </c>
      <c r="R1122" s="13" t="str">
        <f t="shared" si="220"/>
        <v/>
      </c>
      <c r="S1122" s="13" t="str">
        <f t="shared" si="221"/>
        <v/>
      </c>
      <c r="T1122" s="22" t="str">
        <f>IF(R1122&lt;&gt;"",VLOOKUP(P1122,Constants!$D$3:$E$10,2),"")</f>
        <v/>
      </c>
    </row>
    <row r="1123" spans="12:20" x14ac:dyDescent="0.25">
      <c r="L1123" s="10" t="str">
        <f t="shared" si="214"/>
        <v/>
      </c>
      <c r="M1123" s="10" t="str">
        <f t="shared" si="215"/>
        <v/>
      </c>
      <c r="N1123" s="11" t="str">
        <f t="shared" si="216"/>
        <v/>
      </c>
      <c r="O1123" s="10" t="str">
        <f t="shared" si="217"/>
        <v/>
      </c>
      <c r="P1123" s="12" t="str">
        <f t="shared" si="218"/>
        <v/>
      </c>
      <c r="Q1123" s="10" t="str">
        <f t="shared" si="219"/>
        <v/>
      </c>
      <c r="R1123" s="13" t="str">
        <f t="shared" si="220"/>
        <v/>
      </c>
      <c r="S1123" s="13" t="str">
        <f t="shared" si="221"/>
        <v/>
      </c>
      <c r="T1123" s="22" t="str">
        <f>IF(R1123&lt;&gt;"",VLOOKUP(P1123,Constants!$D$3:$E$10,2),"")</f>
        <v/>
      </c>
    </row>
    <row r="1124" spans="12:20" x14ac:dyDescent="0.25">
      <c r="L1124" s="10" t="str">
        <f t="shared" si="214"/>
        <v/>
      </c>
      <c r="M1124" s="10" t="str">
        <f t="shared" si="215"/>
        <v/>
      </c>
      <c r="N1124" s="11" t="str">
        <f t="shared" si="216"/>
        <v/>
      </c>
      <c r="O1124" s="10" t="str">
        <f t="shared" si="217"/>
        <v/>
      </c>
      <c r="P1124" s="12" t="str">
        <f t="shared" si="218"/>
        <v/>
      </c>
      <c r="Q1124" s="10" t="str">
        <f t="shared" si="219"/>
        <v/>
      </c>
      <c r="R1124" s="13" t="str">
        <f t="shared" si="220"/>
        <v/>
      </c>
      <c r="S1124" s="13" t="str">
        <f t="shared" si="221"/>
        <v/>
      </c>
      <c r="T1124" s="22" t="str">
        <f>IF(R1124&lt;&gt;"",VLOOKUP(P1124,Constants!$D$3:$E$10,2),"")</f>
        <v/>
      </c>
    </row>
    <row r="1125" spans="12:20" x14ac:dyDescent="0.25">
      <c r="L1125" s="10" t="str">
        <f t="shared" si="214"/>
        <v/>
      </c>
      <c r="M1125" s="10" t="str">
        <f t="shared" si="215"/>
        <v/>
      </c>
      <c r="N1125" s="11" t="str">
        <f t="shared" si="216"/>
        <v/>
      </c>
      <c r="O1125" s="10" t="str">
        <f t="shared" si="217"/>
        <v/>
      </c>
      <c r="P1125" s="12" t="str">
        <f t="shared" si="218"/>
        <v/>
      </c>
      <c r="Q1125" s="10" t="str">
        <f t="shared" si="219"/>
        <v/>
      </c>
      <c r="R1125" s="13" t="str">
        <f t="shared" si="220"/>
        <v/>
      </c>
      <c r="S1125" s="13" t="str">
        <f t="shared" si="221"/>
        <v/>
      </c>
      <c r="T1125" s="22" t="str">
        <f>IF(R1125&lt;&gt;"",VLOOKUP(P1125,Constants!$D$3:$E$10,2),"")</f>
        <v/>
      </c>
    </row>
    <row r="1126" spans="12:20" x14ac:dyDescent="0.25">
      <c r="L1126" s="10" t="str">
        <f t="shared" si="214"/>
        <v/>
      </c>
      <c r="M1126" s="10" t="str">
        <f t="shared" si="215"/>
        <v/>
      </c>
      <c r="N1126" s="11" t="str">
        <f t="shared" si="216"/>
        <v/>
      </c>
      <c r="O1126" s="10" t="str">
        <f t="shared" si="217"/>
        <v/>
      </c>
      <c r="P1126" s="12" t="str">
        <f t="shared" si="218"/>
        <v/>
      </c>
      <c r="Q1126" s="10" t="str">
        <f t="shared" si="219"/>
        <v/>
      </c>
      <c r="R1126" s="13" t="str">
        <f t="shared" si="220"/>
        <v/>
      </c>
      <c r="S1126" s="13" t="str">
        <f t="shared" si="221"/>
        <v/>
      </c>
      <c r="T1126" s="22" t="str">
        <f>IF(R1126&lt;&gt;"",VLOOKUP(P1126,Constants!$D$3:$E$10,2),"")</f>
        <v/>
      </c>
    </row>
    <row r="1127" spans="12:20" x14ac:dyDescent="0.25">
      <c r="L1127" s="10" t="str">
        <f t="shared" si="214"/>
        <v/>
      </c>
      <c r="M1127" s="10" t="str">
        <f t="shared" si="215"/>
        <v/>
      </c>
      <c r="N1127" s="11" t="str">
        <f t="shared" si="216"/>
        <v/>
      </c>
      <c r="O1127" s="10" t="str">
        <f t="shared" si="217"/>
        <v/>
      </c>
      <c r="P1127" s="12" t="str">
        <f t="shared" si="218"/>
        <v/>
      </c>
      <c r="Q1127" s="10" t="str">
        <f t="shared" si="219"/>
        <v/>
      </c>
      <c r="R1127" s="13" t="str">
        <f t="shared" si="220"/>
        <v/>
      </c>
      <c r="S1127" s="13" t="str">
        <f t="shared" si="221"/>
        <v/>
      </c>
      <c r="T1127" s="22" t="str">
        <f>IF(R1127&lt;&gt;"",VLOOKUP(P1127,Constants!$D$3:$E$10,2),"")</f>
        <v/>
      </c>
    </row>
    <row r="1128" spans="12:20" x14ac:dyDescent="0.25">
      <c r="L1128" s="10" t="str">
        <f t="shared" si="214"/>
        <v/>
      </c>
      <c r="M1128" s="10" t="str">
        <f t="shared" si="215"/>
        <v/>
      </c>
      <c r="N1128" s="11" t="str">
        <f t="shared" si="216"/>
        <v/>
      </c>
      <c r="O1128" s="10" t="str">
        <f t="shared" si="217"/>
        <v/>
      </c>
      <c r="P1128" s="12" t="str">
        <f t="shared" si="218"/>
        <v/>
      </c>
      <c r="Q1128" s="10" t="str">
        <f t="shared" si="219"/>
        <v/>
      </c>
      <c r="R1128" s="13" t="str">
        <f t="shared" si="220"/>
        <v/>
      </c>
      <c r="S1128" s="13" t="str">
        <f t="shared" si="221"/>
        <v/>
      </c>
      <c r="T1128" s="22" t="str">
        <f>IF(R1128&lt;&gt;"",VLOOKUP(P1128,Constants!$D$3:$E$10,2),"")</f>
        <v/>
      </c>
    </row>
    <row r="1129" spans="12:20" x14ac:dyDescent="0.25">
      <c r="L1129" s="10" t="str">
        <f t="shared" si="214"/>
        <v/>
      </c>
      <c r="M1129" s="10" t="str">
        <f t="shared" si="215"/>
        <v/>
      </c>
      <c r="N1129" s="11" t="str">
        <f t="shared" si="216"/>
        <v/>
      </c>
      <c r="O1129" s="10" t="str">
        <f t="shared" si="217"/>
        <v/>
      </c>
      <c r="P1129" s="12" t="str">
        <f t="shared" si="218"/>
        <v/>
      </c>
      <c r="Q1129" s="10" t="str">
        <f t="shared" si="219"/>
        <v/>
      </c>
      <c r="R1129" s="13" t="str">
        <f t="shared" si="220"/>
        <v/>
      </c>
      <c r="S1129" s="13" t="str">
        <f t="shared" si="221"/>
        <v/>
      </c>
      <c r="T1129" s="22" t="str">
        <f>IF(R1129&lt;&gt;"",VLOOKUP(P1129,Constants!$D$3:$E$10,2),"")</f>
        <v/>
      </c>
    </row>
    <row r="1130" spans="12:20" x14ac:dyDescent="0.25">
      <c r="L1130" s="10" t="str">
        <f t="shared" si="214"/>
        <v/>
      </c>
      <c r="M1130" s="10" t="str">
        <f t="shared" si="215"/>
        <v/>
      </c>
      <c r="N1130" s="11" t="str">
        <f t="shared" si="216"/>
        <v/>
      </c>
      <c r="O1130" s="10" t="str">
        <f t="shared" si="217"/>
        <v/>
      </c>
      <c r="P1130" s="12" t="str">
        <f t="shared" si="218"/>
        <v/>
      </c>
      <c r="Q1130" s="10" t="str">
        <f t="shared" si="219"/>
        <v/>
      </c>
      <c r="R1130" s="13" t="str">
        <f t="shared" si="220"/>
        <v/>
      </c>
      <c r="S1130" s="13" t="str">
        <f t="shared" si="221"/>
        <v/>
      </c>
      <c r="T1130" s="22" t="str">
        <f>IF(R1130&lt;&gt;"",VLOOKUP(P1130,Constants!$D$3:$E$10,2),"")</f>
        <v/>
      </c>
    </row>
    <row r="1131" spans="12:20" x14ac:dyDescent="0.25">
      <c r="L1131" s="10" t="str">
        <f t="shared" si="214"/>
        <v/>
      </c>
      <c r="M1131" s="10" t="str">
        <f t="shared" si="215"/>
        <v/>
      </c>
      <c r="N1131" s="11" t="str">
        <f t="shared" si="216"/>
        <v/>
      </c>
      <c r="O1131" s="10" t="str">
        <f t="shared" si="217"/>
        <v/>
      </c>
      <c r="P1131" s="12" t="str">
        <f t="shared" si="218"/>
        <v/>
      </c>
      <c r="Q1131" s="10" t="str">
        <f t="shared" si="219"/>
        <v/>
      </c>
      <c r="R1131" s="13" t="str">
        <f t="shared" si="220"/>
        <v/>
      </c>
      <c r="S1131" s="13" t="str">
        <f t="shared" si="221"/>
        <v/>
      </c>
      <c r="T1131" s="22" t="str">
        <f>IF(R1131&lt;&gt;"",VLOOKUP(P1131,Constants!$D$3:$E$10,2),"")</f>
        <v/>
      </c>
    </row>
    <row r="1132" spans="12:20" x14ac:dyDescent="0.25">
      <c r="L1132" s="10" t="str">
        <f t="shared" si="214"/>
        <v/>
      </c>
      <c r="M1132" s="10" t="str">
        <f t="shared" si="215"/>
        <v/>
      </c>
      <c r="N1132" s="11" t="str">
        <f t="shared" si="216"/>
        <v/>
      </c>
      <c r="O1132" s="10" t="str">
        <f t="shared" si="217"/>
        <v/>
      </c>
      <c r="P1132" s="12" t="str">
        <f t="shared" si="218"/>
        <v/>
      </c>
      <c r="Q1132" s="10" t="str">
        <f t="shared" si="219"/>
        <v/>
      </c>
      <c r="R1132" s="13" t="str">
        <f t="shared" si="220"/>
        <v/>
      </c>
      <c r="S1132" s="13" t="str">
        <f t="shared" si="221"/>
        <v/>
      </c>
      <c r="T1132" s="22" t="str">
        <f>IF(R1132&lt;&gt;"",VLOOKUP(P1132,Constants!$D$3:$E$10,2),"")</f>
        <v/>
      </c>
    </row>
    <row r="1133" spans="12:20" x14ac:dyDescent="0.25">
      <c r="L1133" s="10" t="str">
        <f t="shared" si="214"/>
        <v/>
      </c>
      <c r="M1133" s="10" t="str">
        <f t="shared" si="215"/>
        <v/>
      </c>
      <c r="N1133" s="11" t="str">
        <f t="shared" si="216"/>
        <v/>
      </c>
      <c r="O1133" s="10" t="str">
        <f t="shared" si="217"/>
        <v/>
      </c>
      <c r="P1133" s="12" t="str">
        <f t="shared" si="218"/>
        <v/>
      </c>
      <c r="Q1133" s="10" t="str">
        <f t="shared" si="219"/>
        <v/>
      </c>
      <c r="R1133" s="13" t="str">
        <f t="shared" si="220"/>
        <v/>
      </c>
      <c r="S1133" s="13" t="str">
        <f t="shared" si="221"/>
        <v/>
      </c>
      <c r="T1133" s="22" t="str">
        <f>IF(R1133&lt;&gt;"",VLOOKUP(P1133,Constants!$D$3:$E$10,2),"")</f>
        <v/>
      </c>
    </row>
    <row r="1134" spans="12:20" x14ac:dyDescent="0.25">
      <c r="L1134" s="10" t="str">
        <f t="shared" si="214"/>
        <v/>
      </c>
      <c r="M1134" s="10" t="str">
        <f t="shared" si="215"/>
        <v/>
      </c>
      <c r="N1134" s="11" t="str">
        <f t="shared" si="216"/>
        <v/>
      </c>
      <c r="O1134" s="10" t="str">
        <f t="shared" si="217"/>
        <v/>
      </c>
      <c r="P1134" s="12" t="str">
        <f t="shared" si="218"/>
        <v/>
      </c>
      <c r="Q1134" s="10" t="str">
        <f t="shared" si="219"/>
        <v/>
      </c>
      <c r="R1134" s="13" t="str">
        <f t="shared" si="220"/>
        <v/>
      </c>
      <c r="S1134" s="13" t="str">
        <f t="shared" si="221"/>
        <v/>
      </c>
      <c r="T1134" s="22" t="str">
        <f>IF(R1134&lt;&gt;"",VLOOKUP(P1134,Constants!$D$3:$E$10,2),"")</f>
        <v/>
      </c>
    </row>
    <row r="1135" spans="12:20" x14ac:dyDescent="0.25">
      <c r="L1135" s="10" t="str">
        <f t="shared" si="214"/>
        <v/>
      </c>
      <c r="M1135" s="10" t="str">
        <f t="shared" si="215"/>
        <v/>
      </c>
      <c r="N1135" s="11" t="str">
        <f t="shared" si="216"/>
        <v/>
      </c>
      <c r="O1135" s="10" t="str">
        <f t="shared" si="217"/>
        <v/>
      </c>
      <c r="P1135" s="12" t="str">
        <f t="shared" si="218"/>
        <v/>
      </c>
      <c r="Q1135" s="10" t="str">
        <f t="shared" si="219"/>
        <v/>
      </c>
      <c r="R1135" s="13" t="str">
        <f t="shared" si="220"/>
        <v/>
      </c>
      <c r="S1135" s="13" t="str">
        <f t="shared" si="221"/>
        <v/>
      </c>
      <c r="T1135" s="22" t="str">
        <f>IF(R1135&lt;&gt;"",VLOOKUP(P1135,Constants!$D$3:$E$10,2),"")</f>
        <v/>
      </c>
    </row>
    <row r="1136" spans="12:20" x14ac:dyDescent="0.25">
      <c r="L1136" s="10" t="str">
        <f t="shared" si="214"/>
        <v/>
      </c>
      <c r="M1136" s="10" t="str">
        <f t="shared" si="215"/>
        <v/>
      </c>
      <c r="N1136" s="11" t="str">
        <f t="shared" si="216"/>
        <v/>
      </c>
      <c r="O1136" s="10" t="str">
        <f t="shared" si="217"/>
        <v/>
      </c>
      <c r="P1136" s="12" t="str">
        <f t="shared" si="218"/>
        <v/>
      </c>
      <c r="Q1136" s="10" t="str">
        <f t="shared" si="219"/>
        <v/>
      </c>
      <c r="R1136" s="13" t="str">
        <f t="shared" si="220"/>
        <v/>
      </c>
      <c r="S1136" s="13" t="str">
        <f t="shared" si="221"/>
        <v/>
      </c>
      <c r="T1136" s="22" t="str">
        <f>IF(R1136&lt;&gt;"",VLOOKUP(P1136,Constants!$D$3:$E$10,2),"")</f>
        <v/>
      </c>
    </row>
    <row r="1137" spans="12:20" x14ac:dyDescent="0.25">
      <c r="L1137" s="10" t="str">
        <f t="shared" si="214"/>
        <v/>
      </c>
      <c r="M1137" s="10" t="str">
        <f t="shared" si="215"/>
        <v/>
      </c>
      <c r="N1137" s="11" t="str">
        <f t="shared" si="216"/>
        <v/>
      </c>
      <c r="O1137" s="10" t="str">
        <f t="shared" si="217"/>
        <v/>
      </c>
      <c r="P1137" s="12" t="str">
        <f t="shared" si="218"/>
        <v/>
      </c>
      <c r="Q1137" s="10" t="str">
        <f t="shared" si="219"/>
        <v/>
      </c>
      <c r="R1137" s="13" t="str">
        <f t="shared" si="220"/>
        <v/>
      </c>
      <c r="S1137" s="13" t="str">
        <f t="shared" si="221"/>
        <v/>
      </c>
      <c r="T1137" s="22" t="str">
        <f>IF(R1137&lt;&gt;"",VLOOKUP(P1137,Constants!$D$3:$E$10,2),"")</f>
        <v/>
      </c>
    </row>
    <row r="1138" spans="12:20" x14ac:dyDescent="0.25">
      <c r="L1138" s="10" t="str">
        <f t="shared" si="214"/>
        <v/>
      </c>
      <c r="M1138" s="10" t="str">
        <f t="shared" si="215"/>
        <v/>
      </c>
      <c r="N1138" s="11" t="str">
        <f t="shared" si="216"/>
        <v/>
      </c>
      <c r="O1138" s="10" t="str">
        <f t="shared" si="217"/>
        <v/>
      </c>
      <c r="P1138" s="12" t="str">
        <f t="shared" si="218"/>
        <v/>
      </c>
      <c r="Q1138" s="10" t="str">
        <f t="shared" si="219"/>
        <v/>
      </c>
      <c r="R1138" s="13" t="str">
        <f t="shared" si="220"/>
        <v/>
      </c>
      <c r="S1138" s="13" t="str">
        <f t="shared" si="221"/>
        <v/>
      </c>
      <c r="T1138" s="22" t="str">
        <f>IF(R1138&lt;&gt;"",VLOOKUP(P1138,Constants!$D$3:$E$10,2),"")</f>
        <v/>
      </c>
    </row>
    <row r="1139" spans="12:20" x14ac:dyDescent="0.25">
      <c r="L1139" s="10" t="str">
        <f t="shared" si="214"/>
        <v/>
      </c>
      <c r="M1139" s="10" t="str">
        <f t="shared" si="215"/>
        <v/>
      </c>
      <c r="N1139" s="11" t="str">
        <f t="shared" si="216"/>
        <v/>
      </c>
      <c r="O1139" s="10" t="str">
        <f t="shared" si="217"/>
        <v/>
      </c>
      <c r="P1139" s="12" t="str">
        <f t="shared" si="218"/>
        <v/>
      </c>
      <c r="Q1139" s="10" t="str">
        <f t="shared" si="219"/>
        <v/>
      </c>
      <c r="R1139" s="13" t="str">
        <f t="shared" si="220"/>
        <v/>
      </c>
      <c r="S1139" s="13" t="str">
        <f t="shared" si="221"/>
        <v/>
      </c>
      <c r="T1139" s="22" t="str">
        <f>IF(R1139&lt;&gt;"",VLOOKUP(P1139,Constants!$D$3:$E$10,2),"")</f>
        <v/>
      </c>
    </row>
    <row r="1140" spans="12:20" x14ac:dyDescent="0.25">
      <c r="L1140" s="10" t="str">
        <f t="shared" si="214"/>
        <v/>
      </c>
      <c r="M1140" s="10" t="str">
        <f t="shared" si="215"/>
        <v/>
      </c>
      <c r="N1140" s="11" t="str">
        <f t="shared" si="216"/>
        <v/>
      </c>
      <c r="O1140" s="10" t="str">
        <f t="shared" si="217"/>
        <v/>
      </c>
      <c r="P1140" s="12" t="str">
        <f t="shared" si="218"/>
        <v/>
      </c>
      <c r="Q1140" s="10" t="str">
        <f t="shared" si="219"/>
        <v/>
      </c>
      <c r="R1140" s="13" t="str">
        <f t="shared" si="220"/>
        <v/>
      </c>
      <c r="S1140" s="13" t="str">
        <f t="shared" si="221"/>
        <v/>
      </c>
      <c r="T1140" s="22" t="str">
        <f>IF(R1140&lt;&gt;"",VLOOKUP(P1140,Constants!$D$3:$E$10,2),"")</f>
        <v/>
      </c>
    </row>
    <row r="1141" spans="12:20" x14ac:dyDescent="0.25">
      <c r="L1141" s="10" t="str">
        <f t="shared" si="214"/>
        <v/>
      </c>
      <c r="M1141" s="10" t="str">
        <f t="shared" si="215"/>
        <v/>
      </c>
      <c r="N1141" s="11" t="str">
        <f t="shared" si="216"/>
        <v/>
      </c>
      <c r="O1141" s="10" t="str">
        <f t="shared" si="217"/>
        <v/>
      </c>
      <c r="P1141" s="12" t="str">
        <f t="shared" si="218"/>
        <v/>
      </c>
      <c r="Q1141" s="10" t="str">
        <f t="shared" si="219"/>
        <v/>
      </c>
      <c r="R1141" s="13" t="str">
        <f t="shared" si="220"/>
        <v/>
      </c>
      <c r="S1141" s="13" t="str">
        <f t="shared" si="221"/>
        <v/>
      </c>
      <c r="T1141" s="22" t="str">
        <f>IF(R1141&lt;&gt;"",VLOOKUP(P1141,Constants!$D$3:$E$10,2),"")</f>
        <v/>
      </c>
    </row>
    <row r="1142" spans="12:20" x14ac:dyDescent="0.25">
      <c r="L1142" s="10" t="str">
        <f t="shared" si="214"/>
        <v/>
      </c>
      <c r="M1142" s="10" t="str">
        <f t="shared" si="215"/>
        <v/>
      </c>
      <c r="N1142" s="11" t="str">
        <f t="shared" si="216"/>
        <v/>
      </c>
      <c r="O1142" s="10" t="str">
        <f t="shared" si="217"/>
        <v/>
      </c>
      <c r="P1142" s="12" t="str">
        <f t="shared" si="218"/>
        <v/>
      </c>
      <c r="Q1142" s="10" t="str">
        <f t="shared" si="219"/>
        <v/>
      </c>
      <c r="R1142" s="13" t="str">
        <f t="shared" si="220"/>
        <v/>
      </c>
      <c r="S1142" s="13" t="str">
        <f t="shared" si="221"/>
        <v/>
      </c>
      <c r="T1142" s="22" t="str">
        <f>IF(R1142&lt;&gt;"",VLOOKUP(P1142,Constants!$D$3:$E$10,2),"")</f>
        <v/>
      </c>
    </row>
    <row r="1143" spans="12:20" x14ac:dyDescent="0.25">
      <c r="L1143" s="10" t="str">
        <f t="shared" si="214"/>
        <v/>
      </c>
      <c r="M1143" s="10" t="str">
        <f t="shared" si="215"/>
        <v/>
      </c>
      <c r="N1143" s="11" t="str">
        <f t="shared" si="216"/>
        <v/>
      </c>
      <c r="O1143" s="10" t="str">
        <f t="shared" si="217"/>
        <v/>
      </c>
      <c r="P1143" s="12" t="str">
        <f t="shared" si="218"/>
        <v/>
      </c>
      <c r="Q1143" s="10" t="str">
        <f t="shared" si="219"/>
        <v/>
      </c>
      <c r="R1143" s="13" t="str">
        <f t="shared" si="220"/>
        <v/>
      </c>
      <c r="S1143" s="13" t="str">
        <f t="shared" si="221"/>
        <v/>
      </c>
      <c r="T1143" s="22" t="str">
        <f>IF(R1143&lt;&gt;"",VLOOKUP(P1143,Constants!$D$3:$E$10,2),"")</f>
        <v/>
      </c>
    </row>
    <row r="1144" spans="12:20" x14ac:dyDescent="0.25">
      <c r="L1144" s="10" t="str">
        <f t="shared" si="214"/>
        <v/>
      </c>
      <c r="M1144" s="10" t="str">
        <f t="shared" si="215"/>
        <v/>
      </c>
      <c r="N1144" s="11" t="str">
        <f t="shared" si="216"/>
        <v/>
      </c>
      <c r="O1144" s="10" t="str">
        <f t="shared" si="217"/>
        <v/>
      </c>
      <c r="P1144" s="12" t="str">
        <f t="shared" si="218"/>
        <v/>
      </c>
      <c r="Q1144" s="10" t="str">
        <f t="shared" si="219"/>
        <v/>
      </c>
      <c r="R1144" s="13" t="str">
        <f t="shared" si="220"/>
        <v/>
      </c>
      <c r="S1144" s="13" t="str">
        <f t="shared" si="221"/>
        <v/>
      </c>
      <c r="T1144" s="22" t="str">
        <f>IF(R1144&lt;&gt;"",VLOOKUP(P1144,Constants!$D$3:$E$10,2),"")</f>
        <v/>
      </c>
    </row>
    <row r="1145" spans="12:20" x14ac:dyDescent="0.25">
      <c r="L1145" s="10" t="str">
        <f t="shared" si="214"/>
        <v/>
      </c>
      <c r="M1145" s="10" t="str">
        <f t="shared" si="215"/>
        <v/>
      </c>
      <c r="N1145" s="11" t="str">
        <f t="shared" si="216"/>
        <v/>
      </c>
      <c r="O1145" s="10" t="str">
        <f t="shared" si="217"/>
        <v/>
      </c>
      <c r="P1145" s="12" t="str">
        <f t="shared" si="218"/>
        <v/>
      </c>
      <c r="Q1145" s="10" t="str">
        <f t="shared" si="219"/>
        <v/>
      </c>
      <c r="R1145" s="13" t="str">
        <f t="shared" si="220"/>
        <v/>
      </c>
      <c r="S1145" s="13" t="str">
        <f t="shared" si="221"/>
        <v/>
      </c>
      <c r="T1145" s="22" t="str">
        <f>IF(R1145&lt;&gt;"",VLOOKUP(P1145,Constants!$D$3:$E$10,2),"")</f>
        <v/>
      </c>
    </row>
    <row r="1146" spans="12:20" x14ac:dyDescent="0.25">
      <c r="L1146" s="10" t="str">
        <f t="shared" si="214"/>
        <v/>
      </c>
      <c r="M1146" s="10" t="str">
        <f t="shared" si="215"/>
        <v/>
      </c>
      <c r="N1146" s="11" t="str">
        <f t="shared" si="216"/>
        <v/>
      </c>
      <c r="O1146" s="10" t="str">
        <f t="shared" si="217"/>
        <v/>
      </c>
      <c r="P1146" s="12" t="str">
        <f t="shared" si="218"/>
        <v/>
      </c>
      <c r="Q1146" s="10" t="str">
        <f t="shared" si="219"/>
        <v/>
      </c>
      <c r="R1146" s="13" t="str">
        <f t="shared" si="220"/>
        <v/>
      </c>
      <c r="S1146" s="13" t="str">
        <f t="shared" si="221"/>
        <v/>
      </c>
      <c r="T1146" s="22" t="str">
        <f>IF(R1146&lt;&gt;"",VLOOKUP(P1146,Constants!$D$3:$E$10,2),"")</f>
        <v/>
      </c>
    </row>
    <row r="1147" spans="12:20" x14ac:dyDescent="0.25">
      <c r="L1147" s="10" t="str">
        <f t="shared" si="214"/>
        <v/>
      </c>
      <c r="M1147" s="10" t="str">
        <f t="shared" si="215"/>
        <v/>
      </c>
      <c r="N1147" s="11" t="str">
        <f t="shared" si="216"/>
        <v/>
      </c>
      <c r="O1147" s="10" t="str">
        <f t="shared" si="217"/>
        <v/>
      </c>
      <c r="P1147" s="12" t="str">
        <f t="shared" si="218"/>
        <v/>
      </c>
      <c r="Q1147" s="10" t="str">
        <f t="shared" si="219"/>
        <v/>
      </c>
      <c r="R1147" s="13" t="str">
        <f t="shared" si="220"/>
        <v/>
      </c>
      <c r="S1147" s="13" t="str">
        <f t="shared" si="221"/>
        <v/>
      </c>
      <c r="T1147" s="22" t="str">
        <f>IF(R1147&lt;&gt;"",VLOOKUP(P1147,Constants!$D$3:$E$10,2),"")</f>
        <v/>
      </c>
    </row>
    <row r="1148" spans="12:20" x14ac:dyDescent="0.25">
      <c r="L1148" s="10" t="str">
        <f t="shared" si="214"/>
        <v/>
      </c>
      <c r="M1148" s="10" t="str">
        <f t="shared" si="215"/>
        <v/>
      </c>
      <c r="N1148" s="11" t="str">
        <f t="shared" si="216"/>
        <v/>
      </c>
      <c r="O1148" s="10" t="str">
        <f t="shared" si="217"/>
        <v/>
      </c>
      <c r="P1148" s="12" t="str">
        <f t="shared" si="218"/>
        <v/>
      </c>
      <c r="Q1148" s="10" t="str">
        <f t="shared" si="219"/>
        <v/>
      </c>
      <c r="R1148" s="13" t="str">
        <f t="shared" si="220"/>
        <v/>
      </c>
      <c r="S1148" s="13" t="str">
        <f t="shared" si="221"/>
        <v/>
      </c>
      <c r="T1148" s="22" t="str">
        <f>IF(R1148&lt;&gt;"",VLOOKUP(P1148,Constants!$D$3:$E$10,2),"")</f>
        <v/>
      </c>
    </row>
    <row r="1149" spans="12:20" x14ac:dyDescent="0.25">
      <c r="L1149" s="10" t="str">
        <f t="shared" si="214"/>
        <v/>
      </c>
      <c r="M1149" s="10" t="str">
        <f t="shared" si="215"/>
        <v/>
      </c>
      <c r="N1149" s="11" t="str">
        <f t="shared" si="216"/>
        <v/>
      </c>
      <c r="O1149" s="10" t="str">
        <f t="shared" si="217"/>
        <v/>
      </c>
      <c r="P1149" s="12" t="str">
        <f t="shared" si="218"/>
        <v/>
      </c>
      <c r="Q1149" s="10" t="str">
        <f t="shared" si="219"/>
        <v/>
      </c>
      <c r="R1149" s="13" t="str">
        <f t="shared" si="220"/>
        <v/>
      </c>
      <c r="S1149" s="13" t="str">
        <f t="shared" si="221"/>
        <v/>
      </c>
      <c r="T1149" s="22" t="str">
        <f>IF(R1149&lt;&gt;"",VLOOKUP(P1149,Constants!$D$3:$E$10,2),"")</f>
        <v/>
      </c>
    </row>
    <row r="1150" spans="12:20" x14ac:dyDescent="0.25">
      <c r="L1150" s="10" t="str">
        <f t="shared" si="214"/>
        <v/>
      </c>
      <c r="M1150" s="10" t="str">
        <f t="shared" si="215"/>
        <v/>
      </c>
      <c r="N1150" s="11" t="str">
        <f t="shared" si="216"/>
        <v/>
      </c>
      <c r="O1150" s="10" t="str">
        <f t="shared" si="217"/>
        <v/>
      </c>
      <c r="P1150" s="12" t="str">
        <f t="shared" si="218"/>
        <v/>
      </c>
      <c r="Q1150" s="10" t="str">
        <f t="shared" si="219"/>
        <v/>
      </c>
      <c r="R1150" s="13" t="str">
        <f t="shared" si="220"/>
        <v/>
      </c>
      <c r="S1150" s="13" t="str">
        <f t="shared" si="221"/>
        <v/>
      </c>
      <c r="T1150" s="22" t="str">
        <f>IF(R1150&lt;&gt;"",VLOOKUP(P1150,Constants!$D$3:$E$10,2),"")</f>
        <v/>
      </c>
    </row>
    <row r="1151" spans="12:20" x14ac:dyDescent="0.25">
      <c r="L1151" s="10" t="str">
        <f t="shared" si="214"/>
        <v/>
      </c>
      <c r="M1151" s="10" t="str">
        <f t="shared" si="215"/>
        <v/>
      </c>
      <c r="N1151" s="11" t="str">
        <f t="shared" si="216"/>
        <v/>
      </c>
      <c r="O1151" s="10" t="str">
        <f t="shared" si="217"/>
        <v/>
      </c>
      <c r="P1151" s="12" t="str">
        <f t="shared" si="218"/>
        <v/>
      </c>
      <c r="Q1151" s="10" t="str">
        <f t="shared" si="219"/>
        <v/>
      </c>
      <c r="R1151" s="13" t="str">
        <f t="shared" si="220"/>
        <v/>
      </c>
      <c r="S1151" s="13" t="str">
        <f t="shared" si="221"/>
        <v/>
      </c>
      <c r="T1151" s="22" t="str">
        <f>IF(R1151&lt;&gt;"",VLOOKUP(P1151,Constants!$D$3:$E$10,2),"")</f>
        <v/>
      </c>
    </row>
    <row r="1152" spans="12:20" x14ac:dyDescent="0.25">
      <c r="L1152" s="10" t="str">
        <f t="shared" si="214"/>
        <v/>
      </c>
      <c r="M1152" s="10" t="str">
        <f t="shared" si="215"/>
        <v/>
      </c>
      <c r="N1152" s="11" t="str">
        <f t="shared" si="216"/>
        <v/>
      </c>
      <c r="O1152" s="10" t="str">
        <f t="shared" si="217"/>
        <v/>
      </c>
      <c r="P1152" s="12" t="str">
        <f t="shared" si="218"/>
        <v/>
      </c>
      <c r="Q1152" s="10" t="str">
        <f t="shared" si="219"/>
        <v/>
      </c>
      <c r="R1152" s="13" t="str">
        <f t="shared" si="220"/>
        <v/>
      </c>
      <c r="S1152" s="13" t="str">
        <f t="shared" si="221"/>
        <v/>
      </c>
      <c r="T1152" s="22" t="str">
        <f>IF(R1152&lt;&gt;"",VLOOKUP(P1152,Constants!$D$3:$E$10,2),"")</f>
        <v/>
      </c>
    </row>
    <row r="1153" spans="12:20" x14ac:dyDescent="0.25">
      <c r="L1153" s="10" t="str">
        <f t="shared" si="214"/>
        <v/>
      </c>
      <c r="M1153" s="10" t="str">
        <f t="shared" si="215"/>
        <v/>
      </c>
      <c r="N1153" s="11" t="str">
        <f t="shared" si="216"/>
        <v/>
      </c>
      <c r="O1153" s="10" t="str">
        <f t="shared" si="217"/>
        <v/>
      </c>
      <c r="P1153" s="12" t="str">
        <f t="shared" si="218"/>
        <v/>
      </c>
      <c r="Q1153" s="10" t="str">
        <f t="shared" si="219"/>
        <v/>
      </c>
      <c r="R1153" s="13" t="str">
        <f t="shared" si="220"/>
        <v/>
      </c>
      <c r="S1153" s="13" t="str">
        <f t="shared" si="221"/>
        <v/>
      </c>
      <c r="T1153" s="22" t="str">
        <f>IF(R1153&lt;&gt;"",VLOOKUP(P1153,Constants!$D$3:$E$10,2),"")</f>
        <v/>
      </c>
    </row>
    <row r="1154" spans="12:20" x14ac:dyDescent="0.25">
      <c r="L1154" s="10" t="str">
        <f t="shared" si="214"/>
        <v/>
      </c>
      <c r="M1154" s="10" t="str">
        <f t="shared" si="215"/>
        <v/>
      </c>
      <c r="N1154" s="11" t="str">
        <f t="shared" si="216"/>
        <v/>
      </c>
      <c r="O1154" s="10" t="str">
        <f t="shared" si="217"/>
        <v/>
      </c>
      <c r="P1154" s="12" t="str">
        <f t="shared" si="218"/>
        <v/>
      </c>
      <c r="Q1154" s="10" t="str">
        <f t="shared" si="219"/>
        <v/>
      </c>
      <c r="R1154" s="13" t="str">
        <f t="shared" si="220"/>
        <v/>
      </c>
      <c r="S1154" s="13" t="str">
        <f t="shared" si="221"/>
        <v/>
      </c>
      <c r="T1154" s="22" t="str">
        <f>IF(R1154&lt;&gt;"",VLOOKUP(P1154,Constants!$D$3:$E$10,2),"")</f>
        <v/>
      </c>
    </row>
    <row r="1155" spans="12:20" x14ac:dyDescent="0.25">
      <c r="L1155" s="10" t="str">
        <f t="shared" si="214"/>
        <v/>
      </c>
      <c r="M1155" s="10" t="str">
        <f t="shared" si="215"/>
        <v/>
      </c>
      <c r="N1155" s="11" t="str">
        <f t="shared" si="216"/>
        <v/>
      </c>
      <c r="O1155" s="10" t="str">
        <f t="shared" si="217"/>
        <v/>
      </c>
      <c r="P1155" s="12" t="str">
        <f t="shared" si="218"/>
        <v/>
      </c>
      <c r="Q1155" s="10" t="str">
        <f t="shared" si="219"/>
        <v/>
      </c>
      <c r="R1155" s="13" t="str">
        <f t="shared" si="220"/>
        <v/>
      </c>
      <c r="S1155" s="13" t="str">
        <f t="shared" si="221"/>
        <v/>
      </c>
      <c r="T1155" s="22" t="str">
        <f>IF(R1155&lt;&gt;"",VLOOKUP(P1155,Constants!$D$3:$E$10,2),"")</f>
        <v/>
      </c>
    </row>
    <row r="1156" spans="12:20" x14ac:dyDescent="0.25">
      <c r="L1156" s="10" t="str">
        <f t="shared" si="214"/>
        <v/>
      </c>
      <c r="M1156" s="10" t="str">
        <f t="shared" si="215"/>
        <v/>
      </c>
      <c r="N1156" s="11" t="str">
        <f t="shared" si="216"/>
        <v/>
      </c>
      <c r="O1156" s="10" t="str">
        <f t="shared" si="217"/>
        <v/>
      </c>
      <c r="P1156" s="12" t="str">
        <f t="shared" si="218"/>
        <v/>
      </c>
      <c r="Q1156" s="10" t="str">
        <f t="shared" si="219"/>
        <v/>
      </c>
      <c r="R1156" s="13" t="str">
        <f t="shared" si="220"/>
        <v/>
      </c>
      <c r="S1156" s="13" t="str">
        <f t="shared" si="221"/>
        <v/>
      </c>
      <c r="T1156" s="22" t="str">
        <f>IF(R1156&lt;&gt;"",VLOOKUP(P1156,Constants!$D$3:$E$10,2),"")</f>
        <v/>
      </c>
    </row>
    <row r="1157" spans="12:20" x14ac:dyDescent="0.25">
      <c r="L1157" s="10" t="str">
        <f t="shared" si="214"/>
        <v/>
      </c>
      <c r="M1157" s="10" t="str">
        <f t="shared" si="215"/>
        <v/>
      </c>
      <c r="N1157" s="11" t="str">
        <f t="shared" si="216"/>
        <v/>
      </c>
      <c r="O1157" s="10" t="str">
        <f t="shared" si="217"/>
        <v/>
      </c>
      <c r="P1157" s="12" t="str">
        <f t="shared" si="218"/>
        <v/>
      </c>
      <c r="Q1157" s="10" t="str">
        <f t="shared" si="219"/>
        <v/>
      </c>
      <c r="R1157" s="13" t="str">
        <f t="shared" si="220"/>
        <v/>
      </c>
      <c r="S1157" s="13" t="str">
        <f t="shared" si="221"/>
        <v/>
      </c>
      <c r="T1157" s="22" t="str">
        <f>IF(R1157&lt;&gt;"",VLOOKUP(P1157,Constants!$D$3:$E$10,2),"")</f>
        <v/>
      </c>
    </row>
    <row r="1158" spans="12:20" x14ac:dyDescent="0.25">
      <c r="L1158" s="10" t="str">
        <f t="shared" si="214"/>
        <v/>
      </c>
      <c r="M1158" s="10" t="str">
        <f t="shared" si="215"/>
        <v/>
      </c>
      <c r="N1158" s="11" t="str">
        <f t="shared" si="216"/>
        <v/>
      </c>
      <c r="O1158" s="10" t="str">
        <f t="shared" si="217"/>
        <v/>
      </c>
      <c r="P1158" s="12" t="str">
        <f t="shared" si="218"/>
        <v/>
      </c>
      <c r="Q1158" s="10" t="str">
        <f t="shared" si="219"/>
        <v/>
      </c>
      <c r="R1158" s="13" t="str">
        <f t="shared" si="220"/>
        <v/>
      </c>
      <c r="S1158" s="13" t="str">
        <f t="shared" si="221"/>
        <v/>
      </c>
      <c r="T1158" s="22" t="str">
        <f>IF(R1158&lt;&gt;"",VLOOKUP(P1158,Constants!$D$3:$E$10,2),"")</f>
        <v/>
      </c>
    </row>
    <row r="1159" spans="12:20" x14ac:dyDescent="0.25">
      <c r="L1159" s="10" t="str">
        <f t="shared" si="214"/>
        <v/>
      </c>
      <c r="M1159" s="10" t="str">
        <f t="shared" si="215"/>
        <v/>
      </c>
      <c r="N1159" s="11" t="str">
        <f t="shared" si="216"/>
        <v/>
      </c>
      <c r="O1159" s="10" t="str">
        <f t="shared" si="217"/>
        <v/>
      </c>
      <c r="P1159" s="12" t="str">
        <f t="shared" si="218"/>
        <v/>
      </c>
      <c r="Q1159" s="10" t="str">
        <f t="shared" si="219"/>
        <v/>
      </c>
      <c r="R1159" s="13" t="str">
        <f t="shared" si="220"/>
        <v/>
      </c>
      <c r="S1159" s="13" t="str">
        <f t="shared" si="221"/>
        <v/>
      </c>
      <c r="T1159" s="22" t="str">
        <f>IF(R1159&lt;&gt;"",VLOOKUP(P1159,Constants!$D$3:$E$10,2),"")</f>
        <v/>
      </c>
    </row>
    <row r="1160" spans="12:20" x14ac:dyDescent="0.25">
      <c r="L1160" s="10" t="str">
        <f t="shared" si="214"/>
        <v/>
      </c>
      <c r="M1160" s="10" t="str">
        <f t="shared" si="215"/>
        <v/>
      </c>
      <c r="N1160" s="11" t="str">
        <f t="shared" si="216"/>
        <v/>
      </c>
      <c r="O1160" s="10" t="str">
        <f t="shared" si="217"/>
        <v/>
      </c>
      <c r="P1160" s="12" t="str">
        <f t="shared" si="218"/>
        <v/>
      </c>
      <c r="Q1160" s="10" t="str">
        <f t="shared" si="219"/>
        <v/>
      </c>
      <c r="R1160" s="13" t="str">
        <f t="shared" si="220"/>
        <v/>
      </c>
      <c r="S1160" s="13" t="str">
        <f t="shared" si="221"/>
        <v/>
      </c>
      <c r="T1160" s="22" t="str">
        <f>IF(R1160&lt;&gt;"",VLOOKUP(P1160,Constants!$D$3:$E$10,2),"")</f>
        <v/>
      </c>
    </row>
    <row r="1161" spans="12:20" x14ac:dyDescent="0.25">
      <c r="L1161" s="10" t="str">
        <f t="shared" si="214"/>
        <v/>
      </c>
      <c r="M1161" s="10" t="str">
        <f t="shared" si="215"/>
        <v/>
      </c>
      <c r="N1161" s="11" t="str">
        <f t="shared" si="216"/>
        <v/>
      </c>
      <c r="O1161" s="10" t="str">
        <f t="shared" si="217"/>
        <v/>
      </c>
      <c r="P1161" s="12" t="str">
        <f t="shared" si="218"/>
        <v/>
      </c>
      <c r="Q1161" s="10" t="str">
        <f t="shared" si="219"/>
        <v/>
      </c>
      <c r="R1161" s="13" t="str">
        <f t="shared" si="220"/>
        <v/>
      </c>
      <c r="S1161" s="13" t="str">
        <f t="shared" si="221"/>
        <v/>
      </c>
      <c r="T1161" s="22" t="str">
        <f>IF(R1161&lt;&gt;"",VLOOKUP(P1161,Constants!$D$3:$E$10,2),"")</f>
        <v/>
      </c>
    </row>
    <row r="1162" spans="12:20" x14ac:dyDescent="0.25">
      <c r="L1162" s="10" t="str">
        <f t="shared" si="214"/>
        <v/>
      </c>
      <c r="M1162" s="10" t="str">
        <f t="shared" si="215"/>
        <v/>
      </c>
      <c r="N1162" s="11" t="str">
        <f t="shared" si="216"/>
        <v/>
      </c>
      <c r="O1162" s="10" t="str">
        <f t="shared" si="217"/>
        <v/>
      </c>
      <c r="P1162" s="12" t="str">
        <f t="shared" si="218"/>
        <v/>
      </c>
      <c r="Q1162" s="10" t="str">
        <f t="shared" si="219"/>
        <v/>
      </c>
      <c r="R1162" s="13" t="str">
        <f t="shared" si="220"/>
        <v/>
      </c>
      <c r="S1162" s="13" t="str">
        <f t="shared" si="221"/>
        <v/>
      </c>
      <c r="T1162" s="22" t="str">
        <f>IF(R1162&lt;&gt;"",VLOOKUP(P1162,Constants!$D$3:$E$10,2),"")</f>
        <v/>
      </c>
    </row>
    <row r="1163" spans="12:20" x14ac:dyDescent="0.25">
      <c r="L1163" s="10" t="str">
        <f t="shared" si="214"/>
        <v/>
      </c>
      <c r="M1163" s="10" t="str">
        <f t="shared" si="215"/>
        <v/>
      </c>
      <c r="N1163" s="11" t="str">
        <f t="shared" si="216"/>
        <v/>
      </c>
      <c r="O1163" s="10" t="str">
        <f t="shared" si="217"/>
        <v/>
      </c>
      <c r="P1163" s="12" t="str">
        <f t="shared" si="218"/>
        <v/>
      </c>
      <c r="Q1163" s="10" t="str">
        <f t="shared" si="219"/>
        <v/>
      </c>
      <c r="R1163" s="13" t="str">
        <f t="shared" si="220"/>
        <v/>
      </c>
      <c r="S1163" s="13" t="str">
        <f t="shared" si="221"/>
        <v/>
      </c>
      <c r="T1163" s="22" t="str">
        <f>IF(R1163&lt;&gt;"",VLOOKUP(P1163,Constants!$D$3:$E$10,2),"")</f>
        <v/>
      </c>
    </row>
    <row r="1164" spans="12:20" x14ac:dyDescent="0.25">
      <c r="L1164" s="10" t="str">
        <f t="shared" si="214"/>
        <v/>
      </c>
      <c r="M1164" s="10" t="str">
        <f t="shared" si="215"/>
        <v/>
      </c>
      <c r="N1164" s="11" t="str">
        <f t="shared" si="216"/>
        <v/>
      </c>
      <c r="O1164" s="10" t="str">
        <f t="shared" si="217"/>
        <v/>
      </c>
      <c r="P1164" s="12" t="str">
        <f t="shared" si="218"/>
        <v/>
      </c>
      <c r="Q1164" s="10" t="str">
        <f t="shared" si="219"/>
        <v/>
      </c>
      <c r="R1164" s="13" t="str">
        <f t="shared" si="220"/>
        <v/>
      </c>
      <c r="S1164" s="13" t="str">
        <f t="shared" si="221"/>
        <v/>
      </c>
      <c r="T1164" s="22" t="str">
        <f>IF(R1164&lt;&gt;"",VLOOKUP(P1164,Constants!$D$3:$E$10,2),"")</f>
        <v/>
      </c>
    </row>
    <row r="1165" spans="12:20" x14ac:dyDescent="0.25">
      <c r="L1165" s="10" t="str">
        <f t="shared" si="214"/>
        <v/>
      </c>
      <c r="M1165" s="10" t="str">
        <f t="shared" si="215"/>
        <v/>
      </c>
      <c r="N1165" s="11" t="str">
        <f t="shared" si="216"/>
        <v/>
      </c>
      <c r="O1165" s="10" t="str">
        <f t="shared" si="217"/>
        <v/>
      </c>
      <c r="P1165" s="12" t="str">
        <f t="shared" si="218"/>
        <v/>
      </c>
      <c r="Q1165" s="10" t="str">
        <f t="shared" si="219"/>
        <v/>
      </c>
      <c r="R1165" s="13" t="str">
        <f t="shared" si="220"/>
        <v/>
      </c>
      <c r="S1165" s="13" t="str">
        <f t="shared" si="221"/>
        <v/>
      </c>
      <c r="T1165" s="22" t="str">
        <f>IF(R1165&lt;&gt;"",VLOOKUP(P1165,Constants!$D$3:$E$10,2),"")</f>
        <v/>
      </c>
    </row>
    <row r="1166" spans="12:20" x14ac:dyDescent="0.25">
      <c r="L1166" s="10" t="str">
        <f t="shared" si="214"/>
        <v/>
      </c>
      <c r="M1166" s="10" t="str">
        <f t="shared" si="215"/>
        <v/>
      </c>
      <c r="N1166" s="11" t="str">
        <f t="shared" si="216"/>
        <v/>
      </c>
      <c r="O1166" s="10" t="str">
        <f t="shared" si="217"/>
        <v/>
      </c>
      <c r="P1166" s="12" t="str">
        <f t="shared" si="218"/>
        <v/>
      </c>
      <c r="Q1166" s="10" t="str">
        <f t="shared" si="219"/>
        <v/>
      </c>
      <c r="R1166" s="13" t="str">
        <f t="shared" si="220"/>
        <v/>
      </c>
      <c r="S1166" s="13" t="str">
        <f t="shared" si="221"/>
        <v/>
      </c>
      <c r="T1166" s="22" t="str">
        <f>IF(R1166&lt;&gt;"",VLOOKUP(P1166,Constants!$D$3:$E$10,2),"")</f>
        <v/>
      </c>
    </row>
    <row r="1167" spans="12:20" x14ac:dyDescent="0.25">
      <c r="L1167" s="10" t="str">
        <f t="shared" si="214"/>
        <v/>
      </c>
      <c r="M1167" s="10" t="str">
        <f t="shared" si="215"/>
        <v/>
      </c>
      <c r="N1167" s="11" t="str">
        <f t="shared" si="216"/>
        <v/>
      </c>
      <c r="O1167" s="10" t="str">
        <f t="shared" si="217"/>
        <v/>
      </c>
      <c r="P1167" s="12" t="str">
        <f t="shared" si="218"/>
        <v/>
      </c>
      <c r="Q1167" s="10" t="str">
        <f t="shared" si="219"/>
        <v/>
      </c>
      <c r="R1167" s="13" t="str">
        <f t="shared" si="220"/>
        <v/>
      </c>
      <c r="S1167" s="13" t="str">
        <f t="shared" si="221"/>
        <v/>
      </c>
      <c r="T1167" s="22" t="str">
        <f>IF(R1167&lt;&gt;"",VLOOKUP(P1167,Constants!$D$3:$E$10,2),"")</f>
        <v/>
      </c>
    </row>
    <row r="1168" spans="12:20" x14ac:dyDescent="0.25">
      <c r="L1168" s="10" t="str">
        <f t="shared" si="214"/>
        <v/>
      </c>
      <c r="M1168" s="10" t="str">
        <f t="shared" si="215"/>
        <v/>
      </c>
      <c r="N1168" s="11" t="str">
        <f t="shared" si="216"/>
        <v/>
      </c>
      <c r="O1168" s="10" t="str">
        <f t="shared" si="217"/>
        <v/>
      </c>
      <c r="P1168" s="12" t="str">
        <f t="shared" si="218"/>
        <v/>
      </c>
      <c r="Q1168" s="10" t="str">
        <f t="shared" si="219"/>
        <v/>
      </c>
      <c r="R1168" s="13" t="str">
        <f t="shared" si="220"/>
        <v/>
      </c>
      <c r="S1168" s="13" t="str">
        <f t="shared" si="221"/>
        <v/>
      </c>
      <c r="T1168" s="22" t="str">
        <f>IF(R1168&lt;&gt;"",VLOOKUP(P1168,Constants!$D$3:$E$10,2),"")</f>
        <v/>
      </c>
    </row>
    <row r="1169" spans="12:20" x14ac:dyDescent="0.25">
      <c r="L1169" s="10" t="str">
        <f t="shared" si="214"/>
        <v/>
      </c>
      <c r="M1169" s="10" t="str">
        <f t="shared" si="215"/>
        <v/>
      </c>
      <c r="N1169" s="11" t="str">
        <f t="shared" si="216"/>
        <v/>
      </c>
      <c r="O1169" s="10" t="str">
        <f t="shared" si="217"/>
        <v/>
      </c>
      <c r="P1169" s="12" t="str">
        <f t="shared" si="218"/>
        <v/>
      </c>
      <c r="Q1169" s="10" t="str">
        <f t="shared" si="219"/>
        <v/>
      </c>
      <c r="R1169" s="13" t="str">
        <f t="shared" si="220"/>
        <v/>
      </c>
      <c r="S1169" s="13" t="str">
        <f t="shared" si="221"/>
        <v/>
      </c>
      <c r="T1169" s="22" t="str">
        <f>IF(R1169&lt;&gt;"",VLOOKUP(P1169,Constants!$D$3:$E$10,2),"")</f>
        <v/>
      </c>
    </row>
    <row r="1170" spans="12:20" x14ac:dyDescent="0.25">
      <c r="L1170" s="10" t="str">
        <f t="shared" ref="L1170:L1233" si="222">IF($D1170&lt;&gt;"",$D1170*$E1170/1000,"")</f>
        <v/>
      </c>
      <c r="M1170" s="10" t="str">
        <f t="shared" ref="M1170:M1233" si="223">IF($D1170&lt;&gt;"",$D1170*$F1170/1000,"")</f>
        <v/>
      </c>
      <c r="N1170" s="11" t="str">
        <f t="shared" ref="N1170:N1233" si="224">IF($L1170&lt;&gt;"",SQRT($L1170*$L1170+$M1170*$M1170),"")</f>
        <v/>
      </c>
      <c r="O1170" s="10" t="str">
        <f t="shared" si="217"/>
        <v/>
      </c>
      <c r="P1170" s="12" t="str">
        <f t="shared" si="218"/>
        <v/>
      </c>
      <c r="Q1170" s="10" t="str">
        <f t="shared" si="219"/>
        <v/>
      </c>
      <c r="R1170" s="13" t="str">
        <f t="shared" si="220"/>
        <v/>
      </c>
      <c r="S1170" s="13" t="str">
        <f t="shared" si="221"/>
        <v/>
      </c>
      <c r="T1170" s="22" t="str">
        <f>IF(R1170&lt;&gt;"",VLOOKUP(P1170,Constants!$D$3:$E$10,2),"")</f>
        <v/>
      </c>
    </row>
    <row r="1171" spans="12:20" x14ac:dyDescent="0.25">
      <c r="L1171" s="10" t="str">
        <f t="shared" si="222"/>
        <v/>
      </c>
      <c r="M1171" s="10" t="str">
        <f t="shared" si="223"/>
        <v/>
      </c>
      <c r="N1171" s="11" t="str">
        <f t="shared" si="224"/>
        <v/>
      </c>
      <c r="O1171" s="10" t="str">
        <f t="shared" si="217"/>
        <v/>
      </c>
      <c r="P1171" s="12" t="str">
        <f t="shared" si="218"/>
        <v/>
      </c>
      <c r="Q1171" s="10" t="str">
        <f t="shared" si="219"/>
        <v/>
      </c>
      <c r="R1171" s="13" t="str">
        <f t="shared" si="220"/>
        <v/>
      </c>
      <c r="S1171" s="13" t="str">
        <f t="shared" si="221"/>
        <v/>
      </c>
      <c r="T1171" s="22" t="str">
        <f>IF(R1171&lt;&gt;"",VLOOKUP(P1171,Constants!$D$3:$E$10,2),"")</f>
        <v/>
      </c>
    </row>
    <row r="1172" spans="12:20" x14ac:dyDescent="0.25">
      <c r="L1172" s="10" t="str">
        <f t="shared" si="222"/>
        <v/>
      </c>
      <c r="M1172" s="10" t="str">
        <f t="shared" si="223"/>
        <v/>
      </c>
      <c r="N1172" s="11" t="str">
        <f t="shared" si="224"/>
        <v/>
      </c>
      <c r="O1172" s="10" t="str">
        <f t="shared" ref="O1172:O1235" si="225">IF(D1172&lt;&gt;"",1000/(2*D1172),"")</f>
        <v/>
      </c>
      <c r="P1172" s="12" t="str">
        <f t="shared" ref="P1172:P1235" si="226">IF($N1172&lt;&gt;"",D1172*SQRT(E1172*E1172+F1172*F1172)/16000,"")</f>
        <v/>
      </c>
      <c r="Q1172" s="10" t="str">
        <f t="shared" ref="Q1172:Q1235" si="227">IF(F1172&lt;&gt;"",F1172*E1172/1000000,"")</f>
        <v/>
      </c>
      <c r="R1172" s="13" t="str">
        <f t="shared" ref="R1172:R1235" si="228">IF(G1172&lt;&gt;"",1000/G1172,"")</f>
        <v/>
      </c>
      <c r="S1172" s="13" t="str">
        <f t="shared" ref="S1172:S1235" si="229">IF(R1172&lt;&gt;"",Q1172/R1172*1000,"")</f>
        <v/>
      </c>
      <c r="T1172" s="22" t="str">
        <f>IF(R1172&lt;&gt;"",VLOOKUP(P1172,Constants!$D$3:$E$10,2),"")</f>
        <v/>
      </c>
    </row>
    <row r="1173" spans="12:20" x14ac:dyDescent="0.25">
      <c r="L1173" s="10" t="str">
        <f t="shared" si="222"/>
        <v/>
      </c>
      <c r="M1173" s="10" t="str">
        <f t="shared" si="223"/>
        <v/>
      </c>
      <c r="N1173" s="11" t="str">
        <f t="shared" si="224"/>
        <v/>
      </c>
      <c r="O1173" s="10" t="str">
        <f t="shared" si="225"/>
        <v/>
      </c>
      <c r="P1173" s="12" t="str">
        <f t="shared" si="226"/>
        <v/>
      </c>
      <c r="Q1173" s="10" t="str">
        <f t="shared" si="227"/>
        <v/>
      </c>
      <c r="R1173" s="13" t="str">
        <f t="shared" si="228"/>
        <v/>
      </c>
      <c r="S1173" s="13" t="str">
        <f t="shared" si="229"/>
        <v/>
      </c>
      <c r="T1173" s="22" t="str">
        <f>IF(R1173&lt;&gt;"",VLOOKUP(P1173,Constants!$D$3:$E$10,2),"")</f>
        <v/>
      </c>
    </row>
    <row r="1174" spans="12:20" x14ac:dyDescent="0.25">
      <c r="L1174" s="10" t="str">
        <f t="shared" si="222"/>
        <v/>
      </c>
      <c r="M1174" s="10" t="str">
        <f t="shared" si="223"/>
        <v/>
      </c>
      <c r="N1174" s="11" t="str">
        <f t="shared" si="224"/>
        <v/>
      </c>
      <c r="O1174" s="10" t="str">
        <f t="shared" si="225"/>
        <v/>
      </c>
      <c r="P1174" s="12" t="str">
        <f t="shared" si="226"/>
        <v/>
      </c>
      <c r="Q1174" s="10" t="str">
        <f t="shared" si="227"/>
        <v/>
      </c>
      <c r="R1174" s="13" t="str">
        <f t="shared" si="228"/>
        <v/>
      </c>
      <c r="S1174" s="13" t="str">
        <f t="shared" si="229"/>
        <v/>
      </c>
      <c r="T1174" s="22" t="str">
        <f>IF(R1174&lt;&gt;"",VLOOKUP(P1174,Constants!$D$3:$E$10,2),"")</f>
        <v/>
      </c>
    </row>
    <row r="1175" spans="12:20" x14ac:dyDescent="0.25">
      <c r="L1175" s="10" t="str">
        <f t="shared" si="222"/>
        <v/>
      </c>
      <c r="M1175" s="10" t="str">
        <f t="shared" si="223"/>
        <v/>
      </c>
      <c r="N1175" s="11" t="str">
        <f t="shared" si="224"/>
        <v/>
      </c>
      <c r="O1175" s="10" t="str">
        <f t="shared" si="225"/>
        <v/>
      </c>
      <c r="P1175" s="12" t="str">
        <f t="shared" si="226"/>
        <v/>
      </c>
      <c r="Q1175" s="10" t="str">
        <f t="shared" si="227"/>
        <v/>
      </c>
      <c r="R1175" s="13" t="str">
        <f t="shared" si="228"/>
        <v/>
      </c>
      <c r="S1175" s="13" t="str">
        <f t="shared" si="229"/>
        <v/>
      </c>
      <c r="T1175" s="22" t="str">
        <f>IF(R1175&lt;&gt;"",VLOOKUP(P1175,Constants!$D$3:$E$10,2),"")</f>
        <v/>
      </c>
    </row>
    <row r="1176" spans="12:20" x14ac:dyDescent="0.25">
      <c r="L1176" s="10" t="str">
        <f t="shared" si="222"/>
        <v/>
      </c>
      <c r="M1176" s="10" t="str">
        <f t="shared" si="223"/>
        <v/>
      </c>
      <c r="N1176" s="11" t="str">
        <f t="shared" si="224"/>
        <v/>
      </c>
      <c r="O1176" s="10" t="str">
        <f t="shared" si="225"/>
        <v/>
      </c>
      <c r="P1176" s="12" t="str">
        <f t="shared" si="226"/>
        <v/>
      </c>
      <c r="Q1176" s="10" t="str">
        <f t="shared" si="227"/>
        <v/>
      </c>
      <c r="R1176" s="13" t="str">
        <f t="shared" si="228"/>
        <v/>
      </c>
      <c r="S1176" s="13" t="str">
        <f t="shared" si="229"/>
        <v/>
      </c>
      <c r="T1176" s="22" t="str">
        <f>IF(R1176&lt;&gt;"",VLOOKUP(P1176,Constants!$D$3:$E$10,2),"")</f>
        <v/>
      </c>
    </row>
    <row r="1177" spans="12:20" x14ac:dyDescent="0.25">
      <c r="L1177" s="10" t="str">
        <f t="shared" si="222"/>
        <v/>
      </c>
      <c r="M1177" s="10" t="str">
        <f t="shared" si="223"/>
        <v/>
      </c>
      <c r="N1177" s="11" t="str">
        <f t="shared" si="224"/>
        <v/>
      </c>
      <c r="O1177" s="10" t="str">
        <f t="shared" si="225"/>
        <v/>
      </c>
      <c r="P1177" s="12" t="str">
        <f t="shared" si="226"/>
        <v/>
      </c>
      <c r="Q1177" s="10" t="str">
        <f t="shared" si="227"/>
        <v/>
      </c>
      <c r="R1177" s="13" t="str">
        <f t="shared" si="228"/>
        <v/>
      </c>
      <c r="S1177" s="13" t="str">
        <f t="shared" si="229"/>
        <v/>
      </c>
      <c r="T1177" s="22" t="str">
        <f>IF(R1177&lt;&gt;"",VLOOKUP(P1177,Constants!$D$3:$E$10,2),"")</f>
        <v/>
      </c>
    </row>
    <row r="1178" spans="12:20" x14ac:dyDescent="0.25">
      <c r="L1178" s="10" t="str">
        <f t="shared" si="222"/>
        <v/>
      </c>
      <c r="M1178" s="10" t="str">
        <f t="shared" si="223"/>
        <v/>
      </c>
      <c r="N1178" s="11" t="str">
        <f t="shared" si="224"/>
        <v/>
      </c>
      <c r="O1178" s="10" t="str">
        <f t="shared" si="225"/>
        <v/>
      </c>
      <c r="P1178" s="12" t="str">
        <f t="shared" si="226"/>
        <v/>
      </c>
      <c r="Q1178" s="10" t="str">
        <f t="shared" si="227"/>
        <v/>
      </c>
      <c r="R1178" s="13" t="str">
        <f t="shared" si="228"/>
        <v/>
      </c>
      <c r="S1178" s="13" t="str">
        <f t="shared" si="229"/>
        <v/>
      </c>
      <c r="T1178" s="22" t="str">
        <f>IF(R1178&lt;&gt;"",VLOOKUP(P1178,Constants!$D$3:$E$10,2),"")</f>
        <v/>
      </c>
    </row>
    <row r="1179" spans="12:20" x14ac:dyDescent="0.25">
      <c r="L1179" s="10" t="str">
        <f t="shared" si="222"/>
        <v/>
      </c>
      <c r="M1179" s="10" t="str">
        <f t="shared" si="223"/>
        <v/>
      </c>
      <c r="N1179" s="11" t="str">
        <f t="shared" si="224"/>
        <v/>
      </c>
      <c r="O1179" s="10" t="str">
        <f t="shared" si="225"/>
        <v/>
      </c>
      <c r="P1179" s="12" t="str">
        <f t="shared" si="226"/>
        <v/>
      </c>
      <c r="Q1179" s="10" t="str">
        <f t="shared" si="227"/>
        <v/>
      </c>
      <c r="R1179" s="13" t="str">
        <f t="shared" si="228"/>
        <v/>
      </c>
      <c r="S1179" s="13" t="str">
        <f t="shared" si="229"/>
        <v/>
      </c>
      <c r="T1179" s="22" t="str">
        <f>IF(R1179&lt;&gt;"",VLOOKUP(P1179,Constants!$D$3:$E$10,2),"")</f>
        <v/>
      </c>
    </row>
    <row r="1180" spans="12:20" x14ac:dyDescent="0.25">
      <c r="L1180" s="10" t="str">
        <f t="shared" si="222"/>
        <v/>
      </c>
      <c r="M1180" s="10" t="str">
        <f t="shared" si="223"/>
        <v/>
      </c>
      <c r="N1180" s="11" t="str">
        <f t="shared" si="224"/>
        <v/>
      </c>
      <c r="O1180" s="10" t="str">
        <f t="shared" si="225"/>
        <v/>
      </c>
      <c r="P1180" s="12" t="str">
        <f t="shared" si="226"/>
        <v/>
      </c>
      <c r="Q1180" s="10" t="str">
        <f t="shared" si="227"/>
        <v/>
      </c>
      <c r="R1180" s="13" t="str">
        <f t="shared" si="228"/>
        <v/>
      </c>
      <c r="S1180" s="13" t="str">
        <f t="shared" si="229"/>
        <v/>
      </c>
      <c r="T1180" s="22" t="str">
        <f>IF(R1180&lt;&gt;"",VLOOKUP(P1180,Constants!$D$3:$E$10,2),"")</f>
        <v/>
      </c>
    </row>
    <row r="1181" spans="12:20" x14ac:dyDescent="0.25">
      <c r="L1181" s="10" t="str">
        <f t="shared" si="222"/>
        <v/>
      </c>
      <c r="M1181" s="10" t="str">
        <f t="shared" si="223"/>
        <v/>
      </c>
      <c r="N1181" s="11" t="str">
        <f t="shared" si="224"/>
        <v/>
      </c>
      <c r="O1181" s="10" t="str">
        <f t="shared" si="225"/>
        <v/>
      </c>
      <c r="P1181" s="12" t="str">
        <f t="shared" si="226"/>
        <v/>
      </c>
      <c r="Q1181" s="10" t="str">
        <f t="shared" si="227"/>
        <v/>
      </c>
      <c r="R1181" s="13" t="str">
        <f t="shared" si="228"/>
        <v/>
      </c>
      <c r="S1181" s="13" t="str">
        <f t="shared" si="229"/>
        <v/>
      </c>
      <c r="T1181" s="22" t="str">
        <f>IF(R1181&lt;&gt;"",VLOOKUP(P1181,Constants!$D$3:$E$10,2),"")</f>
        <v/>
      </c>
    </row>
    <row r="1182" spans="12:20" x14ac:dyDescent="0.25">
      <c r="L1182" s="10" t="str">
        <f t="shared" si="222"/>
        <v/>
      </c>
      <c r="M1182" s="10" t="str">
        <f t="shared" si="223"/>
        <v/>
      </c>
      <c r="N1182" s="11" t="str">
        <f t="shared" si="224"/>
        <v/>
      </c>
      <c r="O1182" s="10" t="str">
        <f t="shared" si="225"/>
        <v/>
      </c>
      <c r="P1182" s="12" t="str">
        <f t="shared" si="226"/>
        <v/>
      </c>
      <c r="Q1182" s="10" t="str">
        <f t="shared" si="227"/>
        <v/>
      </c>
      <c r="R1182" s="13" t="str">
        <f t="shared" si="228"/>
        <v/>
      </c>
      <c r="S1182" s="13" t="str">
        <f t="shared" si="229"/>
        <v/>
      </c>
      <c r="T1182" s="22" t="str">
        <f>IF(R1182&lt;&gt;"",VLOOKUP(P1182,Constants!$D$3:$E$10,2),"")</f>
        <v/>
      </c>
    </row>
    <row r="1183" spans="12:20" x14ac:dyDescent="0.25">
      <c r="L1183" s="10" t="str">
        <f t="shared" si="222"/>
        <v/>
      </c>
      <c r="M1183" s="10" t="str">
        <f t="shared" si="223"/>
        <v/>
      </c>
      <c r="N1183" s="11" t="str">
        <f t="shared" si="224"/>
        <v/>
      </c>
      <c r="O1183" s="10" t="str">
        <f t="shared" si="225"/>
        <v/>
      </c>
      <c r="P1183" s="12" t="str">
        <f t="shared" si="226"/>
        <v/>
      </c>
      <c r="Q1183" s="10" t="str">
        <f t="shared" si="227"/>
        <v/>
      </c>
      <c r="R1183" s="13" t="str">
        <f t="shared" si="228"/>
        <v/>
      </c>
      <c r="S1183" s="13" t="str">
        <f t="shared" si="229"/>
        <v/>
      </c>
      <c r="T1183" s="22" t="str">
        <f>IF(R1183&lt;&gt;"",VLOOKUP(P1183,Constants!$D$3:$E$10,2),"")</f>
        <v/>
      </c>
    </row>
    <row r="1184" spans="12:20" x14ac:dyDescent="0.25">
      <c r="L1184" s="10" t="str">
        <f t="shared" si="222"/>
        <v/>
      </c>
      <c r="M1184" s="10" t="str">
        <f t="shared" si="223"/>
        <v/>
      </c>
      <c r="N1184" s="11" t="str">
        <f t="shared" si="224"/>
        <v/>
      </c>
      <c r="O1184" s="10" t="str">
        <f t="shared" si="225"/>
        <v/>
      </c>
      <c r="P1184" s="12" t="str">
        <f t="shared" si="226"/>
        <v/>
      </c>
      <c r="Q1184" s="10" t="str">
        <f t="shared" si="227"/>
        <v/>
      </c>
      <c r="R1184" s="13" t="str">
        <f t="shared" si="228"/>
        <v/>
      </c>
      <c r="S1184" s="13" t="str">
        <f t="shared" si="229"/>
        <v/>
      </c>
      <c r="T1184" s="22" t="str">
        <f>IF(R1184&lt;&gt;"",VLOOKUP(P1184,Constants!$D$3:$E$10,2),"")</f>
        <v/>
      </c>
    </row>
    <row r="1185" spans="12:20" x14ac:dyDescent="0.25">
      <c r="L1185" s="10" t="str">
        <f t="shared" si="222"/>
        <v/>
      </c>
      <c r="M1185" s="10" t="str">
        <f t="shared" si="223"/>
        <v/>
      </c>
      <c r="N1185" s="11" t="str">
        <f t="shared" si="224"/>
        <v/>
      </c>
      <c r="O1185" s="10" t="str">
        <f t="shared" si="225"/>
        <v/>
      </c>
      <c r="P1185" s="12" t="str">
        <f t="shared" si="226"/>
        <v/>
      </c>
      <c r="Q1185" s="10" t="str">
        <f t="shared" si="227"/>
        <v/>
      </c>
      <c r="R1185" s="13" t="str">
        <f t="shared" si="228"/>
        <v/>
      </c>
      <c r="S1185" s="13" t="str">
        <f t="shared" si="229"/>
        <v/>
      </c>
      <c r="T1185" s="22" t="str">
        <f>IF(R1185&lt;&gt;"",VLOOKUP(P1185,Constants!$D$3:$E$10,2),"")</f>
        <v/>
      </c>
    </row>
    <row r="1186" spans="12:20" x14ac:dyDescent="0.25">
      <c r="L1186" s="10" t="str">
        <f t="shared" si="222"/>
        <v/>
      </c>
      <c r="M1186" s="10" t="str">
        <f t="shared" si="223"/>
        <v/>
      </c>
      <c r="N1186" s="11" t="str">
        <f t="shared" si="224"/>
        <v/>
      </c>
      <c r="O1186" s="10" t="str">
        <f t="shared" si="225"/>
        <v/>
      </c>
      <c r="P1186" s="12" t="str">
        <f t="shared" si="226"/>
        <v/>
      </c>
      <c r="Q1186" s="10" t="str">
        <f t="shared" si="227"/>
        <v/>
      </c>
      <c r="R1186" s="13" t="str">
        <f t="shared" si="228"/>
        <v/>
      </c>
      <c r="S1186" s="13" t="str">
        <f t="shared" si="229"/>
        <v/>
      </c>
      <c r="T1186" s="22" t="str">
        <f>IF(R1186&lt;&gt;"",VLOOKUP(P1186,Constants!$D$3:$E$10,2),"")</f>
        <v/>
      </c>
    </row>
    <row r="1187" spans="12:20" x14ac:dyDescent="0.25">
      <c r="L1187" s="10" t="str">
        <f t="shared" si="222"/>
        <v/>
      </c>
      <c r="M1187" s="10" t="str">
        <f t="shared" si="223"/>
        <v/>
      </c>
      <c r="N1187" s="11" t="str">
        <f t="shared" si="224"/>
        <v/>
      </c>
      <c r="O1187" s="10" t="str">
        <f t="shared" si="225"/>
        <v/>
      </c>
      <c r="P1187" s="12" t="str">
        <f t="shared" si="226"/>
        <v/>
      </c>
      <c r="Q1187" s="10" t="str">
        <f t="shared" si="227"/>
        <v/>
      </c>
      <c r="R1187" s="13" t="str">
        <f t="shared" si="228"/>
        <v/>
      </c>
      <c r="S1187" s="13" t="str">
        <f t="shared" si="229"/>
        <v/>
      </c>
      <c r="T1187" s="22" t="str">
        <f>IF(R1187&lt;&gt;"",VLOOKUP(P1187,Constants!$D$3:$E$10,2),"")</f>
        <v/>
      </c>
    </row>
    <row r="1188" spans="12:20" x14ac:dyDescent="0.25">
      <c r="L1188" s="10" t="str">
        <f t="shared" si="222"/>
        <v/>
      </c>
      <c r="M1188" s="10" t="str">
        <f t="shared" si="223"/>
        <v/>
      </c>
      <c r="N1188" s="11" t="str">
        <f t="shared" si="224"/>
        <v/>
      </c>
      <c r="O1188" s="10" t="str">
        <f t="shared" si="225"/>
        <v/>
      </c>
      <c r="P1188" s="12" t="str">
        <f t="shared" si="226"/>
        <v/>
      </c>
      <c r="Q1188" s="10" t="str">
        <f t="shared" si="227"/>
        <v/>
      </c>
      <c r="R1188" s="13" t="str">
        <f t="shared" si="228"/>
        <v/>
      </c>
      <c r="S1188" s="13" t="str">
        <f t="shared" si="229"/>
        <v/>
      </c>
      <c r="T1188" s="22" t="str">
        <f>IF(R1188&lt;&gt;"",VLOOKUP(P1188,Constants!$D$3:$E$10,2),"")</f>
        <v/>
      </c>
    </row>
    <row r="1189" spans="12:20" x14ac:dyDescent="0.25">
      <c r="L1189" s="10" t="str">
        <f t="shared" si="222"/>
        <v/>
      </c>
      <c r="M1189" s="10" t="str">
        <f t="shared" si="223"/>
        <v/>
      </c>
      <c r="N1189" s="11" t="str">
        <f t="shared" si="224"/>
        <v/>
      </c>
      <c r="O1189" s="10" t="str">
        <f t="shared" si="225"/>
        <v/>
      </c>
      <c r="P1189" s="12" t="str">
        <f t="shared" si="226"/>
        <v/>
      </c>
      <c r="Q1189" s="10" t="str">
        <f t="shared" si="227"/>
        <v/>
      </c>
      <c r="R1189" s="13" t="str">
        <f t="shared" si="228"/>
        <v/>
      </c>
      <c r="S1189" s="13" t="str">
        <f t="shared" si="229"/>
        <v/>
      </c>
      <c r="T1189" s="22" t="str">
        <f>IF(R1189&lt;&gt;"",VLOOKUP(P1189,Constants!$D$3:$E$10,2),"")</f>
        <v/>
      </c>
    </row>
    <row r="1190" spans="12:20" x14ac:dyDescent="0.25">
      <c r="L1190" s="10" t="str">
        <f t="shared" si="222"/>
        <v/>
      </c>
      <c r="M1190" s="10" t="str">
        <f t="shared" si="223"/>
        <v/>
      </c>
      <c r="N1190" s="11" t="str">
        <f t="shared" si="224"/>
        <v/>
      </c>
      <c r="O1190" s="10" t="str">
        <f t="shared" si="225"/>
        <v/>
      </c>
      <c r="P1190" s="12" t="str">
        <f t="shared" si="226"/>
        <v/>
      </c>
      <c r="Q1190" s="10" t="str">
        <f t="shared" si="227"/>
        <v/>
      </c>
      <c r="R1190" s="13" t="str">
        <f t="shared" si="228"/>
        <v/>
      </c>
      <c r="S1190" s="13" t="str">
        <f t="shared" si="229"/>
        <v/>
      </c>
      <c r="T1190" s="22" t="str">
        <f>IF(R1190&lt;&gt;"",VLOOKUP(P1190,Constants!$D$3:$E$10,2),"")</f>
        <v/>
      </c>
    </row>
    <row r="1191" spans="12:20" x14ac:dyDescent="0.25">
      <c r="L1191" s="10" t="str">
        <f t="shared" si="222"/>
        <v/>
      </c>
      <c r="M1191" s="10" t="str">
        <f t="shared" si="223"/>
        <v/>
      </c>
      <c r="N1191" s="11" t="str">
        <f t="shared" si="224"/>
        <v/>
      </c>
      <c r="O1191" s="10" t="str">
        <f t="shared" si="225"/>
        <v/>
      </c>
      <c r="P1191" s="12" t="str">
        <f t="shared" si="226"/>
        <v/>
      </c>
      <c r="Q1191" s="10" t="str">
        <f t="shared" si="227"/>
        <v/>
      </c>
      <c r="R1191" s="13" t="str">
        <f t="shared" si="228"/>
        <v/>
      </c>
      <c r="S1191" s="13" t="str">
        <f t="shared" si="229"/>
        <v/>
      </c>
      <c r="T1191" s="22" t="str">
        <f>IF(R1191&lt;&gt;"",VLOOKUP(P1191,Constants!$D$3:$E$10,2),"")</f>
        <v/>
      </c>
    </row>
    <row r="1192" spans="12:20" x14ac:dyDescent="0.25">
      <c r="L1192" s="10" t="str">
        <f t="shared" si="222"/>
        <v/>
      </c>
      <c r="M1192" s="10" t="str">
        <f t="shared" si="223"/>
        <v/>
      </c>
      <c r="N1192" s="11" t="str">
        <f t="shared" si="224"/>
        <v/>
      </c>
      <c r="O1192" s="10" t="str">
        <f t="shared" si="225"/>
        <v/>
      </c>
      <c r="P1192" s="12" t="str">
        <f t="shared" si="226"/>
        <v/>
      </c>
      <c r="Q1192" s="10" t="str">
        <f t="shared" si="227"/>
        <v/>
      </c>
      <c r="R1192" s="13" t="str">
        <f t="shared" si="228"/>
        <v/>
      </c>
      <c r="S1192" s="13" t="str">
        <f t="shared" si="229"/>
        <v/>
      </c>
      <c r="T1192" s="22" t="str">
        <f>IF(R1192&lt;&gt;"",VLOOKUP(P1192,Constants!$D$3:$E$10,2),"")</f>
        <v/>
      </c>
    </row>
    <row r="1193" spans="12:20" x14ac:dyDescent="0.25">
      <c r="L1193" s="10" t="str">
        <f t="shared" si="222"/>
        <v/>
      </c>
      <c r="M1193" s="10" t="str">
        <f t="shared" si="223"/>
        <v/>
      </c>
      <c r="N1193" s="11" t="str">
        <f t="shared" si="224"/>
        <v/>
      </c>
      <c r="O1193" s="10" t="str">
        <f t="shared" si="225"/>
        <v/>
      </c>
      <c r="P1193" s="12" t="str">
        <f t="shared" si="226"/>
        <v/>
      </c>
      <c r="Q1193" s="10" t="str">
        <f t="shared" si="227"/>
        <v/>
      </c>
      <c r="R1193" s="13" t="str">
        <f t="shared" si="228"/>
        <v/>
      </c>
      <c r="S1193" s="13" t="str">
        <f t="shared" si="229"/>
        <v/>
      </c>
      <c r="T1193" s="22" t="str">
        <f>IF(R1193&lt;&gt;"",VLOOKUP(P1193,Constants!$D$3:$E$10,2),"")</f>
        <v/>
      </c>
    </row>
    <row r="1194" spans="12:20" x14ac:dyDescent="0.25">
      <c r="L1194" s="10" t="str">
        <f t="shared" si="222"/>
        <v/>
      </c>
      <c r="M1194" s="10" t="str">
        <f t="shared" si="223"/>
        <v/>
      </c>
      <c r="N1194" s="11" t="str">
        <f t="shared" si="224"/>
        <v/>
      </c>
      <c r="O1194" s="10" t="str">
        <f t="shared" si="225"/>
        <v/>
      </c>
      <c r="P1194" s="12" t="str">
        <f t="shared" si="226"/>
        <v/>
      </c>
      <c r="Q1194" s="10" t="str">
        <f t="shared" si="227"/>
        <v/>
      </c>
      <c r="R1194" s="13" t="str">
        <f t="shared" si="228"/>
        <v/>
      </c>
      <c r="S1194" s="13" t="str">
        <f t="shared" si="229"/>
        <v/>
      </c>
      <c r="T1194" s="22" t="str">
        <f>IF(R1194&lt;&gt;"",VLOOKUP(P1194,Constants!$D$3:$E$10,2),"")</f>
        <v/>
      </c>
    </row>
    <row r="1195" spans="12:20" x14ac:dyDescent="0.25">
      <c r="L1195" s="10" t="str">
        <f t="shared" si="222"/>
        <v/>
      </c>
      <c r="M1195" s="10" t="str">
        <f t="shared" si="223"/>
        <v/>
      </c>
      <c r="N1195" s="11" t="str">
        <f t="shared" si="224"/>
        <v/>
      </c>
      <c r="O1195" s="10" t="str">
        <f t="shared" si="225"/>
        <v/>
      </c>
      <c r="P1195" s="12" t="str">
        <f t="shared" si="226"/>
        <v/>
      </c>
      <c r="Q1195" s="10" t="str">
        <f t="shared" si="227"/>
        <v/>
      </c>
      <c r="R1195" s="13" t="str">
        <f t="shared" si="228"/>
        <v/>
      </c>
      <c r="S1195" s="13" t="str">
        <f t="shared" si="229"/>
        <v/>
      </c>
      <c r="T1195" s="22" t="str">
        <f>IF(R1195&lt;&gt;"",VLOOKUP(P1195,Constants!$D$3:$E$10,2),"")</f>
        <v/>
      </c>
    </row>
    <row r="1196" spans="12:20" x14ac:dyDescent="0.25">
      <c r="L1196" s="10" t="str">
        <f t="shared" si="222"/>
        <v/>
      </c>
      <c r="M1196" s="10" t="str">
        <f t="shared" si="223"/>
        <v/>
      </c>
      <c r="N1196" s="11" t="str">
        <f t="shared" si="224"/>
        <v/>
      </c>
      <c r="O1196" s="10" t="str">
        <f t="shared" si="225"/>
        <v/>
      </c>
      <c r="P1196" s="12" t="str">
        <f t="shared" si="226"/>
        <v/>
      </c>
      <c r="Q1196" s="10" t="str">
        <f t="shared" si="227"/>
        <v/>
      </c>
      <c r="R1196" s="13" t="str">
        <f t="shared" si="228"/>
        <v/>
      </c>
      <c r="S1196" s="13" t="str">
        <f t="shared" si="229"/>
        <v/>
      </c>
      <c r="T1196" s="22" t="str">
        <f>IF(R1196&lt;&gt;"",VLOOKUP(P1196,Constants!$D$3:$E$10,2),"")</f>
        <v/>
      </c>
    </row>
    <row r="1197" spans="12:20" x14ac:dyDescent="0.25">
      <c r="L1197" s="10" t="str">
        <f t="shared" si="222"/>
        <v/>
      </c>
      <c r="M1197" s="10" t="str">
        <f t="shared" si="223"/>
        <v/>
      </c>
      <c r="N1197" s="11" t="str">
        <f t="shared" si="224"/>
        <v/>
      </c>
      <c r="O1197" s="10" t="str">
        <f t="shared" si="225"/>
        <v/>
      </c>
      <c r="P1197" s="12" t="str">
        <f t="shared" si="226"/>
        <v/>
      </c>
      <c r="Q1197" s="10" t="str">
        <f t="shared" si="227"/>
        <v/>
      </c>
      <c r="R1197" s="13" t="str">
        <f t="shared" si="228"/>
        <v/>
      </c>
      <c r="S1197" s="13" t="str">
        <f t="shared" si="229"/>
        <v/>
      </c>
      <c r="T1197" s="22" t="str">
        <f>IF(R1197&lt;&gt;"",VLOOKUP(P1197,Constants!$D$3:$E$10,2),"")</f>
        <v/>
      </c>
    </row>
    <row r="1198" spans="12:20" x14ac:dyDescent="0.25">
      <c r="L1198" s="10" t="str">
        <f t="shared" si="222"/>
        <v/>
      </c>
      <c r="M1198" s="10" t="str">
        <f t="shared" si="223"/>
        <v/>
      </c>
      <c r="N1198" s="11" t="str">
        <f t="shared" si="224"/>
        <v/>
      </c>
      <c r="O1198" s="10" t="str">
        <f t="shared" si="225"/>
        <v/>
      </c>
      <c r="P1198" s="12" t="str">
        <f t="shared" si="226"/>
        <v/>
      </c>
      <c r="Q1198" s="10" t="str">
        <f t="shared" si="227"/>
        <v/>
      </c>
      <c r="R1198" s="13" t="str">
        <f t="shared" si="228"/>
        <v/>
      </c>
      <c r="S1198" s="13" t="str">
        <f t="shared" si="229"/>
        <v/>
      </c>
      <c r="T1198" s="22" t="str">
        <f>IF(R1198&lt;&gt;"",VLOOKUP(P1198,Constants!$D$3:$E$10,2),"")</f>
        <v/>
      </c>
    </row>
    <row r="1199" spans="12:20" x14ac:dyDescent="0.25">
      <c r="L1199" s="10" t="str">
        <f t="shared" si="222"/>
        <v/>
      </c>
      <c r="M1199" s="10" t="str">
        <f t="shared" si="223"/>
        <v/>
      </c>
      <c r="N1199" s="11" t="str">
        <f t="shared" si="224"/>
        <v/>
      </c>
      <c r="O1199" s="10" t="str">
        <f t="shared" si="225"/>
        <v/>
      </c>
      <c r="P1199" s="12" t="str">
        <f t="shared" si="226"/>
        <v/>
      </c>
      <c r="Q1199" s="10" t="str">
        <f t="shared" si="227"/>
        <v/>
      </c>
      <c r="R1199" s="13" t="str">
        <f t="shared" si="228"/>
        <v/>
      </c>
      <c r="S1199" s="13" t="str">
        <f t="shared" si="229"/>
        <v/>
      </c>
      <c r="T1199" s="22" t="str">
        <f>IF(R1199&lt;&gt;"",VLOOKUP(P1199,Constants!$D$3:$E$10,2),"")</f>
        <v/>
      </c>
    </row>
    <row r="1200" spans="12:20" x14ac:dyDescent="0.25">
      <c r="L1200" s="10" t="str">
        <f t="shared" si="222"/>
        <v/>
      </c>
      <c r="M1200" s="10" t="str">
        <f t="shared" si="223"/>
        <v/>
      </c>
      <c r="N1200" s="11" t="str">
        <f t="shared" si="224"/>
        <v/>
      </c>
      <c r="O1200" s="10" t="str">
        <f t="shared" si="225"/>
        <v/>
      </c>
      <c r="P1200" s="12" t="str">
        <f t="shared" si="226"/>
        <v/>
      </c>
      <c r="Q1200" s="10" t="str">
        <f t="shared" si="227"/>
        <v/>
      </c>
      <c r="R1200" s="13" t="str">
        <f t="shared" si="228"/>
        <v/>
      </c>
      <c r="S1200" s="13" t="str">
        <f t="shared" si="229"/>
        <v/>
      </c>
      <c r="T1200" s="22" t="str">
        <f>IF(R1200&lt;&gt;"",VLOOKUP(P1200,Constants!$D$3:$E$10,2),"")</f>
        <v/>
      </c>
    </row>
    <row r="1201" spans="12:20" x14ac:dyDescent="0.25">
      <c r="L1201" s="10" t="str">
        <f t="shared" si="222"/>
        <v/>
      </c>
      <c r="M1201" s="10" t="str">
        <f t="shared" si="223"/>
        <v/>
      </c>
      <c r="N1201" s="11" t="str">
        <f t="shared" si="224"/>
        <v/>
      </c>
      <c r="O1201" s="10" t="str">
        <f t="shared" si="225"/>
        <v/>
      </c>
      <c r="P1201" s="12" t="str">
        <f t="shared" si="226"/>
        <v/>
      </c>
      <c r="Q1201" s="10" t="str">
        <f t="shared" si="227"/>
        <v/>
      </c>
      <c r="R1201" s="13" t="str">
        <f t="shared" si="228"/>
        <v/>
      </c>
      <c r="S1201" s="13" t="str">
        <f t="shared" si="229"/>
        <v/>
      </c>
      <c r="T1201" s="22" t="str">
        <f>IF(R1201&lt;&gt;"",VLOOKUP(P1201,Constants!$D$3:$E$10,2),"")</f>
        <v/>
      </c>
    </row>
    <row r="1202" spans="12:20" x14ac:dyDescent="0.25">
      <c r="L1202" s="10" t="str">
        <f t="shared" si="222"/>
        <v/>
      </c>
      <c r="M1202" s="10" t="str">
        <f t="shared" si="223"/>
        <v/>
      </c>
      <c r="N1202" s="11" t="str">
        <f t="shared" si="224"/>
        <v/>
      </c>
      <c r="O1202" s="10" t="str">
        <f t="shared" si="225"/>
        <v/>
      </c>
      <c r="P1202" s="12" t="str">
        <f t="shared" si="226"/>
        <v/>
      </c>
      <c r="Q1202" s="10" t="str">
        <f t="shared" si="227"/>
        <v/>
      </c>
      <c r="R1202" s="13" t="str">
        <f t="shared" si="228"/>
        <v/>
      </c>
      <c r="S1202" s="13" t="str">
        <f t="shared" si="229"/>
        <v/>
      </c>
      <c r="T1202" s="22" t="str">
        <f>IF(R1202&lt;&gt;"",VLOOKUP(P1202,Constants!$D$3:$E$10,2),"")</f>
        <v/>
      </c>
    </row>
    <row r="1203" spans="12:20" x14ac:dyDescent="0.25">
      <c r="L1203" s="10" t="str">
        <f t="shared" si="222"/>
        <v/>
      </c>
      <c r="M1203" s="10" t="str">
        <f t="shared" si="223"/>
        <v/>
      </c>
      <c r="N1203" s="11" t="str">
        <f t="shared" si="224"/>
        <v/>
      </c>
      <c r="O1203" s="10" t="str">
        <f t="shared" si="225"/>
        <v/>
      </c>
      <c r="P1203" s="12" t="str">
        <f t="shared" si="226"/>
        <v/>
      </c>
      <c r="Q1203" s="10" t="str">
        <f t="shared" si="227"/>
        <v/>
      </c>
      <c r="R1203" s="13" t="str">
        <f t="shared" si="228"/>
        <v/>
      </c>
      <c r="S1203" s="13" t="str">
        <f t="shared" si="229"/>
        <v/>
      </c>
      <c r="T1203" s="22" t="str">
        <f>IF(R1203&lt;&gt;"",VLOOKUP(P1203,Constants!$D$3:$E$10,2),"")</f>
        <v/>
      </c>
    </row>
    <row r="1204" spans="12:20" x14ac:dyDescent="0.25">
      <c r="L1204" s="10" t="str">
        <f t="shared" si="222"/>
        <v/>
      </c>
      <c r="M1204" s="10" t="str">
        <f t="shared" si="223"/>
        <v/>
      </c>
      <c r="N1204" s="11" t="str">
        <f t="shared" si="224"/>
        <v/>
      </c>
      <c r="O1204" s="10" t="str">
        <f t="shared" si="225"/>
        <v/>
      </c>
      <c r="P1204" s="12" t="str">
        <f t="shared" si="226"/>
        <v/>
      </c>
      <c r="Q1204" s="10" t="str">
        <f t="shared" si="227"/>
        <v/>
      </c>
      <c r="R1204" s="13" t="str">
        <f t="shared" si="228"/>
        <v/>
      </c>
      <c r="S1204" s="13" t="str">
        <f t="shared" si="229"/>
        <v/>
      </c>
      <c r="T1204" s="22" t="str">
        <f>IF(R1204&lt;&gt;"",VLOOKUP(P1204,Constants!$D$3:$E$10,2),"")</f>
        <v/>
      </c>
    </row>
    <row r="1205" spans="12:20" x14ac:dyDescent="0.25">
      <c r="L1205" s="10" t="str">
        <f t="shared" si="222"/>
        <v/>
      </c>
      <c r="M1205" s="10" t="str">
        <f t="shared" si="223"/>
        <v/>
      </c>
      <c r="N1205" s="11" t="str">
        <f t="shared" si="224"/>
        <v/>
      </c>
      <c r="O1205" s="10" t="str">
        <f t="shared" si="225"/>
        <v/>
      </c>
      <c r="P1205" s="12" t="str">
        <f t="shared" si="226"/>
        <v/>
      </c>
      <c r="Q1205" s="10" t="str">
        <f t="shared" si="227"/>
        <v/>
      </c>
      <c r="R1205" s="13" t="str">
        <f t="shared" si="228"/>
        <v/>
      </c>
      <c r="S1205" s="13" t="str">
        <f t="shared" si="229"/>
        <v/>
      </c>
      <c r="T1205" s="22" t="str">
        <f>IF(R1205&lt;&gt;"",VLOOKUP(P1205,Constants!$D$3:$E$10,2),"")</f>
        <v/>
      </c>
    </row>
    <row r="1206" spans="12:20" x14ac:dyDescent="0.25">
      <c r="L1206" s="10" t="str">
        <f t="shared" si="222"/>
        <v/>
      </c>
      <c r="M1206" s="10" t="str">
        <f t="shared" si="223"/>
        <v/>
      </c>
      <c r="N1206" s="11" t="str">
        <f t="shared" si="224"/>
        <v/>
      </c>
      <c r="O1206" s="10" t="str">
        <f t="shared" si="225"/>
        <v/>
      </c>
      <c r="P1206" s="12" t="str">
        <f t="shared" si="226"/>
        <v/>
      </c>
      <c r="Q1206" s="10" t="str">
        <f t="shared" si="227"/>
        <v/>
      </c>
      <c r="R1206" s="13" t="str">
        <f t="shared" si="228"/>
        <v/>
      </c>
      <c r="S1206" s="13" t="str">
        <f t="shared" si="229"/>
        <v/>
      </c>
      <c r="T1206" s="22" t="str">
        <f>IF(R1206&lt;&gt;"",VLOOKUP(P1206,Constants!$D$3:$E$10,2),"")</f>
        <v/>
      </c>
    </row>
    <row r="1207" spans="12:20" x14ac:dyDescent="0.25">
      <c r="L1207" s="10" t="str">
        <f t="shared" si="222"/>
        <v/>
      </c>
      <c r="M1207" s="10" t="str">
        <f t="shared" si="223"/>
        <v/>
      </c>
      <c r="N1207" s="11" t="str">
        <f t="shared" si="224"/>
        <v/>
      </c>
      <c r="O1207" s="10" t="str">
        <f t="shared" si="225"/>
        <v/>
      </c>
      <c r="P1207" s="12" t="str">
        <f t="shared" si="226"/>
        <v/>
      </c>
      <c r="Q1207" s="10" t="str">
        <f t="shared" si="227"/>
        <v/>
      </c>
      <c r="R1207" s="13" t="str">
        <f t="shared" si="228"/>
        <v/>
      </c>
      <c r="S1207" s="13" t="str">
        <f t="shared" si="229"/>
        <v/>
      </c>
      <c r="T1207" s="22" t="str">
        <f>IF(R1207&lt;&gt;"",VLOOKUP(P1207,Constants!$D$3:$E$10,2),"")</f>
        <v/>
      </c>
    </row>
    <row r="1208" spans="12:20" x14ac:dyDescent="0.25">
      <c r="L1208" s="10" t="str">
        <f t="shared" si="222"/>
        <v/>
      </c>
      <c r="M1208" s="10" t="str">
        <f t="shared" si="223"/>
        <v/>
      </c>
      <c r="N1208" s="11" t="str">
        <f t="shared" si="224"/>
        <v/>
      </c>
      <c r="O1208" s="10" t="str">
        <f t="shared" si="225"/>
        <v/>
      </c>
      <c r="P1208" s="12" t="str">
        <f t="shared" si="226"/>
        <v/>
      </c>
      <c r="Q1208" s="10" t="str">
        <f t="shared" si="227"/>
        <v/>
      </c>
      <c r="R1208" s="13" t="str">
        <f t="shared" si="228"/>
        <v/>
      </c>
      <c r="S1208" s="13" t="str">
        <f t="shared" si="229"/>
        <v/>
      </c>
      <c r="T1208" s="22" t="str">
        <f>IF(R1208&lt;&gt;"",VLOOKUP(P1208,Constants!$D$3:$E$10,2),"")</f>
        <v/>
      </c>
    </row>
    <row r="1209" spans="12:20" x14ac:dyDescent="0.25">
      <c r="L1209" s="10" t="str">
        <f t="shared" si="222"/>
        <v/>
      </c>
      <c r="M1209" s="10" t="str">
        <f t="shared" si="223"/>
        <v/>
      </c>
      <c r="N1209" s="11" t="str">
        <f t="shared" si="224"/>
        <v/>
      </c>
      <c r="O1209" s="10" t="str">
        <f t="shared" si="225"/>
        <v/>
      </c>
      <c r="P1209" s="12" t="str">
        <f t="shared" si="226"/>
        <v/>
      </c>
      <c r="Q1209" s="10" t="str">
        <f t="shared" si="227"/>
        <v/>
      </c>
      <c r="R1209" s="13" t="str">
        <f t="shared" si="228"/>
        <v/>
      </c>
      <c r="S1209" s="13" t="str">
        <f t="shared" si="229"/>
        <v/>
      </c>
      <c r="T1209" s="22" t="str">
        <f>IF(R1209&lt;&gt;"",VLOOKUP(P1209,Constants!$D$3:$E$10,2),"")</f>
        <v/>
      </c>
    </row>
    <row r="1210" spans="12:20" x14ac:dyDescent="0.25">
      <c r="L1210" s="10" t="str">
        <f t="shared" si="222"/>
        <v/>
      </c>
      <c r="M1210" s="10" t="str">
        <f t="shared" si="223"/>
        <v/>
      </c>
      <c r="N1210" s="11" t="str">
        <f t="shared" si="224"/>
        <v/>
      </c>
      <c r="O1210" s="10" t="str">
        <f t="shared" si="225"/>
        <v/>
      </c>
      <c r="P1210" s="12" t="str">
        <f t="shared" si="226"/>
        <v/>
      </c>
      <c r="Q1210" s="10" t="str">
        <f t="shared" si="227"/>
        <v/>
      </c>
      <c r="R1210" s="13" t="str">
        <f t="shared" si="228"/>
        <v/>
      </c>
      <c r="S1210" s="13" t="str">
        <f t="shared" si="229"/>
        <v/>
      </c>
      <c r="T1210" s="22" t="str">
        <f>IF(R1210&lt;&gt;"",VLOOKUP(P1210,Constants!$D$3:$E$10,2),"")</f>
        <v/>
      </c>
    </row>
    <row r="1211" spans="12:20" x14ac:dyDescent="0.25">
      <c r="L1211" s="10" t="str">
        <f t="shared" si="222"/>
        <v/>
      </c>
      <c r="M1211" s="10" t="str">
        <f t="shared" si="223"/>
        <v/>
      </c>
      <c r="N1211" s="11" t="str">
        <f t="shared" si="224"/>
        <v/>
      </c>
      <c r="O1211" s="10" t="str">
        <f t="shared" si="225"/>
        <v/>
      </c>
      <c r="P1211" s="12" t="str">
        <f t="shared" si="226"/>
        <v/>
      </c>
      <c r="Q1211" s="10" t="str">
        <f t="shared" si="227"/>
        <v/>
      </c>
      <c r="R1211" s="13" t="str">
        <f t="shared" si="228"/>
        <v/>
      </c>
      <c r="S1211" s="13" t="str">
        <f t="shared" si="229"/>
        <v/>
      </c>
      <c r="T1211" s="22" t="str">
        <f>IF(R1211&lt;&gt;"",VLOOKUP(P1211,Constants!$D$3:$E$10,2),"")</f>
        <v/>
      </c>
    </row>
    <row r="1212" spans="12:20" x14ac:dyDescent="0.25">
      <c r="L1212" s="10" t="str">
        <f t="shared" si="222"/>
        <v/>
      </c>
      <c r="M1212" s="10" t="str">
        <f t="shared" si="223"/>
        <v/>
      </c>
      <c r="N1212" s="11" t="str">
        <f t="shared" si="224"/>
        <v/>
      </c>
      <c r="O1212" s="10" t="str">
        <f t="shared" si="225"/>
        <v/>
      </c>
      <c r="P1212" s="12" t="str">
        <f t="shared" si="226"/>
        <v/>
      </c>
      <c r="Q1212" s="10" t="str">
        <f t="shared" si="227"/>
        <v/>
      </c>
      <c r="R1212" s="13" t="str">
        <f t="shared" si="228"/>
        <v/>
      </c>
      <c r="S1212" s="13" t="str">
        <f t="shared" si="229"/>
        <v/>
      </c>
      <c r="T1212" s="22" t="str">
        <f>IF(R1212&lt;&gt;"",VLOOKUP(P1212,Constants!$D$3:$E$10,2),"")</f>
        <v/>
      </c>
    </row>
    <row r="1213" spans="12:20" x14ac:dyDescent="0.25">
      <c r="L1213" s="10" t="str">
        <f t="shared" si="222"/>
        <v/>
      </c>
      <c r="M1213" s="10" t="str">
        <f t="shared" si="223"/>
        <v/>
      </c>
      <c r="N1213" s="11" t="str">
        <f t="shared" si="224"/>
        <v/>
      </c>
      <c r="O1213" s="10" t="str">
        <f t="shared" si="225"/>
        <v/>
      </c>
      <c r="P1213" s="12" t="str">
        <f t="shared" si="226"/>
        <v/>
      </c>
      <c r="Q1213" s="10" t="str">
        <f t="shared" si="227"/>
        <v/>
      </c>
      <c r="R1213" s="13" t="str">
        <f t="shared" si="228"/>
        <v/>
      </c>
      <c r="S1213" s="13" t="str">
        <f t="shared" si="229"/>
        <v/>
      </c>
      <c r="T1213" s="22" t="str">
        <f>IF(R1213&lt;&gt;"",VLOOKUP(P1213,Constants!$D$3:$E$10,2),"")</f>
        <v/>
      </c>
    </row>
    <row r="1214" spans="12:20" x14ac:dyDescent="0.25">
      <c r="L1214" s="10" t="str">
        <f t="shared" si="222"/>
        <v/>
      </c>
      <c r="M1214" s="10" t="str">
        <f t="shared" si="223"/>
        <v/>
      </c>
      <c r="N1214" s="11" t="str">
        <f t="shared" si="224"/>
        <v/>
      </c>
      <c r="O1214" s="10" t="str">
        <f t="shared" si="225"/>
        <v/>
      </c>
      <c r="P1214" s="12" t="str">
        <f t="shared" si="226"/>
        <v/>
      </c>
      <c r="Q1214" s="10" t="str">
        <f t="shared" si="227"/>
        <v/>
      </c>
      <c r="R1214" s="13" t="str">
        <f t="shared" si="228"/>
        <v/>
      </c>
      <c r="S1214" s="13" t="str">
        <f t="shared" si="229"/>
        <v/>
      </c>
      <c r="T1214" s="22" t="str">
        <f>IF(R1214&lt;&gt;"",VLOOKUP(P1214,Constants!$D$3:$E$10,2),"")</f>
        <v/>
      </c>
    </row>
    <row r="1215" spans="12:20" x14ac:dyDescent="0.25">
      <c r="L1215" s="10" t="str">
        <f t="shared" si="222"/>
        <v/>
      </c>
      <c r="M1215" s="10" t="str">
        <f t="shared" si="223"/>
        <v/>
      </c>
      <c r="N1215" s="11" t="str">
        <f t="shared" si="224"/>
        <v/>
      </c>
      <c r="O1215" s="10" t="str">
        <f t="shared" si="225"/>
        <v/>
      </c>
      <c r="P1215" s="12" t="str">
        <f t="shared" si="226"/>
        <v/>
      </c>
      <c r="Q1215" s="10" t="str">
        <f t="shared" si="227"/>
        <v/>
      </c>
      <c r="R1215" s="13" t="str">
        <f t="shared" si="228"/>
        <v/>
      </c>
      <c r="S1215" s="13" t="str">
        <f t="shared" si="229"/>
        <v/>
      </c>
      <c r="T1215" s="22" t="str">
        <f>IF(R1215&lt;&gt;"",VLOOKUP(P1215,Constants!$D$3:$E$10,2),"")</f>
        <v/>
      </c>
    </row>
    <row r="1216" spans="12:20" x14ac:dyDescent="0.25">
      <c r="L1216" s="10" t="str">
        <f t="shared" si="222"/>
        <v/>
      </c>
      <c r="M1216" s="10" t="str">
        <f t="shared" si="223"/>
        <v/>
      </c>
      <c r="N1216" s="11" t="str">
        <f t="shared" si="224"/>
        <v/>
      </c>
      <c r="O1216" s="10" t="str">
        <f t="shared" si="225"/>
        <v/>
      </c>
      <c r="P1216" s="12" t="str">
        <f t="shared" si="226"/>
        <v/>
      </c>
      <c r="Q1216" s="10" t="str">
        <f t="shared" si="227"/>
        <v/>
      </c>
      <c r="R1216" s="13" t="str">
        <f t="shared" si="228"/>
        <v/>
      </c>
      <c r="S1216" s="13" t="str">
        <f t="shared" si="229"/>
        <v/>
      </c>
      <c r="T1216" s="22" t="str">
        <f>IF(R1216&lt;&gt;"",VLOOKUP(P1216,Constants!$D$3:$E$10,2),"")</f>
        <v/>
      </c>
    </row>
    <row r="1217" spans="12:20" x14ac:dyDescent="0.25">
      <c r="L1217" s="10" t="str">
        <f t="shared" si="222"/>
        <v/>
      </c>
      <c r="M1217" s="10" t="str">
        <f t="shared" si="223"/>
        <v/>
      </c>
      <c r="N1217" s="11" t="str">
        <f t="shared" si="224"/>
        <v/>
      </c>
      <c r="O1217" s="10" t="str">
        <f t="shared" si="225"/>
        <v/>
      </c>
      <c r="P1217" s="12" t="str">
        <f t="shared" si="226"/>
        <v/>
      </c>
      <c r="Q1217" s="10" t="str">
        <f t="shared" si="227"/>
        <v/>
      </c>
      <c r="R1217" s="13" t="str">
        <f t="shared" si="228"/>
        <v/>
      </c>
      <c r="S1217" s="13" t="str">
        <f t="shared" si="229"/>
        <v/>
      </c>
      <c r="T1217" s="22" t="str">
        <f>IF(R1217&lt;&gt;"",VLOOKUP(P1217,Constants!$D$3:$E$10,2),"")</f>
        <v/>
      </c>
    </row>
    <row r="1218" spans="12:20" x14ac:dyDescent="0.25">
      <c r="L1218" s="10" t="str">
        <f t="shared" si="222"/>
        <v/>
      </c>
      <c r="M1218" s="10" t="str">
        <f t="shared" si="223"/>
        <v/>
      </c>
      <c r="N1218" s="11" t="str">
        <f t="shared" si="224"/>
        <v/>
      </c>
      <c r="O1218" s="10" t="str">
        <f t="shared" si="225"/>
        <v/>
      </c>
      <c r="P1218" s="12" t="str">
        <f t="shared" si="226"/>
        <v/>
      </c>
      <c r="Q1218" s="10" t="str">
        <f t="shared" si="227"/>
        <v/>
      </c>
      <c r="R1218" s="13" t="str">
        <f t="shared" si="228"/>
        <v/>
      </c>
      <c r="S1218" s="13" t="str">
        <f t="shared" si="229"/>
        <v/>
      </c>
      <c r="T1218" s="22" t="str">
        <f>IF(R1218&lt;&gt;"",VLOOKUP(P1218,Constants!$D$3:$E$10,2),"")</f>
        <v/>
      </c>
    </row>
    <row r="1219" spans="12:20" x14ac:dyDescent="0.25">
      <c r="L1219" s="10" t="str">
        <f t="shared" si="222"/>
        <v/>
      </c>
      <c r="M1219" s="10" t="str">
        <f t="shared" si="223"/>
        <v/>
      </c>
      <c r="N1219" s="11" t="str">
        <f t="shared" si="224"/>
        <v/>
      </c>
      <c r="O1219" s="10" t="str">
        <f t="shared" si="225"/>
        <v/>
      </c>
      <c r="P1219" s="12" t="str">
        <f t="shared" si="226"/>
        <v/>
      </c>
      <c r="Q1219" s="10" t="str">
        <f t="shared" si="227"/>
        <v/>
      </c>
      <c r="R1219" s="13" t="str">
        <f t="shared" si="228"/>
        <v/>
      </c>
      <c r="S1219" s="13" t="str">
        <f t="shared" si="229"/>
        <v/>
      </c>
      <c r="T1219" s="22" t="str">
        <f>IF(R1219&lt;&gt;"",VLOOKUP(P1219,Constants!$D$3:$E$10,2),"")</f>
        <v/>
      </c>
    </row>
    <row r="1220" spans="12:20" x14ac:dyDescent="0.25">
      <c r="L1220" s="10" t="str">
        <f t="shared" si="222"/>
        <v/>
      </c>
      <c r="M1220" s="10" t="str">
        <f t="shared" si="223"/>
        <v/>
      </c>
      <c r="N1220" s="11" t="str">
        <f t="shared" si="224"/>
        <v/>
      </c>
      <c r="O1220" s="10" t="str">
        <f t="shared" si="225"/>
        <v/>
      </c>
      <c r="P1220" s="12" t="str">
        <f t="shared" si="226"/>
        <v/>
      </c>
      <c r="Q1220" s="10" t="str">
        <f t="shared" si="227"/>
        <v/>
      </c>
      <c r="R1220" s="13" t="str">
        <f t="shared" si="228"/>
        <v/>
      </c>
      <c r="S1220" s="13" t="str">
        <f t="shared" si="229"/>
        <v/>
      </c>
      <c r="T1220" s="22" t="str">
        <f>IF(R1220&lt;&gt;"",VLOOKUP(P1220,Constants!$D$3:$E$10,2),"")</f>
        <v/>
      </c>
    </row>
    <row r="1221" spans="12:20" x14ac:dyDescent="0.25">
      <c r="L1221" s="10" t="str">
        <f t="shared" si="222"/>
        <v/>
      </c>
      <c r="M1221" s="10" t="str">
        <f t="shared" si="223"/>
        <v/>
      </c>
      <c r="N1221" s="11" t="str">
        <f t="shared" si="224"/>
        <v/>
      </c>
      <c r="O1221" s="10" t="str">
        <f t="shared" si="225"/>
        <v/>
      </c>
      <c r="P1221" s="12" t="str">
        <f t="shared" si="226"/>
        <v/>
      </c>
      <c r="Q1221" s="10" t="str">
        <f t="shared" si="227"/>
        <v/>
      </c>
      <c r="R1221" s="13" t="str">
        <f t="shared" si="228"/>
        <v/>
      </c>
      <c r="S1221" s="13" t="str">
        <f t="shared" si="229"/>
        <v/>
      </c>
      <c r="T1221" s="22" t="str">
        <f>IF(R1221&lt;&gt;"",VLOOKUP(P1221,Constants!$D$3:$E$10,2),"")</f>
        <v/>
      </c>
    </row>
    <row r="1222" spans="12:20" x14ac:dyDescent="0.25">
      <c r="L1222" s="10" t="str">
        <f t="shared" si="222"/>
        <v/>
      </c>
      <c r="M1222" s="10" t="str">
        <f t="shared" si="223"/>
        <v/>
      </c>
      <c r="N1222" s="11" t="str">
        <f t="shared" si="224"/>
        <v/>
      </c>
      <c r="O1222" s="10" t="str">
        <f t="shared" si="225"/>
        <v/>
      </c>
      <c r="P1222" s="12" t="str">
        <f t="shared" si="226"/>
        <v/>
      </c>
      <c r="Q1222" s="10" t="str">
        <f t="shared" si="227"/>
        <v/>
      </c>
      <c r="R1222" s="13" t="str">
        <f t="shared" si="228"/>
        <v/>
      </c>
      <c r="S1222" s="13" t="str">
        <f t="shared" si="229"/>
        <v/>
      </c>
      <c r="T1222" s="22" t="str">
        <f>IF(R1222&lt;&gt;"",VLOOKUP(P1222,Constants!$D$3:$E$10,2),"")</f>
        <v/>
      </c>
    </row>
    <row r="1223" spans="12:20" x14ac:dyDescent="0.25">
      <c r="L1223" s="10" t="str">
        <f t="shared" si="222"/>
        <v/>
      </c>
      <c r="M1223" s="10" t="str">
        <f t="shared" si="223"/>
        <v/>
      </c>
      <c r="N1223" s="11" t="str">
        <f t="shared" si="224"/>
        <v/>
      </c>
      <c r="O1223" s="10" t="str">
        <f t="shared" si="225"/>
        <v/>
      </c>
      <c r="P1223" s="12" t="str">
        <f t="shared" si="226"/>
        <v/>
      </c>
      <c r="Q1223" s="10" t="str">
        <f t="shared" si="227"/>
        <v/>
      </c>
      <c r="R1223" s="13" t="str">
        <f t="shared" si="228"/>
        <v/>
      </c>
      <c r="S1223" s="13" t="str">
        <f t="shared" si="229"/>
        <v/>
      </c>
      <c r="T1223" s="22" t="str">
        <f>IF(R1223&lt;&gt;"",VLOOKUP(P1223,Constants!$D$3:$E$10,2),"")</f>
        <v/>
      </c>
    </row>
    <row r="1224" spans="12:20" x14ac:dyDescent="0.25">
      <c r="L1224" s="10" t="str">
        <f t="shared" si="222"/>
        <v/>
      </c>
      <c r="M1224" s="10" t="str">
        <f t="shared" si="223"/>
        <v/>
      </c>
      <c r="N1224" s="11" t="str">
        <f t="shared" si="224"/>
        <v/>
      </c>
      <c r="O1224" s="10" t="str">
        <f t="shared" si="225"/>
        <v/>
      </c>
      <c r="P1224" s="12" t="str">
        <f t="shared" si="226"/>
        <v/>
      </c>
      <c r="Q1224" s="10" t="str">
        <f t="shared" si="227"/>
        <v/>
      </c>
      <c r="R1224" s="13" t="str">
        <f t="shared" si="228"/>
        <v/>
      </c>
      <c r="S1224" s="13" t="str">
        <f t="shared" si="229"/>
        <v/>
      </c>
      <c r="T1224" s="22" t="str">
        <f>IF(R1224&lt;&gt;"",VLOOKUP(P1224,Constants!$D$3:$E$10,2),"")</f>
        <v/>
      </c>
    </row>
    <row r="1225" spans="12:20" x14ac:dyDescent="0.25">
      <c r="L1225" s="10" t="str">
        <f t="shared" si="222"/>
        <v/>
      </c>
      <c r="M1225" s="10" t="str">
        <f t="shared" si="223"/>
        <v/>
      </c>
      <c r="N1225" s="11" t="str">
        <f t="shared" si="224"/>
        <v/>
      </c>
      <c r="O1225" s="10" t="str">
        <f t="shared" si="225"/>
        <v/>
      </c>
      <c r="P1225" s="12" t="str">
        <f t="shared" si="226"/>
        <v/>
      </c>
      <c r="Q1225" s="10" t="str">
        <f t="shared" si="227"/>
        <v/>
      </c>
      <c r="R1225" s="13" t="str">
        <f t="shared" si="228"/>
        <v/>
      </c>
      <c r="S1225" s="13" t="str">
        <f t="shared" si="229"/>
        <v/>
      </c>
      <c r="T1225" s="22" t="str">
        <f>IF(R1225&lt;&gt;"",VLOOKUP(P1225,Constants!$D$3:$E$10,2),"")</f>
        <v/>
      </c>
    </row>
    <row r="1226" spans="12:20" x14ac:dyDescent="0.25">
      <c r="L1226" s="10" t="str">
        <f t="shared" si="222"/>
        <v/>
      </c>
      <c r="M1226" s="10" t="str">
        <f t="shared" si="223"/>
        <v/>
      </c>
      <c r="N1226" s="11" t="str">
        <f t="shared" si="224"/>
        <v/>
      </c>
      <c r="O1226" s="10" t="str">
        <f t="shared" si="225"/>
        <v/>
      </c>
      <c r="P1226" s="12" t="str">
        <f t="shared" si="226"/>
        <v/>
      </c>
      <c r="Q1226" s="10" t="str">
        <f t="shared" si="227"/>
        <v/>
      </c>
      <c r="R1226" s="13" t="str">
        <f t="shared" si="228"/>
        <v/>
      </c>
      <c r="S1226" s="13" t="str">
        <f t="shared" si="229"/>
        <v/>
      </c>
      <c r="T1226" s="22" t="str">
        <f>IF(R1226&lt;&gt;"",VLOOKUP(P1226,Constants!$D$3:$E$10,2),"")</f>
        <v/>
      </c>
    </row>
    <row r="1227" spans="12:20" x14ac:dyDescent="0.25">
      <c r="L1227" s="10" t="str">
        <f t="shared" si="222"/>
        <v/>
      </c>
      <c r="M1227" s="10" t="str">
        <f t="shared" si="223"/>
        <v/>
      </c>
      <c r="N1227" s="11" t="str">
        <f t="shared" si="224"/>
        <v/>
      </c>
      <c r="O1227" s="10" t="str">
        <f t="shared" si="225"/>
        <v/>
      </c>
      <c r="P1227" s="12" t="str">
        <f t="shared" si="226"/>
        <v/>
      </c>
      <c r="Q1227" s="10" t="str">
        <f t="shared" si="227"/>
        <v/>
      </c>
      <c r="R1227" s="13" t="str">
        <f t="shared" si="228"/>
        <v/>
      </c>
      <c r="S1227" s="13" t="str">
        <f t="shared" si="229"/>
        <v/>
      </c>
      <c r="T1227" s="22" t="str">
        <f>IF(R1227&lt;&gt;"",VLOOKUP(P1227,Constants!$D$3:$E$10,2),"")</f>
        <v/>
      </c>
    </row>
    <row r="1228" spans="12:20" x14ac:dyDescent="0.25">
      <c r="L1228" s="10" t="str">
        <f t="shared" si="222"/>
        <v/>
      </c>
      <c r="M1228" s="10" t="str">
        <f t="shared" si="223"/>
        <v/>
      </c>
      <c r="N1228" s="11" t="str">
        <f t="shared" si="224"/>
        <v/>
      </c>
      <c r="O1228" s="10" t="str">
        <f t="shared" si="225"/>
        <v/>
      </c>
      <c r="P1228" s="12" t="str">
        <f t="shared" si="226"/>
        <v/>
      </c>
      <c r="Q1228" s="10" t="str">
        <f t="shared" si="227"/>
        <v/>
      </c>
      <c r="R1228" s="13" t="str">
        <f t="shared" si="228"/>
        <v/>
      </c>
      <c r="S1228" s="13" t="str">
        <f t="shared" si="229"/>
        <v/>
      </c>
      <c r="T1228" s="22" t="str">
        <f>IF(R1228&lt;&gt;"",VLOOKUP(P1228,Constants!$D$3:$E$10,2),"")</f>
        <v/>
      </c>
    </row>
    <row r="1229" spans="12:20" x14ac:dyDescent="0.25">
      <c r="L1229" s="10" t="str">
        <f t="shared" si="222"/>
        <v/>
      </c>
      <c r="M1229" s="10" t="str">
        <f t="shared" si="223"/>
        <v/>
      </c>
      <c r="N1229" s="11" t="str">
        <f t="shared" si="224"/>
        <v/>
      </c>
      <c r="O1229" s="10" t="str">
        <f t="shared" si="225"/>
        <v/>
      </c>
      <c r="P1229" s="12" t="str">
        <f t="shared" si="226"/>
        <v/>
      </c>
      <c r="Q1229" s="10" t="str">
        <f t="shared" si="227"/>
        <v/>
      </c>
      <c r="R1229" s="13" t="str">
        <f t="shared" si="228"/>
        <v/>
      </c>
      <c r="S1229" s="13" t="str">
        <f t="shared" si="229"/>
        <v/>
      </c>
      <c r="T1229" s="22" t="str">
        <f>IF(R1229&lt;&gt;"",VLOOKUP(P1229,Constants!$D$3:$E$10,2),"")</f>
        <v/>
      </c>
    </row>
    <row r="1230" spans="12:20" x14ac:dyDescent="0.25">
      <c r="L1230" s="10" t="str">
        <f t="shared" si="222"/>
        <v/>
      </c>
      <c r="M1230" s="10" t="str">
        <f t="shared" si="223"/>
        <v/>
      </c>
      <c r="N1230" s="11" t="str">
        <f t="shared" si="224"/>
        <v/>
      </c>
      <c r="O1230" s="10" t="str">
        <f t="shared" si="225"/>
        <v/>
      </c>
      <c r="P1230" s="12" t="str">
        <f t="shared" si="226"/>
        <v/>
      </c>
      <c r="Q1230" s="10" t="str">
        <f t="shared" si="227"/>
        <v/>
      </c>
      <c r="R1230" s="13" t="str">
        <f t="shared" si="228"/>
        <v/>
      </c>
      <c r="S1230" s="13" t="str">
        <f t="shared" si="229"/>
        <v/>
      </c>
      <c r="T1230" s="22" t="str">
        <f>IF(R1230&lt;&gt;"",VLOOKUP(P1230,Constants!$D$3:$E$10,2),"")</f>
        <v/>
      </c>
    </row>
    <row r="1231" spans="12:20" x14ac:dyDescent="0.25">
      <c r="L1231" s="10" t="str">
        <f t="shared" si="222"/>
        <v/>
      </c>
      <c r="M1231" s="10" t="str">
        <f t="shared" si="223"/>
        <v/>
      </c>
      <c r="N1231" s="11" t="str">
        <f t="shared" si="224"/>
        <v/>
      </c>
      <c r="O1231" s="10" t="str">
        <f t="shared" si="225"/>
        <v/>
      </c>
      <c r="P1231" s="12" t="str">
        <f t="shared" si="226"/>
        <v/>
      </c>
      <c r="Q1231" s="10" t="str">
        <f t="shared" si="227"/>
        <v/>
      </c>
      <c r="R1231" s="13" t="str">
        <f t="shared" si="228"/>
        <v/>
      </c>
      <c r="S1231" s="13" t="str">
        <f t="shared" si="229"/>
        <v/>
      </c>
      <c r="T1231" s="22" t="str">
        <f>IF(R1231&lt;&gt;"",VLOOKUP(P1231,Constants!$D$3:$E$10,2),"")</f>
        <v/>
      </c>
    </row>
    <row r="1232" spans="12:20" x14ac:dyDescent="0.25">
      <c r="L1232" s="10" t="str">
        <f t="shared" si="222"/>
        <v/>
      </c>
      <c r="M1232" s="10" t="str">
        <f t="shared" si="223"/>
        <v/>
      </c>
      <c r="N1232" s="11" t="str">
        <f t="shared" si="224"/>
        <v/>
      </c>
      <c r="O1232" s="10" t="str">
        <f t="shared" si="225"/>
        <v/>
      </c>
      <c r="P1232" s="12" t="str">
        <f t="shared" si="226"/>
        <v/>
      </c>
      <c r="Q1232" s="10" t="str">
        <f t="shared" si="227"/>
        <v/>
      </c>
      <c r="R1232" s="13" t="str">
        <f t="shared" si="228"/>
        <v/>
      </c>
      <c r="S1232" s="13" t="str">
        <f t="shared" si="229"/>
        <v/>
      </c>
      <c r="T1232" s="22" t="str">
        <f>IF(R1232&lt;&gt;"",VLOOKUP(P1232,Constants!$D$3:$E$10,2),"")</f>
        <v/>
      </c>
    </row>
    <row r="1233" spans="12:20" x14ac:dyDescent="0.25">
      <c r="L1233" s="10" t="str">
        <f t="shared" si="222"/>
        <v/>
      </c>
      <c r="M1233" s="10" t="str">
        <f t="shared" si="223"/>
        <v/>
      </c>
      <c r="N1233" s="11" t="str">
        <f t="shared" si="224"/>
        <v/>
      </c>
      <c r="O1233" s="10" t="str">
        <f t="shared" si="225"/>
        <v/>
      </c>
      <c r="P1233" s="12" t="str">
        <f t="shared" si="226"/>
        <v/>
      </c>
      <c r="Q1233" s="10" t="str">
        <f t="shared" si="227"/>
        <v/>
      </c>
      <c r="R1233" s="13" t="str">
        <f t="shared" si="228"/>
        <v/>
      </c>
      <c r="S1233" s="13" t="str">
        <f t="shared" si="229"/>
        <v/>
      </c>
      <c r="T1233" s="22" t="str">
        <f>IF(R1233&lt;&gt;"",VLOOKUP(P1233,Constants!$D$3:$E$10,2),"")</f>
        <v/>
      </c>
    </row>
    <row r="1234" spans="12:20" x14ac:dyDescent="0.25">
      <c r="L1234" s="10" t="str">
        <f t="shared" ref="L1234:L1297" si="230">IF($D1234&lt;&gt;"",$D1234*$E1234/1000,"")</f>
        <v/>
      </c>
      <c r="M1234" s="10" t="str">
        <f t="shared" ref="M1234:M1297" si="231">IF($D1234&lt;&gt;"",$D1234*$F1234/1000,"")</f>
        <v/>
      </c>
      <c r="N1234" s="11" t="str">
        <f t="shared" ref="N1234:N1297" si="232">IF($L1234&lt;&gt;"",SQRT($L1234*$L1234+$M1234*$M1234),"")</f>
        <v/>
      </c>
      <c r="O1234" s="10" t="str">
        <f t="shared" si="225"/>
        <v/>
      </c>
      <c r="P1234" s="12" t="str">
        <f t="shared" si="226"/>
        <v/>
      </c>
      <c r="Q1234" s="10" t="str">
        <f t="shared" si="227"/>
        <v/>
      </c>
      <c r="R1234" s="13" t="str">
        <f t="shared" si="228"/>
        <v/>
      </c>
      <c r="S1234" s="13" t="str">
        <f t="shared" si="229"/>
        <v/>
      </c>
      <c r="T1234" s="22" t="str">
        <f>IF(R1234&lt;&gt;"",VLOOKUP(P1234,Constants!$D$3:$E$10,2),"")</f>
        <v/>
      </c>
    </row>
    <row r="1235" spans="12:20" x14ac:dyDescent="0.25">
      <c r="L1235" s="10" t="str">
        <f t="shared" si="230"/>
        <v/>
      </c>
      <c r="M1235" s="10" t="str">
        <f t="shared" si="231"/>
        <v/>
      </c>
      <c r="N1235" s="11" t="str">
        <f t="shared" si="232"/>
        <v/>
      </c>
      <c r="O1235" s="10" t="str">
        <f t="shared" si="225"/>
        <v/>
      </c>
      <c r="P1235" s="12" t="str">
        <f t="shared" si="226"/>
        <v/>
      </c>
      <c r="Q1235" s="10" t="str">
        <f t="shared" si="227"/>
        <v/>
      </c>
      <c r="R1235" s="13" t="str">
        <f t="shared" si="228"/>
        <v/>
      </c>
      <c r="S1235" s="13" t="str">
        <f t="shared" si="229"/>
        <v/>
      </c>
      <c r="T1235" s="22" t="str">
        <f>IF(R1235&lt;&gt;"",VLOOKUP(P1235,Constants!$D$3:$E$10,2),"")</f>
        <v/>
      </c>
    </row>
    <row r="1236" spans="12:20" x14ac:dyDescent="0.25">
      <c r="L1236" s="10" t="str">
        <f t="shared" si="230"/>
        <v/>
      </c>
      <c r="M1236" s="10" t="str">
        <f t="shared" si="231"/>
        <v/>
      </c>
      <c r="N1236" s="11" t="str">
        <f t="shared" si="232"/>
        <v/>
      </c>
      <c r="O1236" s="10" t="str">
        <f t="shared" ref="O1236:O1299" si="233">IF(D1236&lt;&gt;"",1000/(2*D1236),"")</f>
        <v/>
      </c>
      <c r="P1236" s="12" t="str">
        <f t="shared" ref="P1236:P1299" si="234">IF($N1236&lt;&gt;"",D1236*SQRT(E1236*E1236+F1236*F1236)/16000,"")</f>
        <v/>
      </c>
      <c r="Q1236" s="10" t="str">
        <f t="shared" ref="Q1236:Q1299" si="235">IF(F1236&lt;&gt;"",F1236*E1236/1000000,"")</f>
        <v/>
      </c>
      <c r="R1236" s="13" t="str">
        <f t="shared" ref="R1236:R1299" si="236">IF(G1236&lt;&gt;"",1000/G1236,"")</f>
        <v/>
      </c>
      <c r="S1236" s="13" t="str">
        <f t="shared" ref="S1236:S1299" si="237">IF(R1236&lt;&gt;"",Q1236/R1236*1000,"")</f>
        <v/>
      </c>
      <c r="T1236" s="22" t="str">
        <f>IF(R1236&lt;&gt;"",VLOOKUP(P1236,Constants!$D$3:$E$10,2),"")</f>
        <v/>
      </c>
    </row>
    <row r="1237" spans="12:20" x14ac:dyDescent="0.25">
      <c r="L1237" s="10" t="str">
        <f t="shared" si="230"/>
        <v/>
      </c>
      <c r="M1237" s="10" t="str">
        <f t="shared" si="231"/>
        <v/>
      </c>
      <c r="N1237" s="11" t="str">
        <f t="shared" si="232"/>
        <v/>
      </c>
      <c r="O1237" s="10" t="str">
        <f t="shared" si="233"/>
        <v/>
      </c>
      <c r="P1237" s="12" t="str">
        <f t="shared" si="234"/>
        <v/>
      </c>
      <c r="Q1237" s="10" t="str">
        <f t="shared" si="235"/>
        <v/>
      </c>
      <c r="R1237" s="13" t="str">
        <f t="shared" si="236"/>
        <v/>
      </c>
      <c r="S1237" s="13" t="str">
        <f t="shared" si="237"/>
        <v/>
      </c>
      <c r="T1237" s="22" t="str">
        <f>IF(R1237&lt;&gt;"",VLOOKUP(P1237,Constants!$D$3:$E$10,2),"")</f>
        <v/>
      </c>
    </row>
    <row r="1238" spans="12:20" x14ac:dyDescent="0.25">
      <c r="L1238" s="10" t="str">
        <f t="shared" si="230"/>
        <v/>
      </c>
      <c r="M1238" s="10" t="str">
        <f t="shared" si="231"/>
        <v/>
      </c>
      <c r="N1238" s="11" t="str">
        <f t="shared" si="232"/>
        <v/>
      </c>
      <c r="O1238" s="10" t="str">
        <f t="shared" si="233"/>
        <v/>
      </c>
      <c r="P1238" s="12" t="str">
        <f t="shared" si="234"/>
        <v/>
      </c>
      <c r="Q1238" s="10" t="str">
        <f t="shared" si="235"/>
        <v/>
      </c>
      <c r="R1238" s="13" t="str">
        <f t="shared" si="236"/>
        <v/>
      </c>
      <c r="S1238" s="13" t="str">
        <f t="shared" si="237"/>
        <v/>
      </c>
      <c r="T1238" s="22" t="str">
        <f>IF(R1238&lt;&gt;"",VLOOKUP(P1238,Constants!$D$3:$E$10,2),"")</f>
        <v/>
      </c>
    </row>
    <row r="1239" spans="12:20" x14ac:dyDescent="0.25">
      <c r="L1239" s="10" t="str">
        <f t="shared" si="230"/>
        <v/>
      </c>
      <c r="M1239" s="10" t="str">
        <f t="shared" si="231"/>
        <v/>
      </c>
      <c r="N1239" s="11" t="str">
        <f t="shared" si="232"/>
        <v/>
      </c>
      <c r="O1239" s="10" t="str">
        <f t="shared" si="233"/>
        <v/>
      </c>
      <c r="P1239" s="12" t="str">
        <f t="shared" si="234"/>
        <v/>
      </c>
      <c r="Q1239" s="10" t="str">
        <f t="shared" si="235"/>
        <v/>
      </c>
      <c r="R1239" s="13" t="str">
        <f t="shared" si="236"/>
        <v/>
      </c>
      <c r="S1239" s="13" t="str">
        <f t="shared" si="237"/>
        <v/>
      </c>
      <c r="T1239" s="22" t="str">
        <f>IF(R1239&lt;&gt;"",VLOOKUP(P1239,Constants!$D$3:$E$10,2),"")</f>
        <v/>
      </c>
    </row>
    <row r="1240" spans="12:20" x14ac:dyDescent="0.25">
      <c r="L1240" s="10" t="str">
        <f t="shared" si="230"/>
        <v/>
      </c>
      <c r="M1240" s="10" t="str">
        <f t="shared" si="231"/>
        <v/>
      </c>
      <c r="N1240" s="11" t="str">
        <f t="shared" si="232"/>
        <v/>
      </c>
      <c r="O1240" s="10" t="str">
        <f t="shared" si="233"/>
        <v/>
      </c>
      <c r="P1240" s="12" t="str">
        <f t="shared" si="234"/>
        <v/>
      </c>
      <c r="Q1240" s="10" t="str">
        <f t="shared" si="235"/>
        <v/>
      </c>
      <c r="R1240" s="13" t="str">
        <f t="shared" si="236"/>
        <v/>
      </c>
      <c r="S1240" s="13" t="str">
        <f t="shared" si="237"/>
        <v/>
      </c>
      <c r="T1240" s="22" t="str">
        <f>IF(R1240&lt;&gt;"",VLOOKUP(P1240,Constants!$D$3:$E$10,2),"")</f>
        <v/>
      </c>
    </row>
    <row r="1241" spans="12:20" x14ac:dyDescent="0.25">
      <c r="L1241" s="10" t="str">
        <f t="shared" si="230"/>
        <v/>
      </c>
      <c r="M1241" s="10" t="str">
        <f t="shared" si="231"/>
        <v/>
      </c>
      <c r="N1241" s="11" t="str">
        <f t="shared" si="232"/>
        <v/>
      </c>
      <c r="O1241" s="10" t="str">
        <f t="shared" si="233"/>
        <v/>
      </c>
      <c r="P1241" s="12" t="str">
        <f t="shared" si="234"/>
        <v/>
      </c>
      <c r="Q1241" s="10" t="str">
        <f t="shared" si="235"/>
        <v/>
      </c>
      <c r="R1241" s="13" t="str">
        <f t="shared" si="236"/>
        <v/>
      </c>
      <c r="S1241" s="13" t="str">
        <f t="shared" si="237"/>
        <v/>
      </c>
      <c r="T1241" s="22" t="str">
        <f>IF(R1241&lt;&gt;"",VLOOKUP(P1241,Constants!$D$3:$E$10,2),"")</f>
        <v/>
      </c>
    </row>
    <row r="1242" spans="12:20" x14ac:dyDescent="0.25">
      <c r="L1242" s="10" t="str">
        <f t="shared" si="230"/>
        <v/>
      </c>
      <c r="M1242" s="10" t="str">
        <f t="shared" si="231"/>
        <v/>
      </c>
      <c r="N1242" s="11" t="str">
        <f t="shared" si="232"/>
        <v/>
      </c>
      <c r="O1242" s="10" t="str">
        <f t="shared" si="233"/>
        <v/>
      </c>
      <c r="P1242" s="12" t="str">
        <f t="shared" si="234"/>
        <v/>
      </c>
      <c r="Q1242" s="10" t="str">
        <f t="shared" si="235"/>
        <v/>
      </c>
      <c r="R1242" s="13" t="str">
        <f t="shared" si="236"/>
        <v/>
      </c>
      <c r="S1242" s="13" t="str">
        <f t="shared" si="237"/>
        <v/>
      </c>
      <c r="T1242" s="22" t="str">
        <f>IF(R1242&lt;&gt;"",VLOOKUP(P1242,Constants!$D$3:$E$10,2),"")</f>
        <v/>
      </c>
    </row>
    <row r="1243" spans="12:20" x14ac:dyDescent="0.25">
      <c r="L1243" s="10" t="str">
        <f t="shared" si="230"/>
        <v/>
      </c>
      <c r="M1243" s="10" t="str">
        <f t="shared" si="231"/>
        <v/>
      </c>
      <c r="N1243" s="11" t="str">
        <f t="shared" si="232"/>
        <v/>
      </c>
      <c r="O1243" s="10" t="str">
        <f t="shared" si="233"/>
        <v/>
      </c>
      <c r="P1243" s="12" t="str">
        <f t="shared" si="234"/>
        <v/>
      </c>
      <c r="Q1243" s="10" t="str">
        <f t="shared" si="235"/>
        <v/>
      </c>
      <c r="R1243" s="13" t="str">
        <f t="shared" si="236"/>
        <v/>
      </c>
      <c r="S1243" s="13" t="str">
        <f t="shared" si="237"/>
        <v/>
      </c>
      <c r="T1243" s="22" t="str">
        <f>IF(R1243&lt;&gt;"",VLOOKUP(P1243,Constants!$D$3:$E$10,2),"")</f>
        <v/>
      </c>
    </row>
    <row r="1244" spans="12:20" x14ac:dyDescent="0.25">
      <c r="L1244" s="10" t="str">
        <f t="shared" si="230"/>
        <v/>
      </c>
      <c r="M1244" s="10" t="str">
        <f t="shared" si="231"/>
        <v/>
      </c>
      <c r="N1244" s="11" t="str">
        <f t="shared" si="232"/>
        <v/>
      </c>
      <c r="O1244" s="10" t="str">
        <f t="shared" si="233"/>
        <v/>
      </c>
      <c r="P1244" s="12" t="str">
        <f t="shared" si="234"/>
        <v/>
      </c>
      <c r="Q1244" s="10" t="str">
        <f t="shared" si="235"/>
        <v/>
      </c>
      <c r="R1244" s="13" t="str">
        <f t="shared" si="236"/>
        <v/>
      </c>
      <c r="S1244" s="13" t="str">
        <f t="shared" si="237"/>
        <v/>
      </c>
      <c r="T1244" s="22" t="str">
        <f>IF(R1244&lt;&gt;"",VLOOKUP(P1244,Constants!$D$3:$E$10,2),"")</f>
        <v/>
      </c>
    </row>
    <row r="1245" spans="12:20" x14ac:dyDescent="0.25">
      <c r="L1245" s="10" t="str">
        <f t="shared" si="230"/>
        <v/>
      </c>
      <c r="M1245" s="10" t="str">
        <f t="shared" si="231"/>
        <v/>
      </c>
      <c r="N1245" s="11" t="str">
        <f t="shared" si="232"/>
        <v/>
      </c>
      <c r="O1245" s="10" t="str">
        <f t="shared" si="233"/>
        <v/>
      </c>
      <c r="P1245" s="12" t="str">
        <f t="shared" si="234"/>
        <v/>
      </c>
      <c r="Q1245" s="10" t="str">
        <f t="shared" si="235"/>
        <v/>
      </c>
      <c r="R1245" s="13" t="str">
        <f t="shared" si="236"/>
        <v/>
      </c>
      <c r="S1245" s="13" t="str">
        <f t="shared" si="237"/>
        <v/>
      </c>
      <c r="T1245" s="22" t="str">
        <f>IF(R1245&lt;&gt;"",VLOOKUP(P1245,Constants!$D$3:$E$10,2),"")</f>
        <v/>
      </c>
    </row>
    <row r="1246" spans="12:20" x14ac:dyDescent="0.25">
      <c r="L1246" s="10" t="str">
        <f t="shared" si="230"/>
        <v/>
      </c>
      <c r="M1246" s="10" t="str">
        <f t="shared" si="231"/>
        <v/>
      </c>
      <c r="N1246" s="11" t="str">
        <f t="shared" si="232"/>
        <v/>
      </c>
      <c r="O1246" s="10" t="str">
        <f t="shared" si="233"/>
        <v/>
      </c>
      <c r="P1246" s="12" t="str">
        <f t="shared" si="234"/>
        <v/>
      </c>
      <c r="Q1246" s="10" t="str">
        <f t="shared" si="235"/>
        <v/>
      </c>
      <c r="R1246" s="13" t="str">
        <f t="shared" si="236"/>
        <v/>
      </c>
      <c r="S1246" s="13" t="str">
        <f t="shared" si="237"/>
        <v/>
      </c>
      <c r="T1246" s="22" t="str">
        <f>IF(R1246&lt;&gt;"",VLOOKUP(P1246,Constants!$D$3:$E$10,2),"")</f>
        <v/>
      </c>
    </row>
    <row r="1247" spans="12:20" x14ac:dyDescent="0.25">
      <c r="L1247" s="10" t="str">
        <f t="shared" si="230"/>
        <v/>
      </c>
      <c r="M1247" s="10" t="str">
        <f t="shared" si="231"/>
        <v/>
      </c>
      <c r="N1247" s="11" t="str">
        <f t="shared" si="232"/>
        <v/>
      </c>
      <c r="O1247" s="10" t="str">
        <f t="shared" si="233"/>
        <v/>
      </c>
      <c r="P1247" s="12" t="str">
        <f t="shared" si="234"/>
        <v/>
      </c>
      <c r="Q1247" s="10" t="str">
        <f t="shared" si="235"/>
        <v/>
      </c>
      <c r="R1247" s="13" t="str">
        <f t="shared" si="236"/>
        <v/>
      </c>
      <c r="S1247" s="13" t="str">
        <f t="shared" si="237"/>
        <v/>
      </c>
      <c r="T1247" s="22" t="str">
        <f>IF(R1247&lt;&gt;"",VLOOKUP(P1247,Constants!$D$3:$E$10,2),"")</f>
        <v/>
      </c>
    </row>
    <row r="1248" spans="12:20" x14ac:dyDescent="0.25">
      <c r="L1248" s="10" t="str">
        <f t="shared" si="230"/>
        <v/>
      </c>
      <c r="M1248" s="10" t="str">
        <f t="shared" si="231"/>
        <v/>
      </c>
      <c r="N1248" s="11" t="str">
        <f t="shared" si="232"/>
        <v/>
      </c>
      <c r="O1248" s="10" t="str">
        <f t="shared" si="233"/>
        <v/>
      </c>
      <c r="P1248" s="12" t="str">
        <f t="shared" si="234"/>
        <v/>
      </c>
      <c r="Q1248" s="10" t="str">
        <f t="shared" si="235"/>
        <v/>
      </c>
      <c r="R1248" s="13" t="str">
        <f t="shared" si="236"/>
        <v/>
      </c>
      <c r="S1248" s="13" t="str">
        <f t="shared" si="237"/>
        <v/>
      </c>
      <c r="T1248" s="22" t="str">
        <f>IF(R1248&lt;&gt;"",VLOOKUP(P1248,Constants!$D$3:$E$10,2),"")</f>
        <v/>
      </c>
    </row>
    <row r="1249" spans="12:20" x14ac:dyDescent="0.25">
      <c r="L1249" s="10" t="str">
        <f t="shared" si="230"/>
        <v/>
      </c>
      <c r="M1249" s="10" t="str">
        <f t="shared" si="231"/>
        <v/>
      </c>
      <c r="N1249" s="11" t="str">
        <f t="shared" si="232"/>
        <v/>
      </c>
      <c r="O1249" s="10" t="str">
        <f t="shared" si="233"/>
        <v/>
      </c>
      <c r="P1249" s="12" t="str">
        <f t="shared" si="234"/>
        <v/>
      </c>
      <c r="Q1249" s="10" t="str">
        <f t="shared" si="235"/>
        <v/>
      </c>
      <c r="R1249" s="13" t="str">
        <f t="shared" si="236"/>
        <v/>
      </c>
      <c r="S1249" s="13" t="str">
        <f t="shared" si="237"/>
        <v/>
      </c>
      <c r="T1249" s="22" t="str">
        <f>IF(R1249&lt;&gt;"",VLOOKUP(P1249,Constants!$D$3:$E$10,2),"")</f>
        <v/>
      </c>
    </row>
    <row r="1250" spans="12:20" x14ac:dyDescent="0.25">
      <c r="L1250" s="10" t="str">
        <f t="shared" si="230"/>
        <v/>
      </c>
      <c r="M1250" s="10" t="str">
        <f t="shared" si="231"/>
        <v/>
      </c>
      <c r="N1250" s="11" t="str">
        <f t="shared" si="232"/>
        <v/>
      </c>
      <c r="O1250" s="10" t="str">
        <f t="shared" si="233"/>
        <v/>
      </c>
      <c r="P1250" s="12" t="str">
        <f t="shared" si="234"/>
        <v/>
      </c>
      <c r="Q1250" s="10" t="str">
        <f t="shared" si="235"/>
        <v/>
      </c>
      <c r="R1250" s="13" t="str">
        <f t="shared" si="236"/>
        <v/>
      </c>
      <c r="S1250" s="13" t="str">
        <f t="shared" si="237"/>
        <v/>
      </c>
      <c r="T1250" s="22" t="str">
        <f>IF(R1250&lt;&gt;"",VLOOKUP(P1250,Constants!$D$3:$E$10,2),"")</f>
        <v/>
      </c>
    </row>
    <row r="1251" spans="12:20" x14ac:dyDescent="0.25">
      <c r="L1251" s="10" t="str">
        <f t="shared" si="230"/>
        <v/>
      </c>
      <c r="M1251" s="10" t="str">
        <f t="shared" si="231"/>
        <v/>
      </c>
      <c r="N1251" s="11" t="str">
        <f t="shared" si="232"/>
        <v/>
      </c>
      <c r="O1251" s="10" t="str">
        <f t="shared" si="233"/>
        <v/>
      </c>
      <c r="P1251" s="12" t="str">
        <f t="shared" si="234"/>
        <v/>
      </c>
      <c r="Q1251" s="10" t="str">
        <f t="shared" si="235"/>
        <v/>
      </c>
      <c r="R1251" s="13" t="str">
        <f t="shared" si="236"/>
        <v/>
      </c>
      <c r="S1251" s="13" t="str">
        <f t="shared" si="237"/>
        <v/>
      </c>
      <c r="T1251" s="22" t="str">
        <f>IF(R1251&lt;&gt;"",VLOOKUP(P1251,Constants!$D$3:$E$10,2),"")</f>
        <v/>
      </c>
    </row>
    <row r="1252" spans="12:20" x14ac:dyDescent="0.25">
      <c r="L1252" s="10" t="str">
        <f t="shared" si="230"/>
        <v/>
      </c>
      <c r="M1252" s="10" t="str">
        <f t="shared" si="231"/>
        <v/>
      </c>
      <c r="N1252" s="11" t="str">
        <f t="shared" si="232"/>
        <v/>
      </c>
      <c r="O1252" s="10" t="str">
        <f t="shared" si="233"/>
        <v/>
      </c>
      <c r="P1252" s="12" t="str">
        <f t="shared" si="234"/>
        <v/>
      </c>
      <c r="Q1252" s="10" t="str">
        <f t="shared" si="235"/>
        <v/>
      </c>
      <c r="R1252" s="13" t="str">
        <f t="shared" si="236"/>
        <v/>
      </c>
      <c r="S1252" s="13" t="str">
        <f t="shared" si="237"/>
        <v/>
      </c>
      <c r="T1252" s="22" t="str">
        <f>IF(R1252&lt;&gt;"",VLOOKUP(P1252,Constants!$D$3:$E$10,2),"")</f>
        <v/>
      </c>
    </row>
    <row r="1253" spans="12:20" x14ac:dyDescent="0.25">
      <c r="L1253" s="10" t="str">
        <f t="shared" si="230"/>
        <v/>
      </c>
      <c r="M1253" s="10" t="str">
        <f t="shared" si="231"/>
        <v/>
      </c>
      <c r="N1253" s="11" t="str">
        <f t="shared" si="232"/>
        <v/>
      </c>
      <c r="O1253" s="10" t="str">
        <f t="shared" si="233"/>
        <v/>
      </c>
      <c r="P1253" s="12" t="str">
        <f t="shared" si="234"/>
        <v/>
      </c>
      <c r="Q1253" s="10" t="str">
        <f t="shared" si="235"/>
        <v/>
      </c>
      <c r="R1253" s="13" t="str">
        <f t="shared" si="236"/>
        <v/>
      </c>
      <c r="S1253" s="13" t="str">
        <f t="shared" si="237"/>
        <v/>
      </c>
      <c r="T1253" s="22" t="str">
        <f>IF(R1253&lt;&gt;"",VLOOKUP(P1253,Constants!$D$3:$E$10,2),"")</f>
        <v/>
      </c>
    </row>
    <row r="1254" spans="12:20" x14ac:dyDescent="0.25">
      <c r="L1254" s="10" t="str">
        <f t="shared" si="230"/>
        <v/>
      </c>
      <c r="M1254" s="10" t="str">
        <f t="shared" si="231"/>
        <v/>
      </c>
      <c r="N1254" s="11" t="str">
        <f t="shared" si="232"/>
        <v/>
      </c>
      <c r="O1254" s="10" t="str">
        <f t="shared" si="233"/>
        <v/>
      </c>
      <c r="P1254" s="12" t="str">
        <f t="shared" si="234"/>
        <v/>
      </c>
      <c r="Q1254" s="10" t="str">
        <f t="shared" si="235"/>
        <v/>
      </c>
      <c r="R1254" s="13" t="str">
        <f t="shared" si="236"/>
        <v/>
      </c>
      <c r="S1254" s="13" t="str">
        <f t="shared" si="237"/>
        <v/>
      </c>
      <c r="T1254" s="22" t="str">
        <f>IF(R1254&lt;&gt;"",VLOOKUP(P1254,Constants!$D$3:$E$10,2),"")</f>
        <v/>
      </c>
    </row>
    <row r="1255" spans="12:20" x14ac:dyDescent="0.25">
      <c r="L1255" s="10" t="str">
        <f t="shared" si="230"/>
        <v/>
      </c>
      <c r="M1255" s="10" t="str">
        <f t="shared" si="231"/>
        <v/>
      </c>
      <c r="N1255" s="11" t="str">
        <f t="shared" si="232"/>
        <v/>
      </c>
      <c r="O1255" s="10" t="str">
        <f t="shared" si="233"/>
        <v/>
      </c>
      <c r="P1255" s="12" t="str">
        <f t="shared" si="234"/>
        <v/>
      </c>
      <c r="Q1255" s="10" t="str">
        <f t="shared" si="235"/>
        <v/>
      </c>
      <c r="R1255" s="13" t="str">
        <f t="shared" si="236"/>
        <v/>
      </c>
      <c r="S1255" s="13" t="str">
        <f t="shared" si="237"/>
        <v/>
      </c>
      <c r="T1255" s="22" t="str">
        <f>IF(R1255&lt;&gt;"",VLOOKUP(P1255,Constants!$D$3:$E$10,2),"")</f>
        <v/>
      </c>
    </row>
    <row r="1256" spans="12:20" x14ac:dyDescent="0.25">
      <c r="L1256" s="10" t="str">
        <f t="shared" si="230"/>
        <v/>
      </c>
      <c r="M1256" s="10" t="str">
        <f t="shared" si="231"/>
        <v/>
      </c>
      <c r="N1256" s="11" t="str">
        <f t="shared" si="232"/>
        <v/>
      </c>
      <c r="O1256" s="10" t="str">
        <f t="shared" si="233"/>
        <v/>
      </c>
      <c r="P1256" s="12" t="str">
        <f t="shared" si="234"/>
        <v/>
      </c>
      <c r="Q1256" s="10" t="str">
        <f t="shared" si="235"/>
        <v/>
      </c>
      <c r="R1256" s="13" t="str">
        <f t="shared" si="236"/>
        <v/>
      </c>
      <c r="S1256" s="13" t="str">
        <f t="shared" si="237"/>
        <v/>
      </c>
      <c r="T1256" s="22" t="str">
        <f>IF(R1256&lt;&gt;"",VLOOKUP(P1256,Constants!$D$3:$E$10,2),"")</f>
        <v/>
      </c>
    </row>
    <row r="1257" spans="12:20" x14ac:dyDescent="0.25">
      <c r="L1257" s="10" t="str">
        <f t="shared" si="230"/>
        <v/>
      </c>
      <c r="M1257" s="10" t="str">
        <f t="shared" si="231"/>
        <v/>
      </c>
      <c r="N1257" s="11" t="str">
        <f t="shared" si="232"/>
        <v/>
      </c>
      <c r="O1257" s="10" t="str">
        <f t="shared" si="233"/>
        <v/>
      </c>
      <c r="P1257" s="12" t="str">
        <f t="shared" si="234"/>
        <v/>
      </c>
      <c r="Q1257" s="10" t="str">
        <f t="shared" si="235"/>
        <v/>
      </c>
      <c r="R1257" s="13" t="str">
        <f t="shared" si="236"/>
        <v/>
      </c>
      <c r="S1257" s="13" t="str">
        <f t="shared" si="237"/>
        <v/>
      </c>
      <c r="T1257" s="22" t="str">
        <f>IF(R1257&lt;&gt;"",VLOOKUP(P1257,Constants!$D$3:$E$10,2),"")</f>
        <v/>
      </c>
    </row>
    <row r="1258" spans="12:20" x14ac:dyDescent="0.25">
      <c r="L1258" s="10" t="str">
        <f t="shared" si="230"/>
        <v/>
      </c>
      <c r="M1258" s="10" t="str">
        <f t="shared" si="231"/>
        <v/>
      </c>
      <c r="N1258" s="11" t="str">
        <f t="shared" si="232"/>
        <v/>
      </c>
      <c r="O1258" s="10" t="str">
        <f t="shared" si="233"/>
        <v/>
      </c>
      <c r="P1258" s="12" t="str">
        <f t="shared" si="234"/>
        <v/>
      </c>
      <c r="Q1258" s="10" t="str">
        <f t="shared" si="235"/>
        <v/>
      </c>
      <c r="R1258" s="13" t="str">
        <f t="shared" si="236"/>
        <v/>
      </c>
      <c r="S1258" s="13" t="str">
        <f t="shared" si="237"/>
        <v/>
      </c>
      <c r="T1258" s="22" t="str">
        <f>IF(R1258&lt;&gt;"",VLOOKUP(P1258,Constants!$D$3:$E$10,2),"")</f>
        <v/>
      </c>
    </row>
    <row r="1259" spans="12:20" x14ac:dyDescent="0.25">
      <c r="L1259" s="10" t="str">
        <f t="shared" si="230"/>
        <v/>
      </c>
      <c r="M1259" s="10" t="str">
        <f t="shared" si="231"/>
        <v/>
      </c>
      <c r="N1259" s="11" t="str">
        <f t="shared" si="232"/>
        <v/>
      </c>
      <c r="O1259" s="10" t="str">
        <f t="shared" si="233"/>
        <v/>
      </c>
      <c r="P1259" s="12" t="str">
        <f t="shared" si="234"/>
        <v/>
      </c>
      <c r="Q1259" s="10" t="str">
        <f t="shared" si="235"/>
        <v/>
      </c>
      <c r="R1259" s="13" t="str">
        <f t="shared" si="236"/>
        <v/>
      </c>
      <c r="S1259" s="13" t="str">
        <f t="shared" si="237"/>
        <v/>
      </c>
      <c r="T1259" s="22" t="str">
        <f>IF(R1259&lt;&gt;"",VLOOKUP(P1259,Constants!$D$3:$E$10,2),"")</f>
        <v/>
      </c>
    </row>
    <row r="1260" spans="12:20" x14ac:dyDescent="0.25">
      <c r="L1260" s="10" t="str">
        <f t="shared" si="230"/>
        <v/>
      </c>
      <c r="M1260" s="10" t="str">
        <f t="shared" si="231"/>
        <v/>
      </c>
      <c r="N1260" s="11" t="str">
        <f t="shared" si="232"/>
        <v/>
      </c>
      <c r="O1260" s="10" t="str">
        <f t="shared" si="233"/>
        <v/>
      </c>
      <c r="P1260" s="12" t="str">
        <f t="shared" si="234"/>
        <v/>
      </c>
      <c r="Q1260" s="10" t="str">
        <f t="shared" si="235"/>
        <v/>
      </c>
      <c r="R1260" s="13" t="str">
        <f t="shared" si="236"/>
        <v/>
      </c>
      <c r="S1260" s="13" t="str">
        <f t="shared" si="237"/>
        <v/>
      </c>
      <c r="T1260" s="22" t="str">
        <f>IF(R1260&lt;&gt;"",VLOOKUP(P1260,Constants!$D$3:$E$10,2),"")</f>
        <v/>
      </c>
    </row>
    <row r="1261" spans="12:20" x14ac:dyDescent="0.25">
      <c r="L1261" s="10" t="str">
        <f t="shared" si="230"/>
        <v/>
      </c>
      <c r="M1261" s="10" t="str">
        <f t="shared" si="231"/>
        <v/>
      </c>
      <c r="N1261" s="11" t="str">
        <f t="shared" si="232"/>
        <v/>
      </c>
      <c r="O1261" s="10" t="str">
        <f t="shared" si="233"/>
        <v/>
      </c>
      <c r="P1261" s="12" t="str">
        <f t="shared" si="234"/>
        <v/>
      </c>
      <c r="Q1261" s="10" t="str">
        <f t="shared" si="235"/>
        <v/>
      </c>
      <c r="R1261" s="13" t="str">
        <f t="shared" si="236"/>
        <v/>
      </c>
      <c r="S1261" s="13" t="str">
        <f t="shared" si="237"/>
        <v/>
      </c>
      <c r="T1261" s="22" t="str">
        <f>IF(R1261&lt;&gt;"",VLOOKUP(P1261,Constants!$D$3:$E$10,2),"")</f>
        <v/>
      </c>
    </row>
    <row r="1262" spans="12:20" x14ac:dyDescent="0.25">
      <c r="L1262" s="10" t="str">
        <f t="shared" si="230"/>
        <v/>
      </c>
      <c r="M1262" s="10" t="str">
        <f t="shared" si="231"/>
        <v/>
      </c>
      <c r="N1262" s="11" t="str">
        <f t="shared" si="232"/>
        <v/>
      </c>
      <c r="O1262" s="10" t="str">
        <f t="shared" si="233"/>
        <v/>
      </c>
      <c r="P1262" s="12" t="str">
        <f t="shared" si="234"/>
        <v/>
      </c>
      <c r="Q1262" s="10" t="str">
        <f t="shared" si="235"/>
        <v/>
      </c>
      <c r="R1262" s="13" t="str">
        <f t="shared" si="236"/>
        <v/>
      </c>
      <c r="S1262" s="13" t="str">
        <f t="shared" si="237"/>
        <v/>
      </c>
      <c r="T1262" s="22" t="str">
        <f>IF(R1262&lt;&gt;"",VLOOKUP(P1262,Constants!$D$3:$E$10,2),"")</f>
        <v/>
      </c>
    </row>
    <row r="1263" spans="12:20" x14ac:dyDescent="0.25">
      <c r="L1263" s="10" t="str">
        <f t="shared" si="230"/>
        <v/>
      </c>
      <c r="M1263" s="10" t="str">
        <f t="shared" si="231"/>
        <v/>
      </c>
      <c r="N1263" s="11" t="str">
        <f t="shared" si="232"/>
        <v/>
      </c>
      <c r="O1263" s="10" t="str">
        <f t="shared" si="233"/>
        <v/>
      </c>
      <c r="P1263" s="12" t="str">
        <f t="shared" si="234"/>
        <v/>
      </c>
      <c r="Q1263" s="10" t="str">
        <f t="shared" si="235"/>
        <v/>
      </c>
      <c r="R1263" s="13" t="str">
        <f t="shared" si="236"/>
        <v/>
      </c>
      <c r="S1263" s="13" t="str">
        <f t="shared" si="237"/>
        <v/>
      </c>
      <c r="T1263" s="22" t="str">
        <f>IF(R1263&lt;&gt;"",VLOOKUP(P1263,Constants!$D$3:$E$10,2),"")</f>
        <v/>
      </c>
    </row>
    <row r="1264" spans="12:20" x14ac:dyDescent="0.25">
      <c r="L1264" s="10" t="str">
        <f t="shared" si="230"/>
        <v/>
      </c>
      <c r="M1264" s="10" t="str">
        <f t="shared" si="231"/>
        <v/>
      </c>
      <c r="N1264" s="11" t="str">
        <f t="shared" si="232"/>
        <v/>
      </c>
      <c r="O1264" s="10" t="str">
        <f t="shared" si="233"/>
        <v/>
      </c>
      <c r="P1264" s="12" t="str">
        <f t="shared" si="234"/>
        <v/>
      </c>
      <c r="Q1264" s="10" t="str">
        <f t="shared" si="235"/>
        <v/>
      </c>
      <c r="R1264" s="13" t="str">
        <f t="shared" si="236"/>
        <v/>
      </c>
      <c r="S1264" s="13" t="str">
        <f t="shared" si="237"/>
        <v/>
      </c>
      <c r="T1264" s="22" t="str">
        <f>IF(R1264&lt;&gt;"",VLOOKUP(P1264,Constants!$D$3:$E$10,2),"")</f>
        <v/>
      </c>
    </row>
    <row r="1265" spans="12:20" x14ac:dyDescent="0.25">
      <c r="L1265" s="10" t="str">
        <f t="shared" si="230"/>
        <v/>
      </c>
      <c r="M1265" s="10" t="str">
        <f t="shared" si="231"/>
        <v/>
      </c>
      <c r="N1265" s="11" t="str">
        <f t="shared" si="232"/>
        <v/>
      </c>
      <c r="O1265" s="10" t="str">
        <f t="shared" si="233"/>
        <v/>
      </c>
      <c r="P1265" s="12" t="str">
        <f t="shared" si="234"/>
        <v/>
      </c>
      <c r="Q1265" s="10" t="str">
        <f t="shared" si="235"/>
        <v/>
      </c>
      <c r="R1265" s="13" t="str">
        <f t="shared" si="236"/>
        <v/>
      </c>
      <c r="S1265" s="13" t="str">
        <f t="shared" si="237"/>
        <v/>
      </c>
      <c r="T1265" s="22" t="str">
        <f>IF(R1265&lt;&gt;"",VLOOKUP(P1265,Constants!$D$3:$E$10,2),"")</f>
        <v/>
      </c>
    </row>
    <row r="1266" spans="12:20" x14ac:dyDescent="0.25">
      <c r="L1266" s="10" t="str">
        <f t="shared" si="230"/>
        <v/>
      </c>
      <c r="M1266" s="10" t="str">
        <f t="shared" si="231"/>
        <v/>
      </c>
      <c r="N1266" s="11" t="str">
        <f t="shared" si="232"/>
        <v/>
      </c>
      <c r="O1266" s="10" t="str">
        <f t="shared" si="233"/>
        <v/>
      </c>
      <c r="P1266" s="12" t="str">
        <f t="shared" si="234"/>
        <v/>
      </c>
      <c r="Q1266" s="10" t="str">
        <f t="shared" si="235"/>
        <v/>
      </c>
      <c r="R1266" s="13" t="str">
        <f t="shared" si="236"/>
        <v/>
      </c>
      <c r="S1266" s="13" t="str">
        <f t="shared" si="237"/>
        <v/>
      </c>
      <c r="T1266" s="22" t="str">
        <f>IF(R1266&lt;&gt;"",VLOOKUP(P1266,Constants!$D$3:$E$10,2),"")</f>
        <v/>
      </c>
    </row>
    <row r="1267" spans="12:20" x14ac:dyDescent="0.25">
      <c r="L1267" s="10" t="str">
        <f t="shared" si="230"/>
        <v/>
      </c>
      <c r="M1267" s="10" t="str">
        <f t="shared" si="231"/>
        <v/>
      </c>
      <c r="N1267" s="11" t="str">
        <f t="shared" si="232"/>
        <v/>
      </c>
      <c r="O1267" s="10" t="str">
        <f t="shared" si="233"/>
        <v/>
      </c>
      <c r="P1267" s="12" t="str">
        <f t="shared" si="234"/>
        <v/>
      </c>
      <c r="Q1267" s="10" t="str">
        <f t="shared" si="235"/>
        <v/>
      </c>
      <c r="R1267" s="13" t="str">
        <f t="shared" si="236"/>
        <v/>
      </c>
      <c r="S1267" s="13" t="str">
        <f t="shared" si="237"/>
        <v/>
      </c>
      <c r="T1267" s="22" t="str">
        <f>IF(R1267&lt;&gt;"",VLOOKUP(P1267,Constants!$D$3:$E$10,2),"")</f>
        <v/>
      </c>
    </row>
    <row r="1268" spans="12:20" x14ac:dyDescent="0.25">
      <c r="L1268" s="10" t="str">
        <f t="shared" si="230"/>
        <v/>
      </c>
      <c r="M1268" s="10" t="str">
        <f t="shared" si="231"/>
        <v/>
      </c>
      <c r="N1268" s="11" t="str">
        <f t="shared" si="232"/>
        <v/>
      </c>
      <c r="O1268" s="10" t="str">
        <f t="shared" si="233"/>
        <v/>
      </c>
      <c r="P1268" s="12" t="str">
        <f t="shared" si="234"/>
        <v/>
      </c>
      <c r="Q1268" s="10" t="str">
        <f t="shared" si="235"/>
        <v/>
      </c>
      <c r="R1268" s="13" t="str">
        <f t="shared" si="236"/>
        <v/>
      </c>
      <c r="S1268" s="13" t="str">
        <f t="shared" si="237"/>
        <v/>
      </c>
      <c r="T1268" s="22" t="str">
        <f>IF(R1268&lt;&gt;"",VLOOKUP(P1268,Constants!$D$3:$E$10,2),"")</f>
        <v/>
      </c>
    </row>
    <row r="1269" spans="12:20" x14ac:dyDescent="0.25">
      <c r="L1269" s="10" t="str">
        <f t="shared" si="230"/>
        <v/>
      </c>
      <c r="M1269" s="10" t="str">
        <f t="shared" si="231"/>
        <v/>
      </c>
      <c r="N1269" s="11" t="str">
        <f t="shared" si="232"/>
        <v/>
      </c>
      <c r="O1269" s="10" t="str">
        <f t="shared" si="233"/>
        <v/>
      </c>
      <c r="P1269" s="12" t="str">
        <f t="shared" si="234"/>
        <v/>
      </c>
      <c r="Q1269" s="10" t="str">
        <f t="shared" si="235"/>
        <v/>
      </c>
      <c r="R1269" s="13" t="str">
        <f t="shared" si="236"/>
        <v/>
      </c>
      <c r="S1269" s="13" t="str">
        <f t="shared" si="237"/>
        <v/>
      </c>
      <c r="T1269" s="22" t="str">
        <f>IF(R1269&lt;&gt;"",VLOOKUP(P1269,Constants!$D$3:$E$10,2),"")</f>
        <v/>
      </c>
    </row>
    <row r="1270" spans="12:20" x14ac:dyDescent="0.25">
      <c r="L1270" s="10" t="str">
        <f t="shared" si="230"/>
        <v/>
      </c>
      <c r="M1270" s="10" t="str">
        <f t="shared" si="231"/>
        <v/>
      </c>
      <c r="N1270" s="11" t="str">
        <f t="shared" si="232"/>
        <v/>
      </c>
      <c r="O1270" s="10" t="str">
        <f t="shared" si="233"/>
        <v/>
      </c>
      <c r="P1270" s="12" t="str">
        <f t="shared" si="234"/>
        <v/>
      </c>
      <c r="Q1270" s="10" t="str">
        <f t="shared" si="235"/>
        <v/>
      </c>
      <c r="R1270" s="13" t="str">
        <f t="shared" si="236"/>
        <v/>
      </c>
      <c r="S1270" s="13" t="str">
        <f t="shared" si="237"/>
        <v/>
      </c>
      <c r="T1270" s="22" t="str">
        <f>IF(R1270&lt;&gt;"",VLOOKUP(P1270,Constants!$D$3:$E$10,2),"")</f>
        <v/>
      </c>
    </row>
    <row r="1271" spans="12:20" x14ac:dyDescent="0.25">
      <c r="L1271" s="10" t="str">
        <f t="shared" si="230"/>
        <v/>
      </c>
      <c r="M1271" s="10" t="str">
        <f t="shared" si="231"/>
        <v/>
      </c>
      <c r="N1271" s="11" t="str">
        <f t="shared" si="232"/>
        <v/>
      </c>
      <c r="O1271" s="10" t="str">
        <f t="shared" si="233"/>
        <v/>
      </c>
      <c r="P1271" s="12" t="str">
        <f t="shared" si="234"/>
        <v/>
      </c>
      <c r="Q1271" s="10" t="str">
        <f t="shared" si="235"/>
        <v/>
      </c>
      <c r="R1271" s="13" t="str">
        <f t="shared" si="236"/>
        <v/>
      </c>
      <c r="S1271" s="13" t="str">
        <f t="shared" si="237"/>
        <v/>
      </c>
      <c r="T1271" s="22" t="str">
        <f>IF(R1271&lt;&gt;"",VLOOKUP(P1271,Constants!$D$3:$E$10,2),"")</f>
        <v/>
      </c>
    </row>
    <row r="1272" spans="12:20" x14ac:dyDescent="0.25">
      <c r="L1272" s="10" t="str">
        <f t="shared" si="230"/>
        <v/>
      </c>
      <c r="M1272" s="10" t="str">
        <f t="shared" si="231"/>
        <v/>
      </c>
      <c r="N1272" s="11" t="str">
        <f t="shared" si="232"/>
        <v/>
      </c>
      <c r="O1272" s="10" t="str">
        <f t="shared" si="233"/>
        <v/>
      </c>
      <c r="P1272" s="12" t="str">
        <f t="shared" si="234"/>
        <v/>
      </c>
      <c r="Q1272" s="10" t="str">
        <f t="shared" si="235"/>
        <v/>
      </c>
      <c r="R1272" s="13" t="str">
        <f t="shared" si="236"/>
        <v/>
      </c>
      <c r="S1272" s="13" t="str">
        <f t="shared" si="237"/>
        <v/>
      </c>
      <c r="T1272" s="22" t="str">
        <f>IF(R1272&lt;&gt;"",VLOOKUP(P1272,Constants!$D$3:$E$10,2),"")</f>
        <v/>
      </c>
    </row>
    <row r="1273" spans="12:20" x14ac:dyDescent="0.25">
      <c r="L1273" s="10" t="str">
        <f t="shared" si="230"/>
        <v/>
      </c>
      <c r="M1273" s="10" t="str">
        <f t="shared" si="231"/>
        <v/>
      </c>
      <c r="N1273" s="11" t="str">
        <f t="shared" si="232"/>
        <v/>
      </c>
      <c r="O1273" s="10" t="str">
        <f t="shared" si="233"/>
        <v/>
      </c>
      <c r="P1273" s="12" t="str">
        <f t="shared" si="234"/>
        <v/>
      </c>
      <c r="Q1273" s="10" t="str">
        <f t="shared" si="235"/>
        <v/>
      </c>
      <c r="R1273" s="13" t="str">
        <f t="shared" si="236"/>
        <v/>
      </c>
      <c r="S1273" s="13" t="str">
        <f t="shared" si="237"/>
        <v/>
      </c>
      <c r="T1273" s="22" t="str">
        <f>IF(R1273&lt;&gt;"",VLOOKUP(P1273,Constants!$D$3:$E$10,2),"")</f>
        <v/>
      </c>
    </row>
    <row r="1274" spans="12:20" x14ac:dyDescent="0.25">
      <c r="L1274" s="10" t="str">
        <f t="shared" si="230"/>
        <v/>
      </c>
      <c r="M1274" s="10" t="str">
        <f t="shared" si="231"/>
        <v/>
      </c>
      <c r="N1274" s="11" t="str">
        <f t="shared" si="232"/>
        <v/>
      </c>
      <c r="O1274" s="10" t="str">
        <f t="shared" si="233"/>
        <v/>
      </c>
      <c r="P1274" s="12" t="str">
        <f t="shared" si="234"/>
        <v/>
      </c>
      <c r="Q1274" s="10" t="str">
        <f t="shared" si="235"/>
        <v/>
      </c>
      <c r="R1274" s="13" t="str">
        <f t="shared" si="236"/>
        <v/>
      </c>
      <c r="S1274" s="13" t="str">
        <f t="shared" si="237"/>
        <v/>
      </c>
      <c r="T1274" s="22" t="str">
        <f>IF(R1274&lt;&gt;"",VLOOKUP(P1274,Constants!$D$3:$E$10,2),"")</f>
        <v/>
      </c>
    </row>
    <row r="1275" spans="12:20" x14ac:dyDescent="0.25">
      <c r="L1275" s="10" t="str">
        <f t="shared" si="230"/>
        <v/>
      </c>
      <c r="M1275" s="10" t="str">
        <f t="shared" si="231"/>
        <v/>
      </c>
      <c r="N1275" s="11" t="str">
        <f t="shared" si="232"/>
        <v/>
      </c>
      <c r="O1275" s="10" t="str">
        <f t="shared" si="233"/>
        <v/>
      </c>
      <c r="P1275" s="12" t="str">
        <f t="shared" si="234"/>
        <v/>
      </c>
      <c r="Q1275" s="10" t="str">
        <f t="shared" si="235"/>
        <v/>
      </c>
      <c r="R1275" s="13" t="str">
        <f t="shared" si="236"/>
        <v/>
      </c>
      <c r="S1275" s="13" t="str">
        <f t="shared" si="237"/>
        <v/>
      </c>
      <c r="T1275" s="22" t="str">
        <f>IF(R1275&lt;&gt;"",VLOOKUP(P1275,Constants!$D$3:$E$10,2),"")</f>
        <v/>
      </c>
    </row>
    <row r="1276" spans="12:20" x14ac:dyDescent="0.25">
      <c r="L1276" s="10" t="str">
        <f t="shared" si="230"/>
        <v/>
      </c>
      <c r="M1276" s="10" t="str">
        <f t="shared" si="231"/>
        <v/>
      </c>
      <c r="N1276" s="11" t="str">
        <f t="shared" si="232"/>
        <v/>
      </c>
      <c r="O1276" s="10" t="str">
        <f t="shared" si="233"/>
        <v/>
      </c>
      <c r="P1276" s="12" t="str">
        <f t="shared" si="234"/>
        <v/>
      </c>
      <c r="Q1276" s="10" t="str">
        <f t="shared" si="235"/>
        <v/>
      </c>
      <c r="R1276" s="13" t="str">
        <f t="shared" si="236"/>
        <v/>
      </c>
      <c r="S1276" s="13" t="str">
        <f t="shared" si="237"/>
        <v/>
      </c>
      <c r="T1276" s="22" t="str">
        <f>IF(R1276&lt;&gt;"",VLOOKUP(P1276,Constants!$D$3:$E$10,2),"")</f>
        <v/>
      </c>
    </row>
    <row r="1277" spans="12:20" x14ac:dyDescent="0.25">
      <c r="L1277" s="10" t="str">
        <f t="shared" si="230"/>
        <v/>
      </c>
      <c r="M1277" s="10" t="str">
        <f t="shared" si="231"/>
        <v/>
      </c>
      <c r="N1277" s="11" t="str">
        <f t="shared" si="232"/>
        <v/>
      </c>
      <c r="O1277" s="10" t="str">
        <f t="shared" si="233"/>
        <v/>
      </c>
      <c r="P1277" s="12" t="str">
        <f t="shared" si="234"/>
        <v/>
      </c>
      <c r="Q1277" s="10" t="str">
        <f t="shared" si="235"/>
        <v/>
      </c>
      <c r="R1277" s="13" t="str">
        <f t="shared" si="236"/>
        <v/>
      </c>
      <c r="S1277" s="13" t="str">
        <f t="shared" si="237"/>
        <v/>
      </c>
      <c r="T1277" s="22" t="str">
        <f>IF(R1277&lt;&gt;"",VLOOKUP(P1277,Constants!$D$3:$E$10,2),"")</f>
        <v/>
      </c>
    </row>
    <row r="1278" spans="12:20" x14ac:dyDescent="0.25">
      <c r="L1278" s="10" t="str">
        <f t="shared" si="230"/>
        <v/>
      </c>
      <c r="M1278" s="10" t="str">
        <f t="shared" si="231"/>
        <v/>
      </c>
      <c r="N1278" s="11" t="str">
        <f t="shared" si="232"/>
        <v/>
      </c>
      <c r="O1278" s="10" t="str">
        <f t="shared" si="233"/>
        <v/>
      </c>
      <c r="P1278" s="12" t="str">
        <f t="shared" si="234"/>
        <v/>
      </c>
      <c r="Q1278" s="10" t="str">
        <f t="shared" si="235"/>
        <v/>
      </c>
      <c r="R1278" s="13" t="str">
        <f t="shared" si="236"/>
        <v/>
      </c>
      <c r="S1278" s="13" t="str">
        <f t="shared" si="237"/>
        <v/>
      </c>
      <c r="T1278" s="22" t="str">
        <f>IF(R1278&lt;&gt;"",VLOOKUP(P1278,Constants!$D$3:$E$10,2),"")</f>
        <v/>
      </c>
    </row>
    <row r="1279" spans="12:20" x14ac:dyDescent="0.25">
      <c r="L1279" s="10" t="str">
        <f t="shared" si="230"/>
        <v/>
      </c>
      <c r="M1279" s="10" t="str">
        <f t="shared" si="231"/>
        <v/>
      </c>
      <c r="N1279" s="11" t="str">
        <f t="shared" si="232"/>
        <v/>
      </c>
      <c r="O1279" s="10" t="str">
        <f t="shared" si="233"/>
        <v/>
      </c>
      <c r="P1279" s="12" t="str">
        <f t="shared" si="234"/>
        <v/>
      </c>
      <c r="Q1279" s="10" t="str">
        <f t="shared" si="235"/>
        <v/>
      </c>
      <c r="R1279" s="13" t="str">
        <f t="shared" si="236"/>
        <v/>
      </c>
      <c r="S1279" s="13" t="str">
        <f t="shared" si="237"/>
        <v/>
      </c>
      <c r="T1279" s="22" t="str">
        <f>IF(R1279&lt;&gt;"",VLOOKUP(P1279,Constants!$D$3:$E$10,2),"")</f>
        <v/>
      </c>
    </row>
    <row r="1280" spans="12:20" x14ac:dyDescent="0.25">
      <c r="L1280" s="10" t="str">
        <f t="shared" si="230"/>
        <v/>
      </c>
      <c r="M1280" s="10" t="str">
        <f t="shared" si="231"/>
        <v/>
      </c>
      <c r="N1280" s="11" t="str">
        <f t="shared" si="232"/>
        <v/>
      </c>
      <c r="O1280" s="10" t="str">
        <f t="shared" si="233"/>
        <v/>
      </c>
      <c r="P1280" s="12" t="str">
        <f t="shared" si="234"/>
        <v/>
      </c>
      <c r="Q1280" s="10" t="str">
        <f t="shared" si="235"/>
        <v/>
      </c>
      <c r="R1280" s="13" t="str">
        <f t="shared" si="236"/>
        <v/>
      </c>
      <c r="S1280" s="13" t="str">
        <f t="shared" si="237"/>
        <v/>
      </c>
      <c r="T1280" s="22" t="str">
        <f>IF(R1280&lt;&gt;"",VLOOKUP(P1280,Constants!$D$3:$E$10,2),"")</f>
        <v/>
      </c>
    </row>
    <row r="1281" spans="12:20" x14ac:dyDescent="0.25">
      <c r="L1281" s="10" t="str">
        <f t="shared" si="230"/>
        <v/>
      </c>
      <c r="M1281" s="10" t="str">
        <f t="shared" si="231"/>
        <v/>
      </c>
      <c r="N1281" s="11" t="str">
        <f t="shared" si="232"/>
        <v/>
      </c>
      <c r="O1281" s="10" t="str">
        <f t="shared" si="233"/>
        <v/>
      </c>
      <c r="P1281" s="12" t="str">
        <f t="shared" si="234"/>
        <v/>
      </c>
      <c r="Q1281" s="10" t="str">
        <f t="shared" si="235"/>
        <v/>
      </c>
      <c r="R1281" s="13" t="str">
        <f t="shared" si="236"/>
        <v/>
      </c>
      <c r="S1281" s="13" t="str">
        <f t="shared" si="237"/>
        <v/>
      </c>
      <c r="T1281" s="22" t="str">
        <f>IF(R1281&lt;&gt;"",VLOOKUP(P1281,Constants!$D$3:$E$10,2),"")</f>
        <v/>
      </c>
    </row>
    <row r="1282" spans="12:20" x14ac:dyDescent="0.25">
      <c r="L1282" s="10" t="str">
        <f t="shared" si="230"/>
        <v/>
      </c>
      <c r="M1282" s="10" t="str">
        <f t="shared" si="231"/>
        <v/>
      </c>
      <c r="N1282" s="11" t="str">
        <f t="shared" si="232"/>
        <v/>
      </c>
      <c r="O1282" s="10" t="str">
        <f t="shared" si="233"/>
        <v/>
      </c>
      <c r="P1282" s="12" t="str">
        <f t="shared" si="234"/>
        <v/>
      </c>
      <c r="Q1282" s="10" t="str">
        <f t="shared" si="235"/>
        <v/>
      </c>
      <c r="R1282" s="13" t="str">
        <f t="shared" si="236"/>
        <v/>
      </c>
      <c r="S1282" s="13" t="str">
        <f t="shared" si="237"/>
        <v/>
      </c>
      <c r="T1282" s="22" t="str">
        <f>IF(R1282&lt;&gt;"",VLOOKUP(P1282,Constants!$D$3:$E$10,2),"")</f>
        <v/>
      </c>
    </row>
    <row r="1283" spans="12:20" x14ac:dyDescent="0.25">
      <c r="L1283" s="10" t="str">
        <f t="shared" si="230"/>
        <v/>
      </c>
      <c r="M1283" s="10" t="str">
        <f t="shared" si="231"/>
        <v/>
      </c>
      <c r="N1283" s="11" t="str">
        <f t="shared" si="232"/>
        <v/>
      </c>
      <c r="O1283" s="10" t="str">
        <f t="shared" si="233"/>
        <v/>
      </c>
      <c r="P1283" s="12" t="str">
        <f t="shared" si="234"/>
        <v/>
      </c>
      <c r="Q1283" s="10" t="str">
        <f t="shared" si="235"/>
        <v/>
      </c>
      <c r="R1283" s="13" t="str">
        <f t="shared" si="236"/>
        <v/>
      </c>
      <c r="S1283" s="13" t="str">
        <f t="shared" si="237"/>
        <v/>
      </c>
      <c r="T1283" s="22" t="str">
        <f>IF(R1283&lt;&gt;"",VLOOKUP(P1283,Constants!$D$3:$E$10,2),"")</f>
        <v/>
      </c>
    </row>
    <row r="1284" spans="12:20" x14ac:dyDescent="0.25">
      <c r="L1284" s="10" t="str">
        <f t="shared" si="230"/>
        <v/>
      </c>
      <c r="M1284" s="10" t="str">
        <f t="shared" si="231"/>
        <v/>
      </c>
      <c r="N1284" s="11" t="str">
        <f t="shared" si="232"/>
        <v/>
      </c>
      <c r="O1284" s="10" t="str">
        <f t="shared" si="233"/>
        <v/>
      </c>
      <c r="P1284" s="12" t="str">
        <f t="shared" si="234"/>
        <v/>
      </c>
      <c r="Q1284" s="10" t="str">
        <f t="shared" si="235"/>
        <v/>
      </c>
      <c r="R1284" s="13" t="str">
        <f t="shared" si="236"/>
        <v/>
      </c>
      <c r="S1284" s="13" t="str">
        <f t="shared" si="237"/>
        <v/>
      </c>
      <c r="T1284" s="22" t="str">
        <f>IF(R1284&lt;&gt;"",VLOOKUP(P1284,Constants!$D$3:$E$10,2),"")</f>
        <v/>
      </c>
    </row>
    <row r="1285" spans="12:20" x14ac:dyDescent="0.25">
      <c r="L1285" s="10" t="str">
        <f t="shared" si="230"/>
        <v/>
      </c>
      <c r="M1285" s="10" t="str">
        <f t="shared" si="231"/>
        <v/>
      </c>
      <c r="N1285" s="11" t="str">
        <f t="shared" si="232"/>
        <v/>
      </c>
      <c r="O1285" s="10" t="str">
        <f t="shared" si="233"/>
        <v/>
      </c>
      <c r="P1285" s="12" t="str">
        <f t="shared" si="234"/>
        <v/>
      </c>
      <c r="Q1285" s="10" t="str">
        <f t="shared" si="235"/>
        <v/>
      </c>
      <c r="R1285" s="13" t="str">
        <f t="shared" si="236"/>
        <v/>
      </c>
      <c r="S1285" s="13" t="str">
        <f t="shared" si="237"/>
        <v/>
      </c>
      <c r="T1285" s="22" t="str">
        <f>IF(R1285&lt;&gt;"",VLOOKUP(P1285,Constants!$D$3:$E$10,2),"")</f>
        <v/>
      </c>
    </row>
    <row r="1286" spans="12:20" x14ac:dyDescent="0.25">
      <c r="L1286" s="10" t="str">
        <f t="shared" si="230"/>
        <v/>
      </c>
      <c r="M1286" s="10" t="str">
        <f t="shared" si="231"/>
        <v/>
      </c>
      <c r="N1286" s="11" t="str">
        <f t="shared" si="232"/>
        <v/>
      </c>
      <c r="O1286" s="10" t="str">
        <f t="shared" si="233"/>
        <v/>
      </c>
      <c r="P1286" s="12" t="str">
        <f t="shared" si="234"/>
        <v/>
      </c>
      <c r="Q1286" s="10" t="str">
        <f t="shared" si="235"/>
        <v/>
      </c>
      <c r="R1286" s="13" t="str">
        <f t="shared" si="236"/>
        <v/>
      </c>
      <c r="S1286" s="13" t="str">
        <f t="shared" si="237"/>
        <v/>
      </c>
      <c r="T1286" s="22" t="str">
        <f>IF(R1286&lt;&gt;"",VLOOKUP(P1286,Constants!$D$3:$E$10,2),"")</f>
        <v/>
      </c>
    </row>
    <row r="1287" spans="12:20" x14ac:dyDescent="0.25">
      <c r="L1287" s="10" t="str">
        <f t="shared" si="230"/>
        <v/>
      </c>
      <c r="M1287" s="10" t="str">
        <f t="shared" si="231"/>
        <v/>
      </c>
      <c r="N1287" s="11" t="str">
        <f t="shared" si="232"/>
        <v/>
      </c>
      <c r="O1287" s="10" t="str">
        <f t="shared" si="233"/>
        <v/>
      </c>
      <c r="P1287" s="12" t="str">
        <f t="shared" si="234"/>
        <v/>
      </c>
      <c r="Q1287" s="10" t="str">
        <f t="shared" si="235"/>
        <v/>
      </c>
      <c r="R1287" s="13" t="str">
        <f t="shared" si="236"/>
        <v/>
      </c>
      <c r="S1287" s="13" t="str">
        <f t="shared" si="237"/>
        <v/>
      </c>
      <c r="T1287" s="22" t="str">
        <f>IF(R1287&lt;&gt;"",VLOOKUP(P1287,Constants!$D$3:$E$10,2),"")</f>
        <v/>
      </c>
    </row>
    <row r="1288" spans="12:20" x14ac:dyDescent="0.25">
      <c r="L1288" s="10" t="str">
        <f t="shared" si="230"/>
        <v/>
      </c>
      <c r="M1288" s="10" t="str">
        <f t="shared" si="231"/>
        <v/>
      </c>
      <c r="N1288" s="11" t="str">
        <f t="shared" si="232"/>
        <v/>
      </c>
      <c r="O1288" s="10" t="str">
        <f t="shared" si="233"/>
        <v/>
      </c>
      <c r="P1288" s="12" t="str">
        <f t="shared" si="234"/>
        <v/>
      </c>
      <c r="Q1288" s="10" t="str">
        <f t="shared" si="235"/>
        <v/>
      </c>
      <c r="R1288" s="13" t="str">
        <f t="shared" si="236"/>
        <v/>
      </c>
      <c r="S1288" s="13" t="str">
        <f t="shared" si="237"/>
        <v/>
      </c>
      <c r="T1288" s="22" t="str">
        <f>IF(R1288&lt;&gt;"",VLOOKUP(P1288,Constants!$D$3:$E$10,2),"")</f>
        <v/>
      </c>
    </row>
    <row r="1289" spans="12:20" x14ac:dyDescent="0.25">
      <c r="L1289" s="10" t="str">
        <f t="shared" si="230"/>
        <v/>
      </c>
      <c r="M1289" s="10" t="str">
        <f t="shared" si="231"/>
        <v/>
      </c>
      <c r="N1289" s="11" t="str">
        <f t="shared" si="232"/>
        <v/>
      </c>
      <c r="O1289" s="10" t="str">
        <f t="shared" si="233"/>
        <v/>
      </c>
      <c r="P1289" s="12" t="str">
        <f t="shared" si="234"/>
        <v/>
      </c>
      <c r="Q1289" s="10" t="str">
        <f t="shared" si="235"/>
        <v/>
      </c>
      <c r="R1289" s="13" t="str">
        <f t="shared" si="236"/>
        <v/>
      </c>
      <c r="S1289" s="13" t="str">
        <f t="shared" si="237"/>
        <v/>
      </c>
      <c r="T1289" s="22" t="str">
        <f>IF(R1289&lt;&gt;"",VLOOKUP(P1289,Constants!$D$3:$E$10,2),"")</f>
        <v/>
      </c>
    </row>
    <row r="1290" spans="12:20" x14ac:dyDescent="0.25">
      <c r="L1290" s="10" t="str">
        <f t="shared" si="230"/>
        <v/>
      </c>
      <c r="M1290" s="10" t="str">
        <f t="shared" si="231"/>
        <v/>
      </c>
      <c r="N1290" s="11" t="str">
        <f t="shared" si="232"/>
        <v/>
      </c>
      <c r="O1290" s="10" t="str">
        <f t="shared" si="233"/>
        <v/>
      </c>
      <c r="P1290" s="12" t="str">
        <f t="shared" si="234"/>
        <v/>
      </c>
      <c r="Q1290" s="10" t="str">
        <f t="shared" si="235"/>
        <v/>
      </c>
      <c r="R1290" s="13" t="str">
        <f t="shared" si="236"/>
        <v/>
      </c>
      <c r="S1290" s="13" t="str">
        <f t="shared" si="237"/>
        <v/>
      </c>
      <c r="T1290" s="22" t="str">
        <f>IF(R1290&lt;&gt;"",VLOOKUP(P1290,Constants!$D$3:$E$10,2),"")</f>
        <v/>
      </c>
    </row>
    <row r="1291" spans="12:20" x14ac:dyDescent="0.25">
      <c r="L1291" s="10" t="str">
        <f t="shared" si="230"/>
        <v/>
      </c>
      <c r="M1291" s="10" t="str">
        <f t="shared" si="231"/>
        <v/>
      </c>
      <c r="N1291" s="11" t="str">
        <f t="shared" si="232"/>
        <v/>
      </c>
      <c r="O1291" s="10" t="str">
        <f t="shared" si="233"/>
        <v/>
      </c>
      <c r="P1291" s="12" t="str">
        <f t="shared" si="234"/>
        <v/>
      </c>
      <c r="Q1291" s="10" t="str">
        <f t="shared" si="235"/>
        <v/>
      </c>
      <c r="R1291" s="13" t="str">
        <f t="shared" si="236"/>
        <v/>
      </c>
      <c r="S1291" s="13" t="str">
        <f t="shared" si="237"/>
        <v/>
      </c>
      <c r="T1291" s="22" t="str">
        <f>IF(R1291&lt;&gt;"",VLOOKUP(P1291,Constants!$D$3:$E$10,2),"")</f>
        <v/>
      </c>
    </row>
    <row r="1292" spans="12:20" x14ac:dyDescent="0.25">
      <c r="L1292" s="10" t="str">
        <f t="shared" si="230"/>
        <v/>
      </c>
      <c r="M1292" s="10" t="str">
        <f t="shared" si="231"/>
        <v/>
      </c>
      <c r="N1292" s="11" t="str">
        <f t="shared" si="232"/>
        <v/>
      </c>
      <c r="O1292" s="10" t="str">
        <f t="shared" si="233"/>
        <v/>
      </c>
      <c r="P1292" s="12" t="str">
        <f t="shared" si="234"/>
        <v/>
      </c>
      <c r="Q1292" s="10" t="str">
        <f t="shared" si="235"/>
        <v/>
      </c>
      <c r="R1292" s="13" t="str">
        <f t="shared" si="236"/>
        <v/>
      </c>
      <c r="S1292" s="13" t="str">
        <f t="shared" si="237"/>
        <v/>
      </c>
      <c r="T1292" s="22" t="str">
        <f>IF(R1292&lt;&gt;"",VLOOKUP(P1292,Constants!$D$3:$E$10,2),"")</f>
        <v/>
      </c>
    </row>
    <row r="1293" spans="12:20" x14ac:dyDescent="0.25">
      <c r="L1293" s="10" t="str">
        <f t="shared" si="230"/>
        <v/>
      </c>
      <c r="M1293" s="10" t="str">
        <f t="shared" si="231"/>
        <v/>
      </c>
      <c r="N1293" s="11" t="str">
        <f t="shared" si="232"/>
        <v/>
      </c>
      <c r="O1293" s="10" t="str">
        <f t="shared" si="233"/>
        <v/>
      </c>
      <c r="P1293" s="12" t="str">
        <f t="shared" si="234"/>
        <v/>
      </c>
      <c r="Q1293" s="10" t="str">
        <f t="shared" si="235"/>
        <v/>
      </c>
      <c r="R1293" s="13" t="str">
        <f t="shared" si="236"/>
        <v/>
      </c>
      <c r="S1293" s="13" t="str">
        <f t="shared" si="237"/>
        <v/>
      </c>
      <c r="T1293" s="22" t="str">
        <f>IF(R1293&lt;&gt;"",VLOOKUP(P1293,Constants!$D$3:$E$10,2),"")</f>
        <v/>
      </c>
    </row>
    <row r="1294" spans="12:20" x14ac:dyDescent="0.25">
      <c r="L1294" s="10" t="str">
        <f t="shared" si="230"/>
        <v/>
      </c>
      <c r="M1294" s="10" t="str">
        <f t="shared" si="231"/>
        <v/>
      </c>
      <c r="N1294" s="11" t="str">
        <f t="shared" si="232"/>
        <v/>
      </c>
      <c r="O1294" s="10" t="str">
        <f t="shared" si="233"/>
        <v/>
      </c>
      <c r="P1294" s="12" t="str">
        <f t="shared" si="234"/>
        <v/>
      </c>
      <c r="Q1294" s="10" t="str">
        <f t="shared" si="235"/>
        <v/>
      </c>
      <c r="R1294" s="13" t="str">
        <f t="shared" si="236"/>
        <v/>
      </c>
      <c r="S1294" s="13" t="str">
        <f t="shared" si="237"/>
        <v/>
      </c>
      <c r="T1294" s="22" t="str">
        <f>IF(R1294&lt;&gt;"",VLOOKUP(P1294,Constants!$D$3:$E$10,2),"")</f>
        <v/>
      </c>
    </row>
    <row r="1295" spans="12:20" x14ac:dyDescent="0.25">
      <c r="L1295" s="10" t="str">
        <f t="shared" si="230"/>
        <v/>
      </c>
      <c r="M1295" s="10" t="str">
        <f t="shared" si="231"/>
        <v/>
      </c>
      <c r="N1295" s="11" t="str">
        <f t="shared" si="232"/>
        <v/>
      </c>
      <c r="O1295" s="10" t="str">
        <f t="shared" si="233"/>
        <v/>
      </c>
      <c r="P1295" s="12" t="str">
        <f t="shared" si="234"/>
        <v/>
      </c>
      <c r="Q1295" s="10" t="str">
        <f t="shared" si="235"/>
        <v/>
      </c>
      <c r="R1295" s="13" t="str">
        <f t="shared" si="236"/>
        <v/>
      </c>
      <c r="S1295" s="13" t="str">
        <f t="shared" si="237"/>
        <v/>
      </c>
      <c r="T1295" s="22" t="str">
        <f>IF(R1295&lt;&gt;"",VLOOKUP(P1295,Constants!$D$3:$E$10,2),"")</f>
        <v/>
      </c>
    </row>
    <row r="1296" spans="12:20" x14ac:dyDescent="0.25">
      <c r="L1296" s="10" t="str">
        <f t="shared" si="230"/>
        <v/>
      </c>
      <c r="M1296" s="10" t="str">
        <f t="shared" si="231"/>
        <v/>
      </c>
      <c r="N1296" s="11" t="str">
        <f t="shared" si="232"/>
        <v/>
      </c>
      <c r="O1296" s="10" t="str">
        <f t="shared" si="233"/>
        <v/>
      </c>
      <c r="P1296" s="12" t="str">
        <f t="shared" si="234"/>
        <v/>
      </c>
      <c r="Q1296" s="10" t="str">
        <f t="shared" si="235"/>
        <v/>
      </c>
      <c r="R1296" s="13" t="str">
        <f t="shared" si="236"/>
        <v/>
      </c>
      <c r="S1296" s="13" t="str">
        <f t="shared" si="237"/>
        <v/>
      </c>
      <c r="T1296" s="22" t="str">
        <f>IF(R1296&lt;&gt;"",VLOOKUP(P1296,Constants!$D$3:$E$10,2),"")</f>
        <v/>
      </c>
    </row>
    <row r="1297" spans="12:20" x14ac:dyDescent="0.25">
      <c r="L1297" s="10" t="str">
        <f t="shared" si="230"/>
        <v/>
      </c>
      <c r="M1297" s="10" t="str">
        <f t="shared" si="231"/>
        <v/>
      </c>
      <c r="N1297" s="11" t="str">
        <f t="shared" si="232"/>
        <v/>
      </c>
      <c r="O1297" s="10" t="str">
        <f t="shared" si="233"/>
        <v/>
      </c>
      <c r="P1297" s="12" t="str">
        <f t="shared" si="234"/>
        <v/>
      </c>
      <c r="Q1297" s="10" t="str">
        <f t="shared" si="235"/>
        <v/>
      </c>
      <c r="R1297" s="13" t="str">
        <f t="shared" si="236"/>
        <v/>
      </c>
      <c r="S1297" s="13" t="str">
        <f t="shared" si="237"/>
        <v/>
      </c>
      <c r="T1297" s="22" t="str">
        <f>IF(R1297&lt;&gt;"",VLOOKUP(P1297,Constants!$D$3:$E$10,2),"")</f>
        <v/>
      </c>
    </row>
    <row r="1298" spans="12:20" x14ac:dyDescent="0.25">
      <c r="L1298" s="10" t="str">
        <f t="shared" ref="L1298:L1361" si="238">IF($D1298&lt;&gt;"",$D1298*$E1298/1000,"")</f>
        <v/>
      </c>
      <c r="M1298" s="10" t="str">
        <f t="shared" ref="M1298:M1361" si="239">IF($D1298&lt;&gt;"",$D1298*$F1298/1000,"")</f>
        <v/>
      </c>
      <c r="N1298" s="11" t="str">
        <f t="shared" ref="N1298:N1361" si="240">IF($L1298&lt;&gt;"",SQRT($L1298*$L1298+$M1298*$M1298),"")</f>
        <v/>
      </c>
      <c r="O1298" s="10" t="str">
        <f t="shared" si="233"/>
        <v/>
      </c>
      <c r="P1298" s="12" t="str">
        <f t="shared" si="234"/>
        <v/>
      </c>
      <c r="Q1298" s="10" t="str">
        <f t="shared" si="235"/>
        <v/>
      </c>
      <c r="R1298" s="13" t="str">
        <f t="shared" si="236"/>
        <v/>
      </c>
      <c r="S1298" s="13" t="str">
        <f t="shared" si="237"/>
        <v/>
      </c>
      <c r="T1298" s="22" t="str">
        <f>IF(R1298&lt;&gt;"",VLOOKUP(P1298,Constants!$D$3:$E$10,2),"")</f>
        <v/>
      </c>
    </row>
    <row r="1299" spans="12:20" x14ac:dyDescent="0.25">
      <c r="L1299" s="10" t="str">
        <f t="shared" si="238"/>
        <v/>
      </c>
      <c r="M1299" s="10" t="str">
        <f t="shared" si="239"/>
        <v/>
      </c>
      <c r="N1299" s="11" t="str">
        <f t="shared" si="240"/>
        <v/>
      </c>
      <c r="O1299" s="10" t="str">
        <f t="shared" si="233"/>
        <v/>
      </c>
      <c r="P1299" s="12" t="str">
        <f t="shared" si="234"/>
        <v/>
      </c>
      <c r="Q1299" s="10" t="str">
        <f t="shared" si="235"/>
        <v/>
      </c>
      <c r="R1299" s="13" t="str">
        <f t="shared" si="236"/>
        <v/>
      </c>
      <c r="S1299" s="13" t="str">
        <f t="shared" si="237"/>
        <v/>
      </c>
      <c r="T1299" s="22" t="str">
        <f>IF(R1299&lt;&gt;"",VLOOKUP(P1299,Constants!$D$3:$E$10,2),"")</f>
        <v/>
      </c>
    </row>
    <row r="1300" spans="12:20" x14ac:dyDescent="0.25">
      <c r="L1300" s="10" t="str">
        <f t="shared" si="238"/>
        <v/>
      </c>
      <c r="M1300" s="10" t="str">
        <f t="shared" si="239"/>
        <v/>
      </c>
      <c r="N1300" s="11" t="str">
        <f t="shared" si="240"/>
        <v/>
      </c>
      <c r="O1300" s="10" t="str">
        <f t="shared" ref="O1300:O1363" si="241">IF(D1300&lt;&gt;"",1000/(2*D1300),"")</f>
        <v/>
      </c>
      <c r="P1300" s="12" t="str">
        <f t="shared" ref="P1300:P1363" si="242">IF($N1300&lt;&gt;"",D1300*SQRT(E1300*E1300+F1300*F1300)/16000,"")</f>
        <v/>
      </c>
      <c r="Q1300" s="10" t="str">
        <f t="shared" ref="Q1300:Q1363" si="243">IF(F1300&lt;&gt;"",F1300*E1300/1000000,"")</f>
        <v/>
      </c>
      <c r="R1300" s="13" t="str">
        <f t="shared" ref="R1300:R1363" si="244">IF(G1300&lt;&gt;"",1000/G1300,"")</f>
        <v/>
      </c>
      <c r="S1300" s="13" t="str">
        <f t="shared" ref="S1300:S1363" si="245">IF(R1300&lt;&gt;"",Q1300/R1300*1000,"")</f>
        <v/>
      </c>
      <c r="T1300" s="22" t="str">
        <f>IF(R1300&lt;&gt;"",VLOOKUP(P1300,Constants!$D$3:$E$10,2),"")</f>
        <v/>
      </c>
    </row>
    <row r="1301" spans="12:20" x14ac:dyDescent="0.25">
      <c r="L1301" s="10" t="str">
        <f t="shared" si="238"/>
        <v/>
      </c>
      <c r="M1301" s="10" t="str">
        <f t="shared" si="239"/>
        <v/>
      </c>
      <c r="N1301" s="11" t="str">
        <f t="shared" si="240"/>
        <v/>
      </c>
      <c r="O1301" s="10" t="str">
        <f t="shared" si="241"/>
        <v/>
      </c>
      <c r="P1301" s="12" t="str">
        <f t="shared" si="242"/>
        <v/>
      </c>
      <c r="Q1301" s="10" t="str">
        <f t="shared" si="243"/>
        <v/>
      </c>
      <c r="R1301" s="13" t="str">
        <f t="shared" si="244"/>
        <v/>
      </c>
      <c r="S1301" s="13" t="str">
        <f t="shared" si="245"/>
        <v/>
      </c>
      <c r="T1301" s="22" t="str">
        <f>IF(R1301&lt;&gt;"",VLOOKUP(P1301,Constants!$D$3:$E$10,2),"")</f>
        <v/>
      </c>
    </row>
    <row r="1302" spans="12:20" x14ac:dyDescent="0.25">
      <c r="L1302" s="10" t="str">
        <f t="shared" si="238"/>
        <v/>
      </c>
      <c r="M1302" s="10" t="str">
        <f t="shared" si="239"/>
        <v/>
      </c>
      <c r="N1302" s="11" t="str">
        <f t="shared" si="240"/>
        <v/>
      </c>
      <c r="O1302" s="10" t="str">
        <f t="shared" si="241"/>
        <v/>
      </c>
      <c r="P1302" s="12" t="str">
        <f t="shared" si="242"/>
        <v/>
      </c>
      <c r="Q1302" s="10" t="str">
        <f t="shared" si="243"/>
        <v/>
      </c>
      <c r="R1302" s="13" t="str">
        <f t="shared" si="244"/>
        <v/>
      </c>
      <c r="S1302" s="13" t="str">
        <f t="shared" si="245"/>
        <v/>
      </c>
      <c r="T1302" s="22" t="str">
        <f>IF(R1302&lt;&gt;"",VLOOKUP(P1302,Constants!$D$3:$E$10,2),"")</f>
        <v/>
      </c>
    </row>
    <row r="1303" spans="12:20" x14ac:dyDescent="0.25">
      <c r="L1303" s="10" t="str">
        <f t="shared" si="238"/>
        <v/>
      </c>
      <c r="M1303" s="10" t="str">
        <f t="shared" si="239"/>
        <v/>
      </c>
      <c r="N1303" s="11" t="str">
        <f t="shared" si="240"/>
        <v/>
      </c>
      <c r="O1303" s="10" t="str">
        <f t="shared" si="241"/>
        <v/>
      </c>
      <c r="P1303" s="12" t="str">
        <f t="shared" si="242"/>
        <v/>
      </c>
      <c r="Q1303" s="10" t="str">
        <f t="shared" si="243"/>
        <v/>
      </c>
      <c r="R1303" s="13" t="str">
        <f t="shared" si="244"/>
        <v/>
      </c>
      <c r="S1303" s="13" t="str">
        <f t="shared" si="245"/>
        <v/>
      </c>
      <c r="T1303" s="22" t="str">
        <f>IF(R1303&lt;&gt;"",VLOOKUP(P1303,Constants!$D$3:$E$10,2),"")</f>
        <v/>
      </c>
    </row>
    <row r="1304" spans="12:20" x14ac:dyDescent="0.25">
      <c r="L1304" s="10" t="str">
        <f t="shared" si="238"/>
        <v/>
      </c>
      <c r="M1304" s="10" t="str">
        <f t="shared" si="239"/>
        <v/>
      </c>
      <c r="N1304" s="11" t="str">
        <f t="shared" si="240"/>
        <v/>
      </c>
      <c r="O1304" s="10" t="str">
        <f t="shared" si="241"/>
        <v/>
      </c>
      <c r="P1304" s="12" t="str">
        <f t="shared" si="242"/>
        <v/>
      </c>
      <c r="Q1304" s="10" t="str">
        <f t="shared" si="243"/>
        <v/>
      </c>
      <c r="R1304" s="13" t="str">
        <f t="shared" si="244"/>
        <v/>
      </c>
      <c r="S1304" s="13" t="str">
        <f t="shared" si="245"/>
        <v/>
      </c>
      <c r="T1304" s="22" t="str">
        <f>IF(R1304&lt;&gt;"",VLOOKUP(P1304,Constants!$D$3:$E$10,2),"")</f>
        <v/>
      </c>
    </row>
    <row r="1305" spans="12:20" x14ac:dyDescent="0.25">
      <c r="L1305" s="10" t="str">
        <f t="shared" si="238"/>
        <v/>
      </c>
      <c r="M1305" s="10" t="str">
        <f t="shared" si="239"/>
        <v/>
      </c>
      <c r="N1305" s="11" t="str">
        <f t="shared" si="240"/>
        <v/>
      </c>
      <c r="O1305" s="10" t="str">
        <f t="shared" si="241"/>
        <v/>
      </c>
      <c r="P1305" s="12" t="str">
        <f t="shared" si="242"/>
        <v/>
      </c>
      <c r="Q1305" s="10" t="str">
        <f t="shared" si="243"/>
        <v/>
      </c>
      <c r="R1305" s="13" t="str">
        <f t="shared" si="244"/>
        <v/>
      </c>
      <c r="S1305" s="13" t="str">
        <f t="shared" si="245"/>
        <v/>
      </c>
      <c r="T1305" s="22" t="str">
        <f>IF(R1305&lt;&gt;"",VLOOKUP(P1305,Constants!$D$3:$E$10,2),"")</f>
        <v/>
      </c>
    </row>
    <row r="1306" spans="12:20" x14ac:dyDescent="0.25">
      <c r="L1306" s="10" t="str">
        <f t="shared" si="238"/>
        <v/>
      </c>
      <c r="M1306" s="10" t="str">
        <f t="shared" si="239"/>
        <v/>
      </c>
      <c r="N1306" s="11" t="str">
        <f t="shared" si="240"/>
        <v/>
      </c>
      <c r="O1306" s="10" t="str">
        <f t="shared" si="241"/>
        <v/>
      </c>
      <c r="P1306" s="12" t="str">
        <f t="shared" si="242"/>
        <v/>
      </c>
      <c r="Q1306" s="10" t="str">
        <f t="shared" si="243"/>
        <v/>
      </c>
      <c r="R1306" s="13" t="str">
        <f t="shared" si="244"/>
        <v/>
      </c>
      <c r="S1306" s="13" t="str">
        <f t="shared" si="245"/>
        <v/>
      </c>
      <c r="T1306" s="22" t="str">
        <f>IF(R1306&lt;&gt;"",VLOOKUP(P1306,Constants!$D$3:$E$10,2),"")</f>
        <v/>
      </c>
    </row>
    <row r="1307" spans="12:20" x14ac:dyDescent="0.25">
      <c r="L1307" s="10" t="str">
        <f t="shared" si="238"/>
        <v/>
      </c>
      <c r="M1307" s="10" t="str">
        <f t="shared" si="239"/>
        <v/>
      </c>
      <c r="N1307" s="11" t="str">
        <f t="shared" si="240"/>
        <v/>
      </c>
      <c r="O1307" s="10" t="str">
        <f t="shared" si="241"/>
        <v/>
      </c>
      <c r="P1307" s="12" t="str">
        <f t="shared" si="242"/>
        <v/>
      </c>
      <c r="Q1307" s="10" t="str">
        <f t="shared" si="243"/>
        <v/>
      </c>
      <c r="R1307" s="13" t="str">
        <f t="shared" si="244"/>
        <v/>
      </c>
      <c r="S1307" s="13" t="str">
        <f t="shared" si="245"/>
        <v/>
      </c>
      <c r="T1307" s="22" t="str">
        <f>IF(R1307&lt;&gt;"",VLOOKUP(P1307,Constants!$D$3:$E$10,2),"")</f>
        <v/>
      </c>
    </row>
    <row r="1308" spans="12:20" x14ac:dyDescent="0.25">
      <c r="L1308" s="10" t="str">
        <f t="shared" si="238"/>
        <v/>
      </c>
      <c r="M1308" s="10" t="str">
        <f t="shared" si="239"/>
        <v/>
      </c>
      <c r="N1308" s="11" t="str">
        <f t="shared" si="240"/>
        <v/>
      </c>
      <c r="O1308" s="10" t="str">
        <f t="shared" si="241"/>
        <v/>
      </c>
      <c r="P1308" s="12" t="str">
        <f t="shared" si="242"/>
        <v/>
      </c>
      <c r="Q1308" s="10" t="str">
        <f t="shared" si="243"/>
        <v/>
      </c>
      <c r="R1308" s="13" t="str">
        <f t="shared" si="244"/>
        <v/>
      </c>
      <c r="S1308" s="13" t="str">
        <f t="shared" si="245"/>
        <v/>
      </c>
      <c r="T1308" s="22" t="str">
        <f>IF(R1308&lt;&gt;"",VLOOKUP(P1308,Constants!$D$3:$E$10,2),"")</f>
        <v/>
      </c>
    </row>
    <row r="1309" spans="12:20" x14ac:dyDescent="0.25">
      <c r="L1309" s="10" t="str">
        <f t="shared" si="238"/>
        <v/>
      </c>
      <c r="M1309" s="10" t="str">
        <f t="shared" si="239"/>
        <v/>
      </c>
      <c r="N1309" s="11" t="str">
        <f t="shared" si="240"/>
        <v/>
      </c>
      <c r="O1309" s="10" t="str">
        <f t="shared" si="241"/>
        <v/>
      </c>
      <c r="P1309" s="12" t="str">
        <f t="shared" si="242"/>
        <v/>
      </c>
      <c r="Q1309" s="10" t="str">
        <f t="shared" si="243"/>
        <v/>
      </c>
      <c r="R1309" s="13" t="str">
        <f t="shared" si="244"/>
        <v/>
      </c>
      <c r="S1309" s="13" t="str">
        <f t="shared" si="245"/>
        <v/>
      </c>
      <c r="T1309" s="22" t="str">
        <f>IF(R1309&lt;&gt;"",VLOOKUP(P1309,Constants!$D$3:$E$10,2),"")</f>
        <v/>
      </c>
    </row>
    <row r="1310" spans="12:20" x14ac:dyDescent="0.25">
      <c r="L1310" s="10" t="str">
        <f t="shared" si="238"/>
        <v/>
      </c>
      <c r="M1310" s="10" t="str">
        <f t="shared" si="239"/>
        <v/>
      </c>
      <c r="N1310" s="11" t="str">
        <f t="shared" si="240"/>
        <v/>
      </c>
      <c r="O1310" s="10" t="str">
        <f t="shared" si="241"/>
        <v/>
      </c>
      <c r="P1310" s="12" t="str">
        <f t="shared" si="242"/>
        <v/>
      </c>
      <c r="Q1310" s="10" t="str">
        <f t="shared" si="243"/>
        <v/>
      </c>
      <c r="R1310" s="13" t="str">
        <f t="shared" si="244"/>
        <v/>
      </c>
      <c r="S1310" s="13" t="str">
        <f t="shared" si="245"/>
        <v/>
      </c>
      <c r="T1310" s="22" t="str">
        <f>IF(R1310&lt;&gt;"",VLOOKUP(P1310,Constants!$D$3:$E$10,2),"")</f>
        <v/>
      </c>
    </row>
    <row r="1311" spans="12:20" x14ac:dyDescent="0.25">
      <c r="L1311" s="10" t="str">
        <f t="shared" si="238"/>
        <v/>
      </c>
      <c r="M1311" s="10" t="str">
        <f t="shared" si="239"/>
        <v/>
      </c>
      <c r="N1311" s="11" t="str">
        <f t="shared" si="240"/>
        <v/>
      </c>
      <c r="O1311" s="10" t="str">
        <f t="shared" si="241"/>
        <v/>
      </c>
      <c r="P1311" s="12" t="str">
        <f t="shared" si="242"/>
        <v/>
      </c>
      <c r="Q1311" s="10" t="str">
        <f t="shared" si="243"/>
        <v/>
      </c>
      <c r="R1311" s="13" t="str">
        <f t="shared" si="244"/>
        <v/>
      </c>
      <c r="S1311" s="13" t="str">
        <f t="shared" si="245"/>
        <v/>
      </c>
      <c r="T1311" s="22" t="str">
        <f>IF(R1311&lt;&gt;"",VLOOKUP(P1311,Constants!$D$3:$E$10,2),"")</f>
        <v/>
      </c>
    </row>
    <row r="1312" spans="12:20" x14ac:dyDescent="0.25">
      <c r="L1312" s="10" t="str">
        <f t="shared" si="238"/>
        <v/>
      </c>
      <c r="M1312" s="10" t="str">
        <f t="shared" si="239"/>
        <v/>
      </c>
      <c r="N1312" s="11" t="str">
        <f t="shared" si="240"/>
        <v/>
      </c>
      <c r="O1312" s="10" t="str">
        <f t="shared" si="241"/>
        <v/>
      </c>
      <c r="P1312" s="12" t="str">
        <f t="shared" si="242"/>
        <v/>
      </c>
      <c r="Q1312" s="10" t="str">
        <f t="shared" si="243"/>
        <v/>
      </c>
      <c r="R1312" s="13" t="str">
        <f t="shared" si="244"/>
        <v/>
      </c>
      <c r="S1312" s="13" t="str">
        <f t="shared" si="245"/>
        <v/>
      </c>
      <c r="T1312" s="22" t="str">
        <f>IF(R1312&lt;&gt;"",VLOOKUP(P1312,Constants!$D$3:$E$10,2),"")</f>
        <v/>
      </c>
    </row>
    <row r="1313" spans="12:20" x14ac:dyDescent="0.25">
      <c r="L1313" s="10" t="str">
        <f t="shared" si="238"/>
        <v/>
      </c>
      <c r="M1313" s="10" t="str">
        <f t="shared" si="239"/>
        <v/>
      </c>
      <c r="N1313" s="11" t="str">
        <f t="shared" si="240"/>
        <v/>
      </c>
      <c r="O1313" s="10" t="str">
        <f t="shared" si="241"/>
        <v/>
      </c>
      <c r="P1313" s="12" t="str">
        <f t="shared" si="242"/>
        <v/>
      </c>
      <c r="Q1313" s="10" t="str">
        <f t="shared" si="243"/>
        <v/>
      </c>
      <c r="R1313" s="13" t="str">
        <f t="shared" si="244"/>
        <v/>
      </c>
      <c r="S1313" s="13" t="str">
        <f t="shared" si="245"/>
        <v/>
      </c>
      <c r="T1313" s="22" t="str">
        <f>IF(R1313&lt;&gt;"",VLOOKUP(P1313,Constants!$D$3:$E$10,2),"")</f>
        <v/>
      </c>
    </row>
    <row r="1314" spans="12:20" x14ac:dyDescent="0.25">
      <c r="L1314" s="10" t="str">
        <f t="shared" si="238"/>
        <v/>
      </c>
      <c r="M1314" s="10" t="str">
        <f t="shared" si="239"/>
        <v/>
      </c>
      <c r="N1314" s="11" t="str">
        <f t="shared" si="240"/>
        <v/>
      </c>
      <c r="O1314" s="10" t="str">
        <f t="shared" si="241"/>
        <v/>
      </c>
      <c r="P1314" s="12" t="str">
        <f t="shared" si="242"/>
        <v/>
      </c>
      <c r="Q1314" s="10" t="str">
        <f t="shared" si="243"/>
        <v/>
      </c>
      <c r="R1314" s="13" t="str">
        <f t="shared" si="244"/>
        <v/>
      </c>
      <c r="S1314" s="13" t="str">
        <f t="shared" si="245"/>
        <v/>
      </c>
      <c r="T1314" s="22" t="str">
        <f>IF(R1314&lt;&gt;"",VLOOKUP(P1314,Constants!$D$3:$E$10,2),"")</f>
        <v/>
      </c>
    </row>
    <row r="1315" spans="12:20" x14ac:dyDescent="0.25">
      <c r="L1315" s="10" t="str">
        <f t="shared" si="238"/>
        <v/>
      </c>
      <c r="M1315" s="10" t="str">
        <f t="shared" si="239"/>
        <v/>
      </c>
      <c r="N1315" s="11" t="str">
        <f t="shared" si="240"/>
        <v/>
      </c>
      <c r="O1315" s="10" t="str">
        <f t="shared" si="241"/>
        <v/>
      </c>
      <c r="P1315" s="12" t="str">
        <f t="shared" si="242"/>
        <v/>
      </c>
      <c r="Q1315" s="10" t="str">
        <f t="shared" si="243"/>
        <v/>
      </c>
      <c r="R1315" s="13" t="str">
        <f t="shared" si="244"/>
        <v/>
      </c>
      <c r="S1315" s="13" t="str">
        <f t="shared" si="245"/>
        <v/>
      </c>
      <c r="T1315" s="22" t="str">
        <f>IF(R1315&lt;&gt;"",VLOOKUP(P1315,Constants!$D$3:$E$10,2),"")</f>
        <v/>
      </c>
    </row>
    <row r="1316" spans="12:20" x14ac:dyDescent="0.25">
      <c r="L1316" s="10" t="str">
        <f t="shared" si="238"/>
        <v/>
      </c>
      <c r="M1316" s="10" t="str">
        <f t="shared" si="239"/>
        <v/>
      </c>
      <c r="N1316" s="11" t="str">
        <f t="shared" si="240"/>
        <v/>
      </c>
      <c r="O1316" s="10" t="str">
        <f t="shared" si="241"/>
        <v/>
      </c>
      <c r="P1316" s="12" t="str">
        <f t="shared" si="242"/>
        <v/>
      </c>
      <c r="Q1316" s="10" t="str">
        <f t="shared" si="243"/>
        <v/>
      </c>
      <c r="R1316" s="13" t="str">
        <f t="shared" si="244"/>
        <v/>
      </c>
      <c r="S1316" s="13" t="str">
        <f t="shared" si="245"/>
        <v/>
      </c>
      <c r="T1316" s="22" t="str">
        <f>IF(R1316&lt;&gt;"",VLOOKUP(P1316,Constants!$D$3:$E$10,2),"")</f>
        <v/>
      </c>
    </row>
    <row r="1317" spans="12:20" x14ac:dyDescent="0.25">
      <c r="L1317" s="10" t="str">
        <f t="shared" si="238"/>
        <v/>
      </c>
      <c r="M1317" s="10" t="str">
        <f t="shared" si="239"/>
        <v/>
      </c>
      <c r="N1317" s="11" t="str">
        <f t="shared" si="240"/>
        <v/>
      </c>
      <c r="O1317" s="10" t="str">
        <f t="shared" si="241"/>
        <v/>
      </c>
      <c r="P1317" s="12" t="str">
        <f t="shared" si="242"/>
        <v/>
      </c>
      <c r="Q1317" s="10" t="str">
        <f t="shared" si="243"/>
        <v/>
      </c>
      <c r="R1317" s="13" t="str">
        <f t="shared" si="244"/>
        <v/>
      </c>
      <c r="S1317" s="13" t="str">
        <f t="shared" si="245"/>
        <v/>
      </c>
      <c r="T1317" s="22" t="str">
        <f>IF(R1317&lt;&gt;"",VLOOKUP(P1317,Constants!$D$3:$E$10,2),"")</f>
        <v/>
      </c>
    </row>
    <row r="1318" spans="12:20" x14ac:dyDescent="0.25">
      <c r="L1318" s="10" t="str">
        <f t="shared" si="238"/>
        <v/>
      </c>
      <c r="M1318" s="10" t="str">
        <f t="shared" si="239"/>
        <v/>
      </c>
      <c r="N1318" s="11" t="str">
        <f t="shared" si="240"/>
        <v/>
      </c>
      <c r="O1318" s="10" t="str">
        <f t="shared" si="241"/>
        <v/>
      </c>
      <c r="P1318" s="12" t="str">
        <f t="shared" si="242"/>
        <v/>
      </c>
      <c r="Q1318" s="10" t="str">
        <f t="shared" si="243"/>
        <v/>
      </c>
      <c r="R1318" s="13" t="str">
        <f t="shared" si="244"/>
        <v/>
      </c>
      <c r="S1318" s="13" t="str">
        <f t="shared" si="245"/>
        <v/>
      </c>
      <c r="T1318" s="22" t="str">
        <f>IF(R1318&lt;&gt;"",VLOOKUP(P1318,Constants!$D$3:$E$10,2),"")</f>
        <v/>
      </c>
    </row>
    <row r="1319" spans="12:20" x14ac:dyDescent="0.25">
      <c r="L1319" s="10" t="str">
        <f t="shared" si="238"/>
        <v/>
      </c>
      <c r="M1319" s="10" t="str">
        <f t="shared" si="239"/>
        <v/>
      </c>
      <c r="N1319" s="11" t="str">
        <f t="shared" si="240"/>
        <v/>
      </c>
      <c r="O1319" s="10" t="str">
        <f t="shared" si="241"/>
        <v/>
      </c>
      <c r="P1319" s="12" t="str">
        <f t="shared" si="242"/>
        <v/>
      </c>
      <c r="Q1319" s="10" t="str">
        <f t="shared" si="243"/>
        <v/>
      </c>
      <c r="R1319" s="13" t="str">
        <f t="shared" si="244"/>
        <v/>
      </c>
      <c r="S1319" s="13" t="str">
        <f t="shared" si="245"/>
        <v/>
      </c>
      <c r="T1319" s="22" t="str">
        <f>IF(R1319&lt;&gt;"",VLOOKUP(P1319,Constants!$D$3:$E$10,2),"")</f>
        <v/>
      </c>
    </row>
    <row r="1320" spans="12:20" x14ac:dyDescent="0.25">
      <c r="L1320" s="10" t="str">
        <f t="shared" si="238"/>
        <v/>
      </c>
      <c r="M1320" s="10" t="str">
        <f t="shared" si="239"/>
        <v/>
      </c>
      <c r="N1320" s="11" t="str">
        <f t="shared" si="240"/>
        <v/>
      </c>
      <c r="O1320" s="10" t="str">
        <f t="shared" si="241"/>
        <v/>
      </c>
      <c r="P1320" s="12" t="str">
        <f t="shared" si="242"/>
        <v/>
      </c>
      <c r="Q1320" s="10" t="str">
        <f t="shared" si="243"/>
        <v/>
      </c>
      <c r="R1320" s="13" t="str">
        <f t="shared" si="244"/>
        <v/>
      </c>
      <c r="S1320" s="13" t="str">
        <f t="shared" si="245"/>
        <v/>
      </c>
      <c r="T1320" s="22" t="str">
        <f>IF(R1320&lt;&gt;"",VLOOKUP(P1320,Constants!$D$3:$E$10,2),"")</f>
        <v/>
      </c>
    </row>
    <row r="1321" spans="12:20" x14ac:dyDescent="0.25">
      <c r="L1321" s="10" t="str">
        <f t="shared" si="238"/>
        <v/>
      </c>
      <c r="M1321" s="10" t="str">
        <f t="shared" si="239"/>
        <v/>
      </c>
      <c r="N1321" s="11" t="str">
        <f t="shared" si="240"/>
        <v/>
      </c>
      <c r="O1321" s="10" t="str">
        <f t="shared" si="241"/>
        <v/>
      </c>
      <c r="P1321" s="12" t="str">
        <f t="shared" si="242"/>
        <v/>
      </c>
      <c r="Q1321" s="10" t="str">
        <f t="shared" si="243"/>
        <v/>
      </c>
      <c r="R1321" s="13" t="str">
        <f t="shared" si="244"/>
        <v/>
      </c>
      <c r="S1321" s="13" t="str">
        <f t="shared" si="245"/>
        <v/>
      </c>
      <c r="T1321" s="22" t="str">
        <f>IF(R1321&lt;&gt;"",VLOOKUP(P1321,Constants!$D$3:$E$10,2),"")</f>
        <v/>
      </c>
    </row>
    <row r="1322" spans="12:20" x14ac:dyDescent="0.25">
      <c r="L1322" s="10" t="str">
        <f t="shared" si="238"/>
        <v/>
      </c>
      <c r="M1322" s="10" t="str">
        <f t="shared" si="239"/>
        <v/>
      </c>
      <c r="N1322" s="11" t="str">
        <f t="shared" si="240"/>
        <v/>
      </c>
      <c r="O1322" s="10" t="str">
        <f t="shared" si="241"/>
        <v/>
      </c>
      <c r="P1322" s="12" t="str">
        <f t="shared" si="242"/>
        <v/>
      </c>
      <c r="Q1322" s="10" t="str">
        <f t="shared" si="243"/>
        <v/>
      </c>
      <c r="R1322" s="13" t="str">
        <f t="shared" si="244"/>
        <v/>
      </c>
      <c r="S1322" s="13" t="str">
        <f t="shared" si="245"/>
        <v/>
      </c>
      <c r="T1322" s="22" t="str">
        <f>IF(R1322&lt;&gt;"",VLOOKUP(P1322,Constants!$D$3:$E$10,2),"")</f>
        <v/>
      </c>
    </row>
    <row r="1323" spans="12:20" x14ac:dyDescent="0.25">
      <c r="L1323" s="10" t="str">
        <f t="shared" si="238"/>
        <v/>
      </c>
      <c r="M1323" s="10" t="str">
        <f t="shared" si="239"/>
        <v/>
      </c>
      <c r="N1323" s="11" t="str">
        <f t="shared" si="240"/>
        <v/>
      </c>
      <c r="O1323" s="10" t="str">
        <f t="shared" si="241"/>
        <v/>
      </c>
      <c r="P1323" s="12" t="str">
        <f t="shared" si="242"/>
        <v/>
      </c>
      <c r="Q1323" s="10" t="str">
        <f t="shared" si="243"/>
        <v/>
      </c>
      <c r="R1323" s="13" t="str">
        <f t="shared" si="244"/>
        <v/>
      </c>
      <c r="S1323" s="13" t="str">
        <f t="shared" si="245"/>
        <v/>
      </c>
      <c r="T1323" s="22" t="str">
        <f>IF(R1323&lt;&gt;"",VLOOKUP(P1323,Constants!$D$3:$E$10,2),"")</f>
        <v/>
      </c>
    </row>
    <row r="1324" spans="12:20" x14ac:dyDescent="0.25">
      <c r="L1324" s="10" t="str">
        <f t="shared" si="238"/>
        <v/>
      </c>
      <c r="M1324" s="10" t="str">
        <f t="shared" si="239"/>
        <v/>
      </c>
      <c r="N1324" s="11" t="str">
        <f t="shared" si="240"/>
        <v/>
      </c>
      <c r="O1324" s="10" t="str">
        <f t="shared" si="241"/>
        <v/>
      </c>
      <c r="P1324" s="12" t="str">
        <f t="shared" si="242"/>
        <v/>
      </c>
      <c r="Q1324" s="10" t="str">
        <f t="shared" si="243"/>
        <v/>
      </c>
      <c r="R1324" s="13" t="str">
        <f t="shared" si="244"/>
        <v/>
      </c>
      <c r="S1324" s="13" t="str">
        <f t="shared" si="245"/>
        <v/>
      </c>
      <c r="T1324" s="22" t="str">
        <f>IF(R1324&lt;&gt;"",VLOOKUP(P1324,Constants!$D$3:$E$10,2),"")</f>
        <v/>
      </c>
    </row>
    <row r="1325" spans="12:20" x14ac:dyDescent="0.25">
      <c r="L1325" s="10" t="str">
        <f t="shared" si="238"/>
        <v/>
      </c>
      <c r="M1325" s="10" t="str">
        <f t="shared" si="239"/>
        <v/>
      </c>
      <c r="N1325" s="11" t="str">
        <f t="shared" si="240"/>
        <v/>
      </c>
      <c r="O1325" s="10" t="str">
        <f t="shared" si="241"/>
        <v/>
      </c>
      <c r="P1325" s="12" t="str">
        <f t="shared" si="242"/>
        <v/>
      </c>
      <c r="Q1325" s="10" t="str">
        <f t="shared" si="243"/>
        <v/>
      </c>
      <c r="R1325" s="13" t="str">
        <f t="shared" si="244"/>
        <v/>
      </c>
      <c r="S1325" s="13" t="str">
        <f t="shared" si="245"/>
        <v/>
      </c>
      <c r="T1325" s="22" t="str">
        <f>IF(R1325&lt;&gt;"",VLOOKUP(P1325,Constants!$D$3:$E$10,2),"")</f>
        <v/>
      </c>
    </row>
    <row r="1326" spans="12:20" x14ac:dyDescent="0.25">
      <c r="L1326" s="10" t="str">
        <f t="shared" si="238"/>
        <v/>
      </c>
      <c r="M1326" s="10" t="str">
        <f t="shared" si="239"/>
        <v/>
      </c>
      <c r="N1326" s="11" t="str">
        <f t="shared" si="240"/>
        <v/>
      </c>
      <c r="O1326" s="10" t="str">
        <f t="shared" si="241"/>
        <v/>
      </c>
      <c r="P1326" s="12" t="str">
        <f t="shared" si="242"/>
        <v/>
      </c>
      <c r="Q1326" s="10" t="str">
        <f t="shared" si="243"/>
        <v/>
      </c>
      <c r="R1326" s="13" t="str">
        <f t="shared" si="244"/>
        <v/>
      </c>
      <c r="S1326" s="13" t="str">
        <f t="shared" si="245"/>
        <v/>
      </c>
      <c r="T1326" s="22" t="str">
        <f>IF(R1326&lt;&gt;"",VLOOKUP(P1326,Constants!$D$3:$E$10,2),"")</f>
        <v/>
      </c>
    </row>
    <row r="1327" spans="12:20" x14ac:dyDescent="0.25">
      <c r="L1327" s="10" t="str">
        <f t="shared" si="238"/>
        <v/>
      </c>
      <c r="M1327" s="10" t="str">
        <f t="shared" si="239"/>
        <v/>
      </c>
      <c r="N1327" s="11" t="str">
        <f t="shared" si="240"/>
        <v/>
      </c>
      <c r="O1327" s="10" t="str">
        <f t="shared" si="241"/>
        <v/>
      </c>
      <c r="P1327" s="12" t="str">
        <f t="shared" si="242"/>
        <v/>
      </c>
      <c r="Q1327" s="10" t="str">
        <f t="shared" si="243"/>
        <v/>
      </c>
      <c r="R1327" s="13" t="str">
        <f t="shared" si="244"/>
        <v/>
      </c>
      <c r="S1327" s="13" t="str">
        <f t="shared" si="245"/>
        <v/>
      </c>
      <c r="T1327" s="22" t="str">
        <f>IF(R1327&lt;&gt;"",VLOOKUP(P1327,Constants!$D$3:$E$10,2),"")</f>
        <v/>
      </c>
    </row>
    <row r="1328" spans="12:20" x14ac:dyDescent="0.25">
      <c r="L1328" s="10" t="str">
        <f t="shared" si="238"/>
        <v/>
      </c>
      <c r="M1328" s="10" t="str">
        <f t="shared" si="239"/>
        <v/>
      </c>
      <c r="N1328" s="11" t="str">
        <f t="shared" si="240"/>
        <v/>
      </c>
      <c r="O1328" s="10" t="str">
        <f t="shared" si="241"/>
        <v/>
      </c>
      <c r="P1328" s="12" t="str">
        <f t="shared" si="242"/>
        <v/>
      </c>
      <c r="Q1328" s="10" t="str">
        <f t="shared" si="243"/>
        <v/>
      </c>
      <c r="R1328" s="13" t="str">
        <f t="shared" si="244"/>
        <v/>
      </c>
      <c r="S1328" s="13" t="str">
        <f t="shared" si="245"/>
        <v/>
      </c>
      <c r="T1328" s="22" t="str">
        <f>IF(R1328&lt;&gt;"",VLOOKUP(P1328,Constants!$D$3:$E$10,2),"")</f>
        <v/>
      </c>
    </row>
    <row r="1329" spans="12:20" x14ac:dyDescent="0.25">
      <c r="L1329" s="10" t="str">
        <f t="shared" si="238"/>
        <v/>
      </c>
      <c r="M1329" s="10" t="str">
        <f t="shared" si="239"/>
        <v/>
      </c>
      <c r="N1329" s="11" t="str">
        <f t="shared" si="240"/>
        <v/>
      </c>
      <c r="O1329" s="10" t="str">
        <f t="shared" si="241"/>
        <v/>
      </c>
      <c r="P1329" s="12" t="str">
        <f t="shared" si="242"/>
        <v/>
      </c>
      <c r="Q1329" s="10" t="str">
        <f t="shared" si="243"/>
        <v/>
      </c>
      <c r="R1329" s="13" t="str">
        <f t="shared" si="244"/>
        <v/>
      </c>
      <c r="S1329" s="13" t="str">
        <f t="shared" si="245"/>
        <v/>
      </c>
      <c r="T1329" s="22" t="str">
        <f>IF(R1329&lt;&gt;"",VLOOKUP(P1329,Constants!$D$3:$E$10,2),"")</f>
        <v/>
      </c>
    </row>
    <row r="1330" spans="12:20" x14ac:dyDescent="0.25">
      <c r="L1330" s="10" t="str">
        <f t="shared" si="238"/>
        <v/>
      </c>
      <c r="M1330" s="10" t="str">
        <f t="shared" si="239"/>
        <v/>
      </c>
      <c r="N1330" s="11" t="str">
        <f t="shared" si="240"/>
        <v/>
      </c>
      <c r="O1330" s="10" t="str">
        <f t="shared" si="241"/>
        <v/>
      </c>
      <c r="P1330" s="12" t="str">
        <f t="shared" si="242"/>
        <v/>
      </c>
      <c r="Q1330" s="10" t="str">
        <f t="shared" si="243"/>
        <v/>
      </c>
      <c r="R1330" s="13" t="str">
        <f t="shared" si="244"/>
        <v/>
      </c>
      <c r="S1330" s="13" t="str">
        <f t="shared" si="245"/>
        <v/>
      </c>
      <c r="T1330" s="22" t="str">
        <f>IF(R1330&lt;&gt;"",VLOOKUP(P1330,Constants!$D$3:$E$10,2),"")</f>
        <v/>
      </c>
    </row>
    <row r="1331" spans="12:20" x14ac:dyDescent="0.25">
      <c r="L1331" s="10" t="str">
        <f t="shared" si="238"/>
        <v/>
      </c>
      <c r="M1331" s="10" t="str">
        <f t="shared" si="239"/>
        <v/>
      </c>
      <c r="N1331" s="11" t="str">
        <f t="shared" si="240"/>
        <v/>
      </c>
      <c r="O1331" s="10" t="str">
        <f t="shared" si="241"/>
        <v/>
      </c>
      <c r="P1331" s="12" t="str">
        <f t="shared" si="242"/>
        <v/>
      </c>
      <c r="Q1331" s="10" t="str">
        <f t="shared" si="243"/>
        <v/>
      </c>
      <c r="R1331" s="13" t="str">
        <f t="shared" si="244"/>
        <v/>
      </c>
      <c r="S1331" s="13" t="str">
        <f t="shared" si="245"/>
        <v/>
      </c>
      <c r="T1331" s="22" t="str">
        <f>IF(R1331&lt;&gt;"",VLOOKUP(P1331,Constants!$D$3:$E$10,2),"")</f>
        <v/>
      </c>
    </row>
    <row r="1332" spans="12:20" x14ac:dyDescent="0.25">
      <c r="L1332" s="10" t="str">
        <f t="shared" si="238"/>
        <v/>
      </c>
      <c r="M1332" s="10" t="str">
        <f t="shared" si="239"/>
        <v/>
      </c>
      <c r="N1332" s="11" t="str">
        <f t="shared" si="240"/>
        <v/>
      </c>
      <c r="O1332" s="10" t="str">
        <f t="shared" si="241"/>
        <v/>
      </c>
      <c r="P1332" s="12" t="str">
        <f t="shared" si="242"/>
        <v/>
      </c>
      <c r="Q1332" s="10" t="str">
        <f t="shared" si="243"/>
        <v/>
      </c>
      <c r="R1332" s="13" t="str">
        <f t="shared" si="244"/>
        <v/>
      </c>
      <c r="S1332" s="13" t="str">
        <f t="shared" si="245"/>
        <v/>
      </c>
      <c r="T1332" s="22" t="str">
        <f>IF(R1332&lt;&gt;"",VLOOKUP(P1332,Constants!$D$3:$E$10,2),"")</f>
        <v/>
      </c>
    </row>
    <row r="1333" spans="12:20" x14ac:dyDescent="0.25">
      <c r="L1333" s="10" t="str">
        <f t="shared" si="238"/>
        <v/>
      </c>
      <c r="M1333" s="10" t="str">
        <f t="shared" si="239"/>
        <v/>
      </c>
      <c r="N1333" s="11" t="str">
        <f t="shared" si="240"/>
        <v/>
      </c>
      <c r="O1333" s="10" t="str">
        <f t="shared" si="241"/>
        <v/>
      </c>
      <c r="P1333" s="12" t="str">
        <f t="shared" si="242"/>
        <v/>
      </c>
      <c r="Q1333" s="10" t="str">
        <f t="shared" si="243"/>
        <v/>
      </c>
      <c r="R1333" s="13" t="str">
        <f t="shared" si="244"/>
        <v/>
      </c>
      <c r="S1333" s="13" t="str">
        <f t="shared" si="245"/>
        <v/>
      </c>
      <c r="T1333" s="22" t="str">
        <f>IF(R1333&lt;&gt;"",VLOOKUP(P1333,Constants!$D$3:$E$10,2),"")</f>
        <v/>
      </c>
    </row>
    <row r="1334" spans="12:20" x14ac:dyDescent="0.25">
      <c r="L1334" s="10" t="str">
        <f t="shared" si="238"/>
        <v/>
      </c>
      <c r="M1334" s="10" t="str">
        <f t="shared" si="239"/>
        <v/>
      </c>
      <c r="N1334" s="11" t="str">
        <f t="shared" si="240"/>
        <v/>
      </c>
      <c r="O1334" s="10" t="str">
        <f t="shared" si="241"/>
        <v/>
      </c>
      <c r="P1334" s="12" t="str">
        <f t="shared" si="242"/>
        <v/>
      </c>
      <c r="Q1334" s="10" t="str">
        <f t="shared" si="243"/>
        <v/>
      </c>
      <c r="R1334" s="13" t="str">
        <f t="shared" si="244"/>
        <v/>
      </c>
      <c r="S1334" s="13" t="str">
        <f t="shared" si="245"/>
        <v/>
      </c>
      <c r="T1334" s="22" t="str">
        <f>IF(R1334&lt;&gt;"",VLOOKUP(P1334,Constants!$D$3:$E$10,2),"")</f>
        <v/>
      </c>
    </row>
    <row r="1335" spans="12:20" x14ac:dyDescent="0.25">
      <c r="L1335" s="10" t="str">
        <f t="shared" si="238"/>
        <v/>
      </c>
      <c r="M1335" s="10" t="str">
        <f t="shared" si="239"/>
        <v/>
      </c>
      <c r="N1335" s="11" t="str">
        <f t="shared" si="240"/>
        <v/>
      </c>
      <c r="O1335" s="10" t="str">
        <f t="shared" si="241"/>
        <v/>
      </c>
      <c r="P1335" s="12" t="str">
        <f t="shared" si="242"/>
        <v/>
      </c>
      <c r="Q1335" s="10" t="str">
        <f t="shared" si="243"/>
        <v/>
      </c>
      <c r="R1335" s="13" t="str">
        <f t="shared" si="244"/>
        <v/>
      </c>
      <c r="S1335" s="13" t="str">
        <f t="shared" si="245"/>
        <v/>
      </c>
      <c r="T1335" s="22" t="str">
        <f>IF(R1335&lt;&gt;"",VLOOKUP(P1335,Constants!$D$3:$E$10,2),"")</f>
        <v/>
      </c>
    </row>
    <row r="1336" spans="12:20" x14ac:dyDescent="0.25">
      <c r="L1336" s="10" t="str">
        <f t="shared" si="238"/>
        <v/>
      </c>
      <c r="M1336" s="10" t="str">
        <f t="shared" si="239"/>
        <v/>
      </c>
      <c r="N1336" s="11" t="str">
        <f t="shared" si="240"/>
        <v/>
      </c>
      <c r="O1336" s="10" t="str">
        <f t="shared" si="241"/>
        <v/>
      </c>
      <c r="P1336" s="12" t="str">
        <f t="shared" si="242"/>
        <v/>
      </c>
      <c r="Q1336" s="10" t="str">
        <f t="shared" si="243"/>
        <v/>
      </c>
      <c r="R1336" s="13" t="str">
        <f t="shared" si="244"/>
        <v/>
      </c>
      <c r="S1336" s="13" t="str">
        <f t="shared" si="245"/>
        <v/>
      </c>
      <c r="T1336" s="22" t="str">
        <f>IF(R1336&lt;&gt;"",VLOOKUP(P1336,Constants!$D$3:$E$10,2),"")</f>
        <v/>
      </c>
    </row>
    <row r="1337" spans="12:20" x14ac:dyDescent="0.25">
      <c r="L1337" s="10" t="str">
        <f t="shared" si="238"/>
        <v/>
      </c>
      <c r="M1337" s="10" t="str">
        <f t="shared" si="239"/>
        <v/>
      </c>
      <c r="N1337" s="11" t="str">
        <f t="shared" si="240"/>
        <v/>
      </c>
      <c r="O1337" s="10" t="str">
        <f t="shared" si="241"/>
        <v/>
      </c>
      <c r="P1337" s="12" t="str">
        <f t="shared" si="242"/>
        <v/>
      </c>
      <c r="Q1337" s="10" t="str">
        <f t="shared" si="243"/>
        <v/>
      </c>
      <c r="R1337" s="13" t="str">
        <f t="shared" si="244"/>
        <v/>
      </c>
      <c r="S1337" s="13" t="str">
        <f t="shared" si="245"/>
        <v/>
      </c>
      <c r="T1337" s="22" t="str">
        <f>IF(R1337&lt;&gt;"",VLOOKUP(P1337,Constants!$D$3:$E$10,2),"")</f>
        <v/>
      </c>
    </row>
    <row r="1338" spans="12:20" x14ac:dyDescent="0.25">
      <c r="L1338" s="10" t="str">
        <f t="shared" si="238"/>
        <v/>
      </c>
      <c r="M1338" s="10" t="str">
        <f t="shared" si="239"/>
        <v/>
      </c>
      <c r="N1338" s="11" t="str">
        <f t="shared" si="240"/>
        <v/>
      </c>
      <c r="O1338" s="10" t="str">
        <f t="shared" si="241"/>
        <v/>
      </c>
      <c r="P1338" s="12" t="str">
        <f t="shared" si="242"/>
        <v/>
      </c>
      <c r="Q1338" s="10" t="str">
        <f t="shared" si="243"/>
        <v/>
      </c>
      <c r="R1338" s="13" t="str">
        <f t="shared" si="244"/>
        <v/>
      </c>
      <c r="S1338" s="13" t="str">
        <f t="shared" si="245"/>
        <v/>
      </c>
      <c r="T1338" s="22" t="str">
        <f>IF(R1338&lt;&gt;"",VLOOKUP(P1338,Constants!$D$3:$E$10,2),"")</f>
        <v/>
      </c>
    </row>
    <row r="1339" spans="12:20" x14ac:dyDescent="0.25">
      <c r="L1339" s="10" t="str">
        <f t="shared" si="238"/>
        <v/>
      </c>
      <c r="M1339" s="10" t="str">
        <f t="shared" si="239"/>
        <v/>
      </c>
      <c r="N1339" s="11" t="str">
        <f t="shared" si="240"/>
        <v/>
      </c>
      <c r="O1339" s="10" t="str">
        <f t="shared" si="241"/>
        <v/>
      </c>
      <c r="P1339" s="12" t="str">
        <f t="shared" si="242"/>
        <v/>
      </c>
      <c r="Q1339" s="10" t="str">
        <f t="shared" si="243"/>
        <v/>
      </c>
      <c r="R1339" s="13" t="str">
        <f t="shared" si="244"/>
        <v/>
      </c>
      <c r="S1339" s="13" t="str">
        <f t="shared" si="245"/>
        <v/>
      </c>
      <c r="T1339" s="22" t="str">
        <f>IF(R1339&lt;&gt;"",VLOOKUP(P1339,Constants!$D$3:$E$10,2),"")</f>
        <v/>
      </c>
    </row>
    <row r="1340" spans="12:20" x14ac:dyDescent="0.25">
      <c r="L1340" s="10" t="str">
        <f t="shared" si="238"/>
        <v/>
      </c>
      <c r="M1340" s="10" t="str">
        <f t="shared" si="239"/>
        <v/>
      </c>
      <c r="N1340" s="11" t="str">
        <f t="shared" si="240"/>
        <v/>
      </c>
      <c r="O1340" s="10" t="str">
        <f t="shared" si="241"/>
        <v/>
      </c>
      <c r="P1340" s="12" t="str">
        <f t="shared" si="242"/>
        <v/>
      </c>
      <c r="Q1340" s="10" t="str">
        <f t="shared" si="243"/>
        <v/>
      </c>
      <c r="R1340" s="13" t="str">
        <f t="shared" si="244"/>
        <v/>
      </c>
      <c r="S1340" s="13" t="str">
        <f t="shared" si="245"/>
        <v/>
      </c>
      <c r="T1340" s="22" t="str">
        <f>IF(R1340&lt;&gt;"",VLOOKUP(P1340,Constants!$D$3:$E$10,2),"")</f>
        <v/>
      </c>
    </row>
    <row r="1341" spans="12:20" x14ac:dyDescent="0.25">
      <c r="L1341" s="10" t="str">
        <f t="shared" si="238"/>
        <v/>
      </c>
      <c r="M1341" s="10" t="str">
        <f t="shared" si="239"/>
        <v/>
      </c>
      <c r="N1341" s="11" t="str">
        <f t="shared" si="240"/>
        <v/>
      </c>
      <c r="O1341" s="10" t="str">
        <f t="shared" si="241"/>
        <v/>
      </c>
      <c r="P1341" s="12" t="str">
        <f t="shared" si="242"/>
        <v/>
      </c>
      <c r="Q1341" s="10" t="str">
        <f t="shared" si="243"/>
        <v/>
      </c>
      <c r="R1341" s="13" t="str">
        <f t="shared" si="244"/>
        <v/>
      </c>
      <c r="S1341" s="13" t="str">
        <f t="shared" si="245"/>
        <v/>
      </c>
      <c r="T1341" s="22" t="str">
        <f>IF(R1341&lt;&gt;"",VLOOKUP(P1341,Constants!$D$3:$E$10,2),"")</f>
        <v/>
      </c>
    </row>
    <row r="1342" spans="12:20" x14ac:dyDescent="0.25">
      <c r="L1342" s="10" t="str">
        <f t="shared" si="238"/>
        <v/>
      </c>
      <c r="M1342" s="10" t="str">
        <f t="shared" si="239"/>
        <v/>
      </c>
      <c r="N1342" s="11" t="str">
        <f t="shared" si="240"/>
        <v/>
      </c>
      <c r="O1342" s="10" t="str">
        <f t="shared" si="241"/>
        <v/>
      </c>
      <c r="P1342" s="12" t="str">
        <f t="shared" si="242"/>
        <v/>
      </c>
      <c r="Q1342" s="10" t="str">
        <f t="shared" si="243"/>
        <v/>
      </c>
      <c r="R1342" s="13" t="str">
        <f t="shared" si="244"/>
        <v/>
      </c>
      <c r="S1342" s="13" t="str">
        <f t="shared" si="245"/>
        <v/>
      </c>
      <c r="T1342" s="22" t="str">
        <f>IF(R1342&lt;&gt;"",VLOOKUP(P1342,Constants!$D$3:$E$10,2),"")</f>
        <v/>
      </c>
    </row>
    <row r="1343" spans="12:20" x14ac:dyDescent="0.25">
      <c r="L1343" s="10" t="str">
        <f t="shared" si="238"/>
        <v/>
      </c>
      <c r="M1343" s="10" t="str">
        <f t="shared" si="239"/>
        <v/>
      </c>
      <c r="N1343" s="11" t="str">
        <f t="shared" si="240"/>
        <v/>
      </c>
      <c r="O1343" s="10" t="str">
        <f t="shared" si="241"/>
        <v/>
      </c>
      <c r="P1343" s="12" t="str">
        <f t="shared" si="242"/>
        <v/>
      </c>
      <c r="Q1343" s="10" t="str">
        <f t="shared" si="243"/>
        <v/>
      </c>
      <c r="R1343" s="13" t="str">
        <f t="shared" si="244"/>
        <v/>
      </c>
      <c r="S1343" s="13" t="str">
        <f t="shared" si="245"/>
        <v/>
      </c>
      <c r="T1343" s="22" t="str">
        <f>IF(R1343&lt;&gt;"",VLOOKUP(P1343,Constants!$D$3:$E$10,2),"")</f>
        <v/>
      </c>
    </row>
    <row r="1344" spans="12:20" x14ac:dyDescent="0.25">
      <c r="L1344" s="10" t="str">
        <f t="shared" si="238"/>
        <v/>
      </c>
      <c r="M1344" s="10" t="str">
        <f t="shared" si="239"/>
        <v/>
      </c>
      <c r="N1344" s="11" t="str">
        <f t="shared" si="240"/>
        <v/>
      </c>
      <c r="O1344" s="10" t="str">
        <f t="shared" si="241"/>
        <v/>
      </c>
      <c r="P1344" s="12" t="str">
        <f t="shared" si="242"/>
        <v/>
      </c>
      <c r="Q1344" s="10" t="str">
        <f t="shared" si="243"/>
        <v/>
      </c>
      <c r="R1344" s="13" t="str">
        <f t="shared" si="244"/>
        <v/>
      </c>
      <c r="S1344" s="13" t="str">
        <f t="shared" si="245"/>
        <v/>
      </c>
      <c r="T1344" s="22" t="str">
        <f>IF(R1344&lt;&gt;"",VLOOKUP(P1344,Constants!$D$3:$E$10,2),"")</f>
        <v/>
      </c>
    </row>
    <row r="1345" spans="12:20" x14ac:dyDescent="0.25">
      <c r="L1345" s="10" t="str">
        <f t="shared" si="238"/>
        <v/>
      </c>
      <c r="M1345" s="10" t="str">
        <f t="shared" si="239"/>
        <v/>
      </c>
      <c r="N1345" s="11" t="str">
        <f t="shared" si="240"/>
        <v/>
      </c>
      <c r="O1345" s="10" t="str">
        <f t="shared" si="241"/>
        <v/>
      </c>
      <c r="P1345" s="12" t="str">
        <f t="shared" si="242"/>
        <v/>
      </c>
      <c r="Q1345" s="10" t="str">
        <f t="shared" si="243"/>
        <v/>
      </c>
      <c r="R1345" s="13" t="str">
        <f t="shared" si="244"/>
        <v/>
      </c>
      <c r="S1345" s="13" t="str">
        <f t="shared" si="245"/>
        <v/>
      </c>
      <c r="T1345" s="22" t="str">
        <f>IF(R1345&lt;&gt;"",VLOOKUP(P1345,Constants!$D$3:$E$10,2),"")</f>
        <v/>
      </c>
    </row>
    <row r="1346" spans="12:20" x14ac:dyDescent="0.25">
      <c r="L1346" s="10" t="str">
        <f t="shared" si="238"/>
        <v/>
      </c>
      <c r="M1346" s="10" t="str">
        <f t="shared" si="239"/>
        <v/>
      </c>
      <c r="N1346" s="11" t="str">
        <f t="shared" si="240"/>
        <v/>
      </c>
      <c r="O1346" s="10" t="str">
        <f t="shared" si="241"/>
        <v/>
      </c>
      <c r="P1346" s="12" t="str">
        <f t="shared" si="242"/>
        <v/>
      </c>
      <c r="Q1346" s="10" t="str">
        <f t="shared" si="243"/>
        <v/>
      </c>
      <c r="R1346" s="13" t="str">
        <f t="shared" si="244"/>
        <v/>
      </c>
      <c r="S1346" s="13" t="str">
        <f t="shared" si="245"/>
        <v/>
      </c>
      <c r="T1346" s="22" t="str">
        <f>IF(R1346&lt;&gt;"",VLOOKUP(P1346,Constants!$D$3:$E$10,2),"")</f>
        <v/>
      </c>
    </row>
    <row r="1347" spans="12:20" x14ac:dyDescent="0.25">
      <c r="L1347" s="10" t="str">
        <f t="shared" si="238"/>
        <v/>
      </c>
      <c r="M1347" s="10" t="str">
        <f t="shared" si="239"/>
        <v/>
      </c>
      <c r="N1347" s="11" t="str">
        <f t="shared" si="240"/>
        <v/>
      </c>
      <c r="O1347" s="10" t="str">
        <f t="shared" si="241"/>
        <v/>
      </c>
      <c r="P1347" s="12" t="str">
        <f t="shared" si="242"/>
        <v/>
      </c>
      <c r="Q1347" s="10" t="str">
        <f t="shared" si="243"/>
        <v/>
      </c>
      <c r="R1347" s="13" t="str">
        <f t="shared" si="244"/>
        <v/>
      </c>
      <c r="S1347" s="13" t="str">
        <f t="shared" si="245"/>
        <v/>
      </c>
      <c r="T1347" s="22" t="str">
        <f>IF(R1347&lt;&gt;"",VLOOKUP(P1347,Constants!$D$3:$E$10,2),"")</f>
        <v/>
      </c>
    </row>
    <row r="1348" spans="12:20" x14ac:dyDescent="0.25">
      <c r="L1348" s="10" t="str">
        <f t="shared" si="238"/>
        <v/>
      </c>
      <c r="M1348" s="10" t="str">
        <f t="shared" si="239"/>
        <v/>
      </c>
      <c r="N1348" s="11" t="str">
        <f t="shared" si="240"/>
        <v/>
      </c>
      <c r="O1348" s="10" t="str">
        <f t="shared" si="241"/>
        <v/>
      </c>
      <c r="P1348" s="12" t="str">
        <f t="shared" si="242"/>
        <v/>
      </c>
      <c r="Q1348" s="10" t="str">
        <f t="shared" si="243"/>
        <v/>
      </c>
      <c r="R1348" s="13" t="str">
        <f t="shared" si="244"/>
        <v/>
      </c>
      <c r="S1348" s="13" t="str">
        <f t="shared" si="245"/>
        <v/>
      </c>
      <c r="T1348" s="22" t="str">
        <f>IF(R1348&lt;&gt;"",VLOOKUP(P1348,Constants!$D$3:$E$10,2),"")</f>
        <v/>
      </c>
    </row>
    <row r="1349" spans="12:20" x14ac:dyDescent="0.25">
      <c r="L1349" s="10" t="str">
        <f t="shared" si="238"/>
        <v/>
      </c>
      <c r="M1349" s="10" t="str">
        <f t="shared" si="239"/>
        <v/>
      </c>
      <c r="N1349" s="11" t="str">
        <f t="shared" si="240"/>
        <v/>
      </c>
      <c r="O1349" s="10" t="str">
        <f t="shared" si="241"/>
        <v/>
      </c>
      <c r="P1349" s="12" t="str">
        <f t="shared" si="242"/>
        <v/>
      </c>
      <c r="Q1349" s="10" t="str">
        <f t="shared" si="243"/>
        <v/>
      </c>
      <c r="R1349" s="13" t="str">
        <f t="shared" si="244"/>
        <v/>
      </c>
      <c r="S1349" s="13" t="str">
        <f t="shared" si="245"/>
        <v/>
      </c>
      <c r="T1349" s="22" t="str">
        <f>IF(R1349&lt;&gt;"",VLOOKUP(P1349,Constants!$D$3:$E$10,2),"")</f>
        <v/>
      </c>
    </row>
    <row r="1350" spans="12:20" x14ac:dyDescent="0.25">
      <c r="L1350" s="10" t="str">
        <f t="shared" si="238"/>
        <v/>
      </c>
      <c r="M1350" s="10" t="str">
        <f t="shared" si="239"/>
        <v/>
      </c>
      <c r="N1350" s="11" t="str">
        <f t="shared" si="240"/>
        <v/>
      </c>
      <c r="O1350" s="10" t="str">
        <f t="shared" si="241"/>
        <v/>
      </c>
      <c r="P1350" s="12" t="str">
        <f t="shared" si="242"/>
        <v/>
      </c>
      <c r="Q1350" s="10" t="str">
        <f t="shared" si="243"/>
        <v/>
      </c>
      <c r="R1350" s="13" t="str">
        <f t="shared" si="244"/>
        <v/>
      </c>
      <c r="S1350" s="13" t="str">
        <f t="shared" si="245"/>
        <v/>
      </c>
      <c r="T1350" s="22" t="str">
        <f>IF(R1350&lt;&gt;"",VLOOKUP(P1350,Constants!$D$3:$E$10,2),"")</f>
        <v/>
      </c>
    </row>
    <row r="1351" spans="12:20" x14ac:dyDescent="0.25">
      <c r="L1351" s="10" t="str">
        <f t="shared" si="238"/>
        <v/>
      </c>
      <c r="M1351" s="10" t="str">
        <f t="shared" si="239"/>
        <v/>
      </c>
      <c r="N1351" s="11" t="str">
        <f t="shared" si="240"/>
        <v/>
      </c>
      <c r="O1351" s="10" t="str">
        <f t="shared" si="241"/>
        <v/>
      </c>
      <c r="P1351" s="12" t="str">
        <f t="shared" si="242"/>
        <v/>
      </c>
      <c r="Q1351" s="10" t="str">
        <f t="shared" si="243"/>
        <v/>
      </c>
      <c r="R1351" s="13" t="str">
        <f t="shared" si="244"/>
        <v/>
      </c>
      <c r="S1351" s="13" t="str">
        <f t="shared" si="245"/>
        <v/>
      </c>
      <c r="T1351" s="22" t="str">
        <f>IF(R1351&lt;&gt;"",VLOOKUP(P1351,Constants!$D$3:$E$10,2),"")</f>
        <v/>
      </c>
    </row>
    <row r="1352" spans="12:20" x14ac:dyDescent="0.25">
      <c r="L1352" s="10" t="str">
        <f t="shared" si="238"/>
        <v/>
      </c>
      <c r="M1352" s="10" t="str">
        <f t="shared" si="239"/>
        <v/>
      </c>
      <c r="N1352" s="11" t="str">
        <f t="shared" si="240"/>
        <v/>
      </c>
      <c r="O1352" s="10" t="str">
        <f t="shared" si="241"/>
        <v/>
      </c>
      <c r="P1352" s="12" t="str">
        <f t="shared" si="242"/>
        <v/>
      </c>
      <c r="Q1352" s="10" t="str">
        <f t="shared" si="243"/>
        <v/>
      </c>
      <c r="R1352" s="13" t="str">
        <f t="shared" si="244"/>
        <v/>
      </c>
      <c r="S1352" s="13" t="str">
        <f t="shared" si="245"/>
        <v/>
      </c>
      <c r="T1352" s="22" t="str">
        <f>IF(R1352&lt;&gt;"",VLOOKUP(P1352,Constants!$D$3:$E$10,2),"")</f>
        <v/>
      </c>
    </row>
    <row r="1353" spans="12:20" x14ac:dyDescent="0.25">
      <c r="L1353" s="10" t="str">
        <f t="shared" si="238"/>
        <v/>
      </c>
      <c r="M1353" s="10" t="str">
        <f t="shared" si="239"/>
        <v/>
      </c>
      <c r="N1353" s="11" t="str">
        <f t="shared" si="240"/>
        <v/>
      </c>
      <c r="O1353" s="10" t="str">
        <f t="shared" si="241"/>
        <v/>
      </c>
      <c r="P1353" s="12" t="str">
        <f t="shared" si="242"/>
        <v/>
      </c>
      <c r="Q1353" s="10" t="str">
        <f t="shared" si="243"/>
        <v/>
      </c>
      <c r="R1353" s="13" t="str">
        <f t="shared" si="244"/>
        <v/>
      </c>
      <c r="S1353" s="13" t="str">
        <f t="shared" si="245"/>
        <v/>
      </c>
      <c r="T1353" s="22" t="str">
        <f>IF(R1353&lt;&gt;"",VLOOKUP(P1353,Constants!$D$3:$E$10,2),"")</f>
        <v/>
      </c>
    </row>
    <row r="1354" spans="12:20" x14ac:dyDescent="0.25">
      <c r="L1354" s="10" t="str">
        <f t="shared" si="238"/>
        <v/>
      </c>
      <c r="M1354" s="10" t="str">
        <f t="shared" si="239"/>
        <v/>
      </c>
      <c r="N1354" s="11" t="str">
        <f t="shared" si="240"/>
        <v/>
      </c>
      <c r="O1354" s="10" t="str">
        <f t="shared" si="241"/>
        <v/>
      </c>
      <c r="P1354" s="12" t="str">
        <f t="shared" si="242"/>
        <v/>
      </c>
      <c r="Q1354" s="10" t="str">
        <f t="shared" si="243"/>
        <v/>
      </c>
      <c r="R1354" s="13" t="str">
        <f t="shared" si="244"/>
        <v/>
      </c>
      <c r="S1354" s="13" t="str">
        <f t="shared" si="245"/>
        <v/>
      </c>
      <c r="T1354" s="22" t="str">
        <f>IF(R1354&lt;&gt;"",VLOOKUP(P1354,Constants!$D$3:$E$10,2),"")</f>
        <v/>
      </c>
    </row>
    <row r="1355" spans="12:20" x14ac:dyDescent="0.25">
      <c r="L1355" s="10" t="str">
        <f t="shared" si="238"/>
        <v/>
      </c>
      <c r="M1355" s="10" t="str">
        <f t="shared" si="239"/>
        <v/>
      </c>
      <c r="N1355" s="11" t="str">
        <f t="shared" si="240"/>
        <v/>
      </c>
      <c r="O1355" s="10" t="str">
        <f t="shared" si="241"/>
        <v/>
      </c>
      <c r="P1355" s="12" t="str">
        <f t="shared" si="242"/>
        <v/>
      </c>
      <c r="Q1355" s="10" t="str">
        <f t="shared" si="243"/>
        <v/>
      </c>
      <c r="R1355" s="13" t="str">
        <f t="shared" si="244"/>
        <v/>
      </c>
      <c r="S1355" s="13" t="str">
        <f t="shared" si="245"/>
        <v/>
      </c>
      <c r="T1355" s="22" t="str">
        <f>IF(R1355&lt;&gt;"",VLOOKUP(P1355,Constants!$D$3:$E$10,2),"")</f>
        <v/>
      </c>
    </row>
    <row r="1356" spans="12:20" x14ac:dyDescent="0.25">
      <c r="L1356" s="10" t="str">
        <f t="shared" si="238"/>
        <v/>
      </c>
      <c r="M1356" s="10" t="str">
        <f t="shared" si="239"/>
        <v/>
      </c>
      <c r="N1356" s="11" t="str">
        <f t="shared" si="240"/>
        <v/>
      </c>
      <c r="O1356" s="10" t="str">
        <f t="shared" si="241"/>
        <v/>
      </c>
      <c r="P1356" s="12" t="str">
        <f t="shared" si="242"/>
        <v/>
      </c>
      <c r="Q1356" s="10" t="str">
        <f t="shared" si="243"/>
        <v/>
      </c>
      <c r="R1356" s="13" t="str">
        <f t="shared" si="244"/>
        <v/>
      </c>
      <c r="S1356" s="13" t="str">
        <f t="shared" si="245"/>
        <v/>
      </c>
      <c r="T1356" s="22" t="str">
        <f>IF(R1356&lt;&gt;"",VLOOKUP(P1356,Constants!$D$3:$E$10,2),"")</f>
        <v/>
      </c>
    </row>
    <row r="1357" spans="12:20" x14ac:dyDescent="0.25">
      <c r="L1357" s="10" t="str">
        <f t="shared" si="238"/>
        <v/>
      </c>
      <c r="M1357" s="10" t="str">
        <f t="shared" si="239"/>
        <v/>
      </c>
      <c r="N1357" s="11" t="str">
        <f t="shared" si="240"/>
        <v/>
      </c>
      <c r="O1357" s="10" t="str">
        <f t="shared" si="241"/>
        <v/>
      </c>
      <c r="P1357" s="12" t="str">
        <f t="shared" si="242"/>
        <v/>
      </c>
      <c r="Q1357" s="10" t="str">
        <f t="shared" si="243"/>
        <v/>
      </c>
      <c r="R1357" s="13" t="str">
        <f t="shared" si="244"/>
        <v/>
      </c>
      <c r="S1357" s="13" t="str">
        <f t="shared" si="245"/>
        <v/>
      </c>
      <c r="T1357" s="22" t="str">
        <f>IF(R1357&lt;&gt;"",VLOOKUP(P1357,Constants!$D$3:$E$10,2),"")</f>
        <v/>
      </c>
    </row>
    <row r="1358" spans="12:20" x14ac:dyDescent="0.25">
      <c r="L1358" s="10" t="str">
        <f t="shared" si="238"/>
        <v/>
      </c>
      <c r="M1358" s="10" t="str">
        <f t="shared" si="239"/>
        <v/>
      </c>
      <c r="N1358" s="11" t="str">
        <f t="shared" si="240"/>
        <v/>
      </c>
      <c r="O1358" s="10" t="str">
        <f t="shared" si="241"/>
        <v/>
      </c>
      <c r="P1358" s="12" t="str">
        <f t="shared" si="242"/>
        <v/>
      </c>
      <c r="Q1358" s="10" t="str">
        <f t="shared" si="243"/>
        <v/>
      </c>
      <c r="R1358" s="13" t="str">
        <f t="shared" si="244"/>
        <v/>
      </c>
      <c r="S1358" s="13" t="str">
        <f t="shared" si="245"/>
        <v/>
      </c>
      <c r="T1358" s="22" t="str">
        <f>IF(R1358&lt;&gt;"",VLOOKUP(P1358,Constants!$D$3:$E$10,2),"")</f>
        <v/>
      </c>
    </row>
    <row r="1359" spans="12:20" x14ac:dyDescent="0.25">
      <c r="L1359" s="10" t="str">
        <f t="shared" si="238"/>
        <v/>
      </c>
      <c r="M1359" s="10" t="str">
        <f t="shared" si="239"/>
        <v/>
      </c>
      <c r="N1359" s="11" t="str">
        <f t="shared" si="240"/>
        <v/>
      </c>
      <c r="O1359" s="10" t="str">
        <f t="shared" si="241"/>
        <v/>
      </c>
      <c r="P1359" s="12" t="str">
        <f t="shared" si="242"/>
        <v/>
      </c>
      <c r="Q1359" s="10" t="str">
        <f t="shared" si="243"/>
        <v/>
      </c>
      <c r="R1359" s="13" t="str">
        <f t="shared" si="244"/>
        <v/>
      </c>
      <c r="S1359" s="13" t="str">
        <f t="shared" si="245"/>
        <v/>
      </c>
      <c r="T1359" s="22" t="str">
        <f>IF(R1359&lt;&gt;"",VLOOKUP(P1359,Constants!$D$3:$E$10,2),"")</f>
        <v/>
      </c>
    </row>
    <row r="1360" spans="12:20" x14ac:dyDescent="0.25">
      <c r="L1360" s="10" t="str">
        <f t="shared" si="238"/>
        <v/>
      </c>
      <c r="M1360" s="10" t="str">
        <f t="shared" si="239"/>
        <v/>
      </c>
      <c r="N1360" s="11" t="str">
        <f t="shared" si="240"/>
        <v/>
      </c>
      <c r="O1360" s="10" t="str">
        <f t="shared" si="241"/>
        <v/>
      </c>
      <c r="P1360" s="12" t="str">
        <f t="shared" si="242"/>
        <v/>
      </c>
      <c r="Q1360" s="10" t="str">
        <f t="shared" si="243"/>
        <v/>
      </c>
      <c r="R1360" s="13" t="str">
        <f t="shared" si="244"/>
        <v/>
      </c>
      <c r="S1360" s="13" t="str">
        <f t="shared" si="245"/>
        <v/>
      </c>
      <c r="T1360" s="22" t="str">
        <f>IF(R1360&lt;&gt;"",VLOOKUP(P1360,Constants!$D$3:$E$10,2),"")</f>
        <v/>
      </c>
    </row>
    <row r="1361" spans="12:20" x14ac:dyDescent="0.25">
      <c r="L1361" s="10" t="str">
        <f t="shared" si="238"/>
        <v/>
      </c>
      <c r="M1361" s="10" t="str">
        <f t="shared" si="239"/>
        <v/>
      </c>
      <c r="N1361" s="11" t="str">
        <f t="shared" si="240"/>
        <v/>
      </c>
      <c r="O1361" s="10" t="str">
        <f t="shared" si="241"/>
        <v/>
      </c>
      <c r="P1361" s="12" t="str">
        <f t="shared" si="242"/>
        <v/>
      </c>
      <c r="Q1361" s="10" t="str">
        <f t="shared" si="243"/>
        <v/>
      </c>
      <c r="R1361" s="13" t="str">
        <f t="shared" si="244"/>
        <v/>
      </c>
      <c r="S1361" s="13" t="str">
        <f t="shared" si="245"/>
        <v/>
      </c>
      <c r="T1361" s="22" t="str">
        <f>IF(R1361&lt;&gt;"",VLOOKUP(P1361,Constants!$D$3:$E$10,2),"")</f>
        <v/>
      </c>
    </row>
    <row r="1362" spans="12:20" x14ac:dyDescent="0.25">
      <c r="L1362" s="10" t="str">
        <f t="shared" ref="L1362:L1425" si="246">IF($D1362&lt;&gt;"",$D1362*$E1362/1000,"")</f>
        <v/>
      </c>
      <c r="M1362" s="10" t="str">
        <f t="shared" ref="M1362:M1425" si="247">IF($D1362&lt;&gt;"",$D1362*$F1362/1000,"")</f>
        <v/>
      </c>
      <c r="N1362" s="11" t="str">
        <f t="shared" ref="N1362:N1425" si="248">IF($L1362&lt;&gt;"",SQRT($L1362*$L1362+$M1362*$M1362),"")</f>
        <v/>
      </c>
      <c r="O1362" s="10" t="str">
        <f t="shared" si="241"/>
        <v/>
      </c>
      <c r="P1362" s="12" t="str">
        <f t="shared" si="242"/>
        <v/>
      </c>
      <c r="Q1362" s="10" t="str">
        <f t="shared" si="243"/>
        <v/>
      </c>
      <c r="R1362" s="13" t="str">
        <f t="shared" si="244"/>
        <v/>
      </c>
      <c r="S1362" s="13" t="str">
        <f t="shared" si="245"/>
        <v/>
      </c>
      <c r="T1362" s="22" t="str">
        <f>IF(R1362&lt;&gt;"",VLOOKUP(P1362,Constants!$D$3:$E$10,2),"")</f>
        <v/>
      </c>
    </row>
    <row r="1363" spans="12:20" x14ac:dyDescent="0.25">
      <c r="L1363" s="10" t="str">
        <f t="shared" si="246"/>
        <v/>
      </c>
      <c r="M1363" s="10" t="str">
        <f t="shared" si="247"/>
        <v/>
      </c>
      <c r="N1363" s="11" t="str">
        <f t="shared" si="248"/>
        <v/>
      </c>
      <c r="O1363" s="10" t="str">
        <f t="shared" si="241"/>
        <v/>
      </c>
      <c r="P1363" s="12" t="str">
        <f t="shared" si="242"/>
        <v/>
      </c>
      <c r="Q1363" s="10" t="str">
        <f t="shared" si="243"/>
        <v/>
      </c>
      <c r="R1363" s="13" t="str">
        <f t="shared" si="244"/>
        <v/>
      </c>
      <c r="S1363" s="13" t="str">
        <f t="shared" si="245"/>
        <v/>
      </c>
      <c r="T1363" s="22" t="str">
        <f>IF(R1363&lt;&gt;"",VLOOKUP(P1363,Constants!$D$3:$E$10,2),"")</f>
        <v/>
      </c>
    </row>
    <row r="1364" spans="12:20" x14ac:dyDescent="0.25">
      <c r="L1364" s="10" t="str">
        <f t="shared" si="246"/>
        <v/>
      </c>
      <c r="M1364" s="10" t="str">
        <f t="shared" si="247"/>
        <v/>
      </c>
      <c r="N1364" s="11" t="str">
        <f t="shared" si="248"/>
        <v/>
      </c>
      <c r="O1364" s="10" t="str">
        <f t="shared" ref="O1364:O1427" si="249">IF(D1364&lt;&gt;"",1000/(2*D1364),"")</f>
        <v/>
      </c>
      <c r="P1364" s="12" t="str">
        <f t="shared" ref="P1364:P1427" si="250">IF($N1364&lt;&gt;"",D1364*SQRT(E1364*E1364+F1364*F1364)/16000,"")</f>
        <v/>
      </c>
      <c r="Q1364" s="10" t="str">
        <f t="shared" ref="Q1364:Q1427" si="251">IF(F1364&lt;&gt;"",F1364*E1364/1000000,"")</f>
        <v/>
      </c>
      <c r="R1364" s="13" t="str">
        <f t="shared" ref="R1364:R1427" si="252">IF(G1364&lt;&gt;"",1000/G1364,"")</f>
        <v/>
      </c>
      <c r="S1364" s="13" t="str">
        <f t="shared" ref="S1364:S1427" si="253">IF(R1364&lt;&gt;"",Q1364/R1364*1000,"")</f>
        <v/>
      </c>
      <c r="T1364" s="22" t="str">
        <f>IF(R1364&lt;&gt;"",VLOOKUP(P1364,Constants!$D$3:$E$10,2),"")</f>
        <v/>
      </c>
    </row>
    <row r="1365" spans="12:20" x14ac:dyDescent="0.25">
      <c r="L1365" s="10" t="str">
        <f t="shared" si="246"/>
        <v/>
      </c>
      <c r="M1365" s="10" t="str">
        <f t="shared" si="247"/>
        <v/>
      </c>
      <c r="N1365" s="11" t="str">
        <f t="shared" si="248"/>
        <v/>
      </c>
      <c r="O1365" s="10" t="str">
        <f t="shared" si="249"/>
        <v/>
      </c>
      <c r="P1365" s="12" t="str">
        <f t="shared" si="250"/>
        <v/>
      </c>
      <c r="Q1365" s="10" t="str">
        <f t="shared" si="251"/>
        <v/>
      </c>
      <c r="R1365" s="13" t="str">
        <f t="shared" si="252"/>
        <v/>
      </c>
      <c r="S1365" s="13" t="str">
        <f t="shared" si="253"/>
        <v/>
      </c>
      <c r="T1365" s="22" t="str">
        <f>IF(R1365&lt;&gt;"",VLOOKUP(P1365,Constants!$D$3:$E$10,2),"")</f>
        <v/>
      </c>
    </row>
    <row r="1366" spans="12:20" x14ac:dyDescent="0.25">
      <c r="L1366" s="10" t="str">
        <f t="shared" si="246"/>
        <v/>
      </c>
      <c r="M1366" s="10" t="str">
        <f t="shared" si="247"/>
        <v/>
      </c>
      <c r="N1366" s="11" t="str">
        <f t="shared" si="248"/>
        <v/>
      </c>
      <c r="O1366" s="10" t="str">
        <f t="shared" si="249"/>
        <v/>
      </c>
      <c r="P1366" s="12" t="str">
        <f t="shared" si="250"/>
        <v/>
      </c>
      <c r="Q1366" s="10" t="str">
        <f t="shared" si="251"/>
        <v/>
      </c>
      <c r="R1366" s="13" t="str">
        <f t="shared" si="252"/>
        <v/>
      </c>
      <c r="S1366" s="13" t="str">
        <f t="shared" si="253"/>
        <v/>
      </c>
      <c r="T1366" s="22" t="str">
        <f>IF(R1366&lt;&gt;"",VLOOKUP(P1366,Constants!$D$3:$E$10,2),"")</f>
        <v/>
      </c>
    </row>
    <row r="1367" spans="12:20" x14ac:dyDescent="0.25">
      <c r="L1367" s="10" t="str">
        <f t="shared" si="246"/>
        <v/>
      </c>
      <c r="M1367" s="10" t="str">
        <f t="shared" si="247"/>
        <v/>
      </c>
      <c r="N1367" s="11" t="str">
        <f t="shared" si="248"/>
        <v/>
      </c>
      <c r="O1367" s="10" t="str">
        <f t="shared" si="249"/>
        <v/>
      </c>
      <c r="P1367" s="12" t="str">
        <f t="shared" si="250"/>
        <v/>
      </c>
      <c r="Q1367" s="10" t="str">
        <f t="shared" si="251"/>
        <v/>
      </c>
      <c r="R1367" s="13" t="str">
        <f t="shared" si="252"/>
        <v/>
      </c>
      <c r="S1367" s="13" t="str">
        <f t="shared" si="253"/>
        <v/>
      </c>
      <c r="T1367" s="22" t="str">
        <f>IF(R1367&lt;&gt;"",VLOOKUP(P1367,Constants!$D$3:$E$10,2),"")</f>
        <v/>
      </c>
    </row>
    <row r="1368" spans="12:20" x14ac:dyDescent="0.25">
      <c r="L1368" s="10" t="str">
        <f t="shared" si="246"/>
        <v/>
      </c>
      <c r="M1368" s="10" t="str">
        <f t="shared" si="247"/>
        <v/>
      </c>
      <c r="N1368" s="11" t="str">
        <f t="shared" si="248"/>
        <v/>
      </c>
      <c r="O1368" s="10" t="str">
        <f t="shared" si="249"/>
        <v/>
      </c>
      <c r="P1368" s="12" t="str">
        <f t="shared" si="250"/>
        <v/>
      </c>
      <c r="Q1368" s="10" t="str">
        <f t="shared" si="251"/>
        <v/>
      </c>
      <c r="R1368" s="13" t="str">
        <f t="shared" si="252"/>
        <v/>
      </c>
      <c r="S1368" s="13" t="str">
        <f t="shared" si="253"/>
        <v/>
      </c>
      <c r="T1368" s="22" t="str">
        <f>IF(R1368&lt;&gt;"",VLOOKUP(P1368,Constants!$D$3:$E$10,2),"")</f>
        <v/>
      </c>
    </row>
    <row r="1369" spans="12:20" x14ac:dyDescent="0.25">
      <c r="L1369" s="10" t="str">
        <f t="shared" si="246"/>
        <v/>
      </c>
      <c r="M1369" s="10" t="str">
        <f t="shared" si="247"/>
        <v/>
      </c>
      <c r="N1369" s="11" t="str">
        <f t="shared" si="248"/>
        <v/>
      </c>
      <c r="O1369" s="10" t="str">
        <f t="shared" si="249"/>
        <v/>
      </c>
      <c r="P1369" s="12" t="str">
        <f t="shared" si="250"/>
        <v/>
      </c>
      <c r="Q1369" s="10" t="str">
        <f t="shared" si="251"/>
        <v/>
      </c>
      <c r="R1369" s="13" t="str">
        <f t="shared" si="252"/>
        <v/>
      </c>
      <c r="S1369" s="13" t="str">
        <f t="shared" si="253"/>
        <v/>
      </c>
      <c r="T1369" s="22" t="str">
        <f>IF(R1369&lt;&gt;"",VLOOKUP(P1369,Constants!$D$3:$E$10,2),"")</f>
        <v/>
      </c>
    </row>
    <row r="1370" spans="12:20" x14ac:dyDescent="0.25">
      <c r="L1370" s="10" t="str">
        <f t="shared" si="246"/>
        <v/>
      </c>
      <c r="M1370" s="10" t="str">
        <f t="shared" si="247"/>
        <v/>
      </c>
      <c r="N1370" s="11" t="str">
        <f t="shared" si="248"/>
        <v/>
      </c>
      <c r="O1370" s="10" t="str">
        <f t="shared" si="249"/>
        <v/>
      </c>
      <c r="P1370" s="12" t="str">
        <f t="shared" si="250"/>
        <v/>
      </c>
      <c r="Q1370" s="10" t="str">
        <f t="shared" si="251"/>
        <v/>
      </c>
      <c r="R1370" s="13" t="str">
        <f t="shared" si="252"/>
        <v/>
      </c>
      <c r="S1370" s="13" t="str">
        <f t="shared" si="253"/>
        <v/>
      </c>
      <c r="T1370" s="22" t="str">
        <f>IF(R1370&lt;&gt;"",VLOOKUP(P1370,Constants!$D$3:$E$10,2),"")</f>
        <v/>
      </c>
    </row>
    <row r="1371" spans="12:20" x14ac:dyDescent="0.25">
      <c r="L1371" s="10" t="str">
        <f t="shared" si="246"/>
        <v/>
      </c>
      <c r="M1371" s="10" t="str">
        <f t="shared" si="247"/>
        <v/>
      </c>
      <c r="N1371" s="11" t="str">
        <f t="shared" si="248"/>
        <v/>
      </c>
      <c r="O1371" s="10" t="str">
        <f t="shared" si="249"/>
        <v/>
      </c>
      <c r="P1371" s="12" t="str">
        <f t="shared" si="250"/>
        <v/>
      </c>
      <c r="Q1371" s="10" t="str">
        <f t="shared" si="251"/>
        <v/>
      </c>
      <c r="R1371" s="13" t="str">
        <f t="shared" si="252"/>
        <v/>
      </c>
      <c r="S1371" s="13" t="str">
        <f t="shared" si="253"/>
        <v/>
      </c>
      <c r="T1371" s="22" t="str">
        <f>IF(R1371&lt;&gt;"",VLOOKUP(P1371,Constants!$D$3:$E$10,2),"")</f>
        <v/>
      </c>
    </row>
    <row r="1372" spans="12:20" x14ac:dyDescent="0.25">
      <c r="L1372" s="10" t="str">
        <f t="shared" si="246"/>
        <v/>
      </c>
      <c r="M1372" s="10" t="str">
        <f t="shared" si="247"/>
        <v/>
      </c>
      <c r="N1372" s="11" t="str">
        <f t="shared" si="248"/>
        <v/>
      </c>
      <c r="O1372" s="10" t="str">
        <f t="shared" si="249"/>
        <v/>
      </c>
      <c r="P1372" s="12" t="str">
        <f t="shared" si="250"/>
        <v/>
      </c>
      <c r="Q1372" s="10" t="str">
        <f t="shared" si="251"/>
        <v/>
      </c>
      <c r="R1372" s="13" t="str">
        <f t="shared" si="252"/>
        <v/>
      </c>
      <c r="S1372" s="13" t="str">
        <f t="shared" si="253"/>
        <v/>
      </c>
      <c r="T1372" s="22" t="str">
        <f>IF(R1372&lt;&gt;"",VLOOKUP(P1372,Constants!$D$3:$E$10,2),"")</f>
        <v/>
      </c>
    </row>
    <row r="1373" spans="12:20" x14ac:dyDescent="0.25">
      <c r="L1373" s="10" t="str">
        <f t="shared" si="246"/>
        <v/>
      </c>
      <c r="M1373" s="10" t="str">
        <f t="shared" si="247"/>
        <v/>
      </c>
      <c r="N1373" s="11" t="str">
        <f t="shared" si="248"/>
        <v/>
      </c>
      <c r="O1373" s="10" t="str">
        <f t="shared" si="249"/>
        <v/>
      </c>
      <c r="P1373" s="12" t="str">
        <f t="shared" si="250"/>
        <v/>
      </c>
      <c r="Q1373" s="10" t="str">
        <f t="shared" si="251"/>
        <v/>
      </c>
      <c r="R1373" s="13" t="str">
        <f t="shared" si="252"/>
        <v/>
      </c>
      <c r="S1373" s="13" t="str">
        <f t="shared" si="253"/>
        <v/>
      </c>
      <c r="T1373" s="22" t="str">
        <f>IF(R1373&lt;&gt;"",VLOOKUP(P1373,Constants!$D$3:$E$10,2),"")</f>
        <v/>
      </c>
    </row>
    <row r="1374" spans="12:20" x14ac:dyDescent="0.25">
      <c r="L1374" s="10" t="str">
        <f t="shared" si="246"/>
        <v/>
      </c>
      <c r="M1374" s="10" t="str">
        <f t="shared" si="247"/>
        <v/>
      </c>
      <c r="N1374" s="11" t="str">
        <f t="shared" si="248"/>
        <v/>
      </c>
      <c r="O1374" s="10" t="str">
        <f t="shared" si="249"/>
        <v/>
      </c>
      <c r="P1374" s="12" t="str">
        <f t="shared" si="250"/>
        <v/>
      </c>
      <c r="Q1374" s="10" t="str">
        <f t="shared" si="251"/>
        <v/>
      </c>
      <c r="R1374" s="13" t="str">
        <f t="shared" si="252"/>
        <v/>
      </c>
      <c r="S1374" s="13" t="str">
        <f t="shared" si="253"/>
        <v/>
      </c>
      <c r="T1374" s="22" t="str">
        <f>IF(R1374&lt;&gt;"",VLOOKUP(P1374,Constants!$D$3:$E$10,2),"")</f>
        <v/>
      </c>
    </row>
    <row r="1375" spans="12:20" x14ac:dyDescent="0.25">
      <c r="L1375" s="10" t="str">
        <f t="shared" si="246"/>
        <v/>
      </c>
      <c r="M1375" s="10" t="str">
        <f t="shared" si="247"/>
        <v/>
      </c>
      <c r="N1375" s="11" t="str">
        <f t="shared" si="248"/>
        <v/>
      </c>
      <c r="O1375" s="10" t="str">
        <f t="shared" si="249"/>
        <v/>
      </c>
      <c r="P1375" s="12" t="str">
        <f t="shared" si="250"/>
        <v/>
      </c>
      <c r="Q1375" s="10" t="str">
        <f t="shared" si="251"/>
        <v/>
      </c>
      <c r="R1375" s="13" t="str">
        <f t="shared" si="252"/>
        <v/>
      </c>
      <c r="S1375" s="13" t="str">
        <f t="shared" si="253"/>
        <v/>
      </c>
      <c r="T1375" s="22" t="str">
        <f>IF(R1375&lt;&gt;"",VLOOKUP(P1375,Constants!$D$3:$E$10,2),"")</f>
        <v/>
      </c>
    </row>
    <row r="1376" spans="12:20" x14ac:dyDescent="0.25">
      <c r="L1376" s="10" t="str">
        <f t="shared" si="246"/>
        <v/>
      </c>
      <c r="M1376" s="10" t="str">
        <f t="shared" si="247"/>
        <v/>
      </c>
      <c r="N1376" s="11" t="str">
        <f t="shared" si="248"/>
        <v/>
      </c>
      <c r="O1376" s="10" t="str">
        <f t="shared" si="249"/>
        <v/>
      </c>
      <c r="P1376" s="12" t="str">
        <f t="shared" si="250"/>
        <v/>
      </c>
      <c r="Q1376" s="10" t="str">
        <f t="shared" si="251"/>
        <v/>
      </c>
      <c r="R1376" s="13" t="str">
        <f t="shared" si="252"/>
        <v/>
      </c>
      <c r="S1376" s="13" t="str">
        <f t="shared" si="253"/>
        <v/>
      </c>
      <c r="T1376" s="22" t="str">
        <f>IF(R1376&lt;&gt;"",VLOOKUP(P1376,Constants!$D$3:$E$10,2),"")</f>
        <v/>
      </c>
    </row>
    <row r="1377" spans="12:20" x14ac:dyDescent="0.25">
      <c r="L1377" s="10" t="str">
        <f t="shared" si="246"/>
        <v/>
      </c>
      <c r="M1377" s="10" t="str">
        <f t="shared" si="247"/>
        <v/>
      </c>
      <c r="N1377" s="11" t="str">
        <f t="shared" si="248"/>
        <v/>
      </c>
      <c r="O1377" s="10" t="str">
        <f t="shared" si="249"/>
        <v/>
      </c>
      <c r="P1377" s="12" t="str">
        <f t="shared" si="250"/>
        <v/>
      </c>
      <c r="Q1377" s="10" t="str">
        <f t="shared" si="251"/>
        <v/>
      </c>
      <c r="R1377" s="13" t="str">
        <f t="shared" si="252"/>
        <v/>
      </c>
      <c r="S1377" s="13" t="str">
        <f t="shared" si="253"/>
        <v/>
      </c>
      <c r="T1377" s="22" t="str">
        <f>IF(R1377&lt;&gt;"",VLOOKUP(P1377,Constants!$D$3:$E$10,2),"")</f>
        <v/>
      </c>
    </row>
    <row r="1378" spans="12:20" x14ac:dyDescent="0.25">
      <c r="L1378" s="10" t="str">
        <f t="shared" si="246"/>
        <v/>
      </c>
      <c r="M1378" s="10" t="str">
        <f t="shared" si="247"/>
        <v/>
      </c>
      <c r="N1378" s="11" t="str">
        <f t="shared" si="248"/>
        <v/>
      </c>
      <c r="O1378" s="10" t="str">
        <f t="shared" si="249"/>
        <v/>
      </c>
      <c r="P1378" s="12" t="str">
        <f t="shared" si="250"/>
        <v/>
      </c>
      <c r="Q1378" s="10" t="str">
        <f t="shared" si="251"/>
        <v/>
      </c>
      <c r="R1378" s="13" t="str">
        <f t="shared" si="252"/>
        <v/>
      </c>
      <c r="S1378" s="13" t="str">
        <f t="shared" si="253"/>
        <v/>
      </c>
      <c r="T1378" s="22" t="str">
        <f>IF(R1378&lt;&gt;"",VLOOKUP(P1378,Constants!$D$3:$E$10,2),"")</f>
        <v/>
      </c>
    </row>
    <row r="1379" spans="12:20" x14ac:dyDescent="0.25">
      <c r="L1379" s="10" t="str">
        <f t="shared" si="246"/>
        <v/>
      </c>
      <c r="M1379" s="10" t="str">
        <f t="shared" si="247"/>
        <v/>
      </c>
      <c r="N1379" s="11" t="str">
        <f t="shared" si="248"/>
        <v/>
      </c>
      <c r="O1379" s="10" t="str">
        <f t="shared" si="249"/>
        <v/>
      </c>
      <c r="P1379" s="12" t="str">
        <f t="shared" si="250"/>
        <v/>
      </c>
      <c r="Q1379" s="10" t="str">
        <f t="shared" si="251"/>
        <v/>
      </c>
      <c r="R1379" s="13" t="str">
        <f t="shared" si="252"/>
        <v/>
      </c>
      <c r="S1379" s="13" t="str">
        <f t="shared" si="253"/>
        <v/>
      </c>
      <c r="T1379" s="22" t="str">
        <f>IF(R1379&lt;&gt;"",VLOOKUP(P1379,Constants!$D$3:$E$10,2),"")</f>
        <v/>
      </c>
    </row>
    <row r="1380" spans="12:20" x14ac:dyDescent="0.25">
      <c r="L1380" s="10" t="str">
        <f t="shared" si="246"/>
        <v/>
      </c>
      <c r="M1380" s="10" t="str">
        <f t="shared" si="247"/>
        <v/>
      </c>
      <c r="N1380" s="11" t="str">
        <f t="shared" si="248"/>
        <v/>
      </c>
      <c r="O1380" s="10" t="str">
        <f t="shared" si="249"/>
        <v/>
      </c>
      <c r="P1380" s="12" t="str">
        <f t="shared" si="250"/>
        <v/>
      </c>
      <c r="Q1380" s="10" t="str">
        <f t="shared" si="251"/>
        <v/>
      </c>
      <c r="R1380" s="13" t="str">
        <f t="shared" si="252"/>
        <v/>
      </c>
      <c r="S1380" s="13" t="str">
        <f t="shared" si="253"/>
        <v/>
      </c>
      <c r="T1380" s="22" t="str">
        <f>IF(R1380&lt;&gt;"",VLOOKUP(P1380,Constants!$D$3:$E$10,2),"")</f>
        <v/>
      </c>
    </row>
    <row r="1381" spans="12:20" x14ac:dyDescent="0.25">
      <c r="L1381" s="10" t="str">
        <f t="shared" si="246"/>
        <v/>
      </c>
      <c r="M1381" s="10" t="str">
        <f t="shared" si="247"/>
        <v/>
      </c>
      <c r="N1381" s="11" t="str">
        <f t="shared" si="248"/>
        <v/>
      </c>
      <c r="O1381" s="10" t="str">
        <f t="shared" si="249"/>
        <v/>
      </c>
      <c r="P1381" s="12" t="str">
        <f t="shared" si="250"/>
        <v/>
      </c>
      <c r="Q1381" s="10" t="str">
        <f t="shared" si="251"/>
        <v/>
      </c>
      <c r="R1381" s="13" t="str">
        <f t="shared" si="252"/>
        <v/>
      </c>
      <c r="S1381" s="13" t="str">
        <f t="shared" si="253"/>
        <v/>
      </c>
      <c r="T1381" s="22" t="str">
        <f>IF(R1381&lt;&gt;"",VLOOKUP(P1381,Constants!$D$3:$E$10,2),"")</f>
        <v/>
      </c>
    </row>
    <row r="1382" spans="12:20" x14ac:dyDescent="0.25">
      <c r="L1382" s="10" t="str">
        <f t="shared" si="246"/>
        <v/>
      </c>
      <c r="M1382" s="10" t="str">
        <f t="shared" si="247"/>
        <v/>
      </c>
      <c r="N1382" s="11" t="str">
        <f t="shared" si="248"/>
        <v/>
      </c>
      <c r="O1382" s="10" t="str">
        <f t="shared" si="249"/>
        <v/>
      </c>
      <c r="P1382" s="12" t="str">
        <f t="shared" si="250"/>
        <v/>
      </c>
      <c r="Q1382" s="10" t="str">
        <f t="shared" si="251"/>
        <v/>
      </c>
      <c r="R1382" s="13" t="str">
        <f t="shared" si="252"/>
        <v/>
      </c>
      <c r="S1382" s="13" t="str">
        <f t="shared" si="253"/>
        <v/>
      </c>
      <c r="T1382" s="22" t="str">
        <f>IF(R1382&lt;&gt;"",VLOOKUP(P1382,Constants!$D$3:$E$10,2),"")</f>
        <v/>
      </c>
    </row>
    <row r="1383" spans="12:20" x14ac:dyDescent="0.25">
      <c r="L1383" s="10" t="str">
        <f t="shared" si="246"/>
        <v/>
      </c>
      <c r="M1383" s="10" t="str">
        <f t="shared" si="247"/>
        <v/>
      </c>
      <c r="N1383" s="11" t="str">
        <f t="shared" si="248"/>
        <v/>
      </c>
      <c r="O1383" s="10" t="str">
        <f t="shared" si="249"/>
        <v/>
      </c>
      <c r="P1383" s="12" t="str">
        <f t="shared" si="250"/>
        <v/>
      </c>
      <c r="Q1383" s="10" t="str">
        <f t="shared" si="251"/>
        <v/>
      </c>
      <c r="R1383" s="13" t="str">
        <f t="shared" si="252"/>
        <v/>
      </c>
      <c r="S1383" s="13" t="str">
        <f t="shared" si="253"/>
        <v/>
      </c>
      <c r="T1383" s="22" t="str">
        <f>IF(R1383&lt;&gt;"",VLOOKUP(P1383,Constants!$D$3:$E$10,2),"")</f>
        <v/>
      </c>
    </row>
    <row r="1384" spans="12:20" x14ac:dyDescent="0.25">
      <c r="L1384" s="10" t="str">
        <f t="shared" si="246"/>
        <v/>
      </c>
      <c r="M1384" s="10" t="str">
        <f t="shared" si="247"/>
        <v/>
      </c>
      <c r="N1384" s="11" t="str">
        <f t="shared" si="248"/>
        <v/>
      </c>
      <c r="O1384" s="10" t="str">
        <f t="shared" si="249"/>
        <v/>
      </c>
      <c r="P1384" s="12" t="str">
        <f t="shared" si="250"/>
        <v/>
      </c>
      <c r="Q1384" s="10" t="str">
        <f t="shared" si="251"/>
        <v/>
      </c>
      <c r="R1384" s="13" t="str">
        <f t="shared" si="252"/>
        <v/>
      </c>
      <c r="S1384" s="13" t="str">
        <f t="shared" si="253"/>
        <v/>
      </c>
      <c r="T1384" s="22" t="str">
        <f>IF(R1384&lt;&gt;"",VLOOKUP(P1384,Constants!$D$3:$E$10,2),"")</f>
        <v/>
      </c>
    </row>
    <row r="1385" spans="12:20" x14ac:dyDescent="0.25">
      <c r="L1385" s="10" t="str">
        <f t="shared" si="246"/>
        <v/>
      </c>
      <c r="M1385" s="10" t="str">
        <f t="shared" si="247"/>
        <v/>
      </c>
      <c r="N1385" s="11" t="str">
        <f t="shared" si="248"/>
        <v/>
      </c>
      <c r="O1385" s="10" t="str">
        <f t="shared" si="249"/>
        <v/>
      </c>
      <c r="P1385" s="12" t="str">
        <f t="shared" si="250"/>
        <v/>
      </c>
      <c r="Q1385" s="10" t="str">
        <f t="shared" si="251"/>
        <v/>
      </c>
      <c r="R1385" s="13" t="str">
        <f t="shared" si="252"/>
        <v/>
      </c>
      <c r="S1385" s="13" t="str">
        <f t="shared" si="253"/>
        <v/>
      </c>
      <c r="T1385" s="22" t="str">
        <f>IF(R1385&lt;&gt;"",VLOOKUP(P1385,Constants!$D$3:$E$10,2),"")</f>
        <v/>
      </c>
    </row>
    <row r="1386" spans="12:20" x14ac:dyDescent="0.25">
      <c r="L1386" s="10" t="str">
        <f t="shared" si="246"/>
        <v/>
      </c>
      <c r="M1386" s="10" t="str">
        <f t="shared" si="247"/>
        <v/>
      </c>
      <c r="N1386" s="11" t="str">
        <f t="shared" si="248"/>
        <v/>
      </c>
      <c r="O1386" s="10" t="str">
        <f t="shared" si="249"/>
        <v/>
      </c>
      <c r="P1386" s="12" t="str">
        <f t="shared" si="250"/>
        <v/>
      </c>
      <c r="Q1386" s="10" t="str">
        <f t="shared" si="251"/>
        <v/>
      </c>
      <c r="R1386" s="13" t="str">
        <f t="shared" si="252"/>
        <v/>
      </c>
      <c r="S1386" s="13" t="str">
        <f t="shared" si="253"/>
        <v/>
      </c>
      <c r="T1386" s="22" t="str">
        <f>IF(R1386&lt;&gt;"",VLOOKUP(P1386,Constants!$D$3:$E$10,2),"")</f>
        <v/>
      </c>
    </row>
    <row r="1387" spans="12:20" x14ac:dyDescent="0.25">
      <c r="L1387" s="10" t="str">
        <f t="shared" si="246"/>
        <v/>
      </c>
      <c r="M1387" s="10" t="str">
        <f t="shared" si="247"/>
        <v/>
      </c>
      <c r="N1387" s="11" t="str">
        <f t="shared" si="248"/>
        <v/>
      </c>
      <c r="O1387" s="10" t="str">
        <f t="shared" si="249"/>
        <v/>
      </c>
      <c r="P1387" s="12" t="str">
        <f t="shared" si="250"/>
        <v/>
      </c>
      <c r="Q1387" s="10" t="str">
        <f t="shared" si="251"/>
        <v/>
      </c>
      <c r="R1387" s="13" t="str">
        <f t="shared" si="252"/>
        <v/>
      </c>
      <c r="S1387" s="13" t="str">
        <f t="shared" si="253"/>
        <v/>
      </c>
      <c r="T1387" s="22" t="str">
        <f>IF(R1387&lt;&gt;"",VLOOKUP(P1387,Constants!$D$3:$E$10,2),"")</f>
        <v/>
      </c>
    </row>
    <row r="1388" spans="12:20" x14ac:dyDescent="0.25">
      <c r="L1388" s="10" t="str">
        <f t="shared" si="246"/>
        <v/>
      </c>
      <c r="M1388" s="10" t="str">
        <f t="shared" si="247"/>
        <v/>
      </c>
      <c r="N1388" s="11" t="str">
        <f t="shared" si="248"/>
        <v/>
      </c>
      <c r="O1388" s="10" t="str">
        <f t="shared" si="249"/>
        <v/>
      </c>
      <c r="P1388" s="12" t="str">
        <f t="shared" si="250"/>
        <v/>
      </c>
      <c r="Q1388" s="10" t="str">
        <f t="shared" si="251"/>
        <v/>
      </c>
      <c r="R1388" s="13" t="str">
        <f t="shared" si="252"/>
        <v/>
      </c>
      <c r="S1388" s="13" t="str">
        <f t="shared" si="253"/>
        <v/>
      </c>
      <c r="T1388" s="22" t="str">
        <f>IF(R1388&lt;&gt;"",VLOOKUP(P1388,Constants!$D$3:$E$10,2),"")</f>
        <v/>
      </c>
    </row>
    <row r="1389" spans="12:20" x14ac:dyDescent="0.25">
      <c r="L1389" s="10" t="str">
        <f t="shared" si="246"/>
        <v/>
      </c>
      <c r="M1389" s="10" t="str">
        <f t="shared" si="247"/>
        <v/>
      </c>
      <c r="N1389" s="11" t="str">
        <f t="shared" si="248"/>
        <v/>
      </c>
      <c r="O1389" s="10" t="str">
        <f t="shared" si="249"/>
        <v/>
      </c>
      <c r="P1389" s="12" t="str">
        <f t="shared" si="250"/>
        <v/>
      </c>
      <c r="Q1389" s="10" t="str">
        <f t="shared" si="251"/>
        <v/>
      </c>
      <c r="R1389" s="13" t="str">
        <f t="shared" si="252"/>
        <v/>
      </c>
      <c r="S1389" s="13" t="str">
        <f t="shared" si="253"/>
        <v/>
      </c>
      <c r="T1389" s="22" t="str">
        <f>IF(R1389&lt;&gt;"",VLOOKUP(P1389,Constants!$D$3:$E$10,2),"")</f>
        <v/>
      </c>
    </row>
    <row r="1390" spans="12:20" x14ac:dyDescent="0.25">
      <c r="L1390" s="10" t="str">
        <f t="shared" si="246"/>
        <v/>
      </c>
      <c r="M1390" s="10" t="str">
        <f t="shared" si="247"/>
        <v/>
      </c>
      <c r="N1390" s="11" t="str">
        <f t="shared" si="248"/>
        <v/>
      </c>
      <c r="O1390" s="10" t="str">
        <f t="shared" si="249"/>
        <v/>
      </c>
      <c r="P1390" s="12" t="str">
        <f t="shared" si="250"/>
        <v/>
      </c>
      <c r="Q1390" s="10" t="str">
        <f t="shared" si="251"/>
        <v/>
      </c>
      <c r="R1390" s="13" t="str">
        <f t="shared" si="252"/>
        <v/>
      </c>
      <c r="S1390" s="13" t="str">
        <f t="shared" si="253"/>
        <v/>
      </c>
      <c r="T1390" s="22" t="str">
        <f>IF(R1390&lt;&gt;"",VLOOKUP(P1390,Constants!$D$3:$E$10,2),"")</f>
        <v/>
      </c>
    </row>
    <row r="1391" spans="12:20" x14ac:dyDescent="0.25">
      <c r="L1391" s="10" t="str">
        <f t="shared" si="246"/>
        <v/>
      </c>
      <c r="M1391" s="10" t="str">
        <f t="shared" si="247"/>
        <v/>
      </c>
      <c r="N1391" s="11" t="str">
        <f t="shared" si="248"/>
        <v/>
      </c>
      <c r="O1391" s="10" t="str">
        <f t="shared" si="249"/>
        <v/>
      </c>
      <c r="P1391" s="12" t="str">
        <f t="shared" si="250"/>
        <v/>
      </c>
      <c r="Q1391" s="10" t="str">
        <f t="shared" si="251"/>
        <v/>
      </c>
      <c r="R1391" s="13" t="str">
        <f t="shared" si="252"/>
        <v/>
      </c>
      <c r="S1391" s="13" t="str">
        <f t="shared" si="253"/>
        <v/>
      </c>
      <c r="T1391" s="22" t="str">
        <f>IF(R1391&lt;&gt;"",VLOOKUP(P1391,Constants!$D$3:$E$10,2),"")</f>
        <v/>
      </c>
    </row>
    <row r="1392" spans="12:20" x14ac:dyDescent="0.25">
      <c r="L1392" s="10" t="str">
        <f t="shared" si="246"/>
        <v/>
      </c>
      <c r="M1392" s="10" t="str">
        <f t="shared" si="247"/>
        <v/>
      </c>
      <c r="N1392" s="11" t="str">
        <f t="shared" si="248"/>
        <v/>
      </c>
      <c r="O1392" s="10" t="str">
        <f t="shared" si="249"/>
        <v/>
      </c>
      <c r="P1392" s="12" t="str">
        <f t="shared" si="250"/>
        <v/>
      </c>
      <c r="Q1392" s="10" t="str">
        <f t="shared" si="251"/>
        <v/>
      </c>
      <c r="R1392" s="13" t="str">
        <f t="shared" si="252"/>
        <v/>
      </c>
      <c r="S1392" s="13" t="str">
        <f t="shared" si="253"/>
        <v/>
      </c>
      <c r="T1392" s="22" t="str">
        <f>IF(R1392&lt;&gt;"",VLOOKUP(P1392,Constants!$D$3:$E$10,2),"")</f>
        <v/>
      </c>
    </row>
    <row r="1393" spans="12:20" x14ac:dyDescent="0.25">
      <c r="L1393" s="10" t="str">
        <f t="shared" si="246"/>
        <v/>
      </c>
      <c r="M1393" s="10" t="str">
        <f t="shared" si="247"/>
        <v/>
      </c>
      <c r="N1393" s="11" t="str">
        <f t="shared" si="248"/>
        <v/>
      </c>
      <c r="O1393" s="10" t="str">
        <f t="shared" si="249"/>
        <v/>
      </c>
      <c r="P1393" s="12" t="str">
        <f t="shared" si="250"/>
        <v/>
      </c>
      <c r="Q1393" s="10" t="str">
        <f t="shared" si="251"/>
        <v/>
      </c>
      <c r="R1393" s="13" t="str">
        <f t="shared" si="252"/>
        <v/>
      </c>
      <c r="S1393" s="13" t="str">
        <f t="shared" si="253"/>
        <v/>
      </c>
      <c r="T1393" s="22" t="str">
        <f>IF(R1393&lt;&gt;"",VLOOKUP(P1393,Constants!$D$3:$E$10,2),"")</f>
        <v/>
      </c>
    </row>
    <row r="1394" spans="12:20" x14ac:dyDescent="0.25">
      <c r="L1394" s="10" t="str">
        <f t="shared" si="246"/>
        <v/>
      </c>
      <c r="M1394" s="10" t="str">
        <f t="shared" si="247"/>
        <v/>
      </c>
      <c r="N1394" s="11" t="str">
        <f t="shared" si="248"/>
        <v/>
      </c>
      <c r="O1394" s="10" t="str">
        <f t="shared" si="249"/>
        <v/>
      </c>
      <c r="P1394" s="12" t="str">
        <f t="shared" si="250"/>
        <v/>
      </c>
      <c r="Q1394" s="10" t="str">
        <f t="shared" si="251"/>
        <v/>
      </c>
      <c r="R1394" s="13" t="str">
        <f t="shared" si="252"/>
        <v/>
      </c>
      <c r="S1394" s="13" t="str">
        <f t="shared" si="253"/>
        <v/>
      </c>
      <c r="T1394" s="22" t="str">
        <f>IF(R1394&lt;&gt;"",VLOOKUP(P1394,Constants!$D$3:$E$10,2),"")</f>
        <v/>
      </c>
    </row>
    <row r="1395" spans="12:20" x14ac:dyDescent="0.25">
      <c r="L1395" s="10" t="str">
        <f t="shared" si="246"/>
        <v/>
      </c>
      <c r="M1395" s="10" t="str">
        <f t="shared" si="247"/>
        <v/>
      </c>
      <c r="N1395" s="11" t="str">
        <f t="shared" si="248"/>
        <v/>
      </c>
      <c r="O1395" s="10" t="str">
        <f t="shared" si="249"/>
        <v/>
      </c>
      <c r="P1395" s="12" t="str">
        <f t="shared" si="250"/>
        <v/>
      </c>
      <c r="Q1395" s="10" t="str">
        <f t="shared" si="251"/>
        <v/>
      </c>
      <c r="R1395" s="13" t="str">
        <f t="shared" si="252"/>
        <v/>
      </c>
      <c r="S1395" s="13" t="str">
        <f t="shared" si="253"/>
        <v/>
      </c>
      <c r="T1395" s="22" t="str">
        <f>IF(R1395&lt;&gt;"",VLOOKUP(P1395,Constants!$D$3:$E$10,2),"")</f>
        <v/>
      </c>
    </row>
    <row r="1396" spans="12:20" x14ac:dyDescent="0.25">
      <c r="L1396" s="10" t="str">
        <f t="shared" si="246"/>
        <v/>
      </c>
      <c r="M1396" s="10" t="str">
        <f t="shared" si="247"/>
        <v/>
      </c>
      <c r="N1396" s="11" t="str">
        <f t="shared" si="248"/>
        <v/>
      </c>
      <c r="O1396" s="10" t="str">
        <f t="shared" si="249"/>
        <v/>
      </c>
      <c r="P1396" s="12" t="str">
        <f t="shared" si="250"/>
        <v/>
      </c>
      <c r="Q1396" s="10" t="str">
        <f t="shared" si="251"/>
        <v/>
      </c>
      <c r="R1396" s="13" t="str">
        <f t="shared" si="252"/>
        <v/>
      </c>
      <c r="S1396" s="13" t="str">
        <f t="shared" si="253"/>
        <v/>
      </c>
      <c r="T1396" s="22" t="str">
        <f>IF(R1396&lt;&gt;"",VLOOKUP(P1396,Constants!$D$3:$E$10,2),"")</f>
        <v/>
      </c>
    </row>
    <row r="1397" spans="12:20" x14ac:dyDescent="0.25">
      <c r="L1397" s="10" t="str">
        <f t="shared" si="246"/>
        <v/>
      </c>
      <c r="M1397" s="10" t="str">
        <f t="shared" si="247"/>
        <v/>
      </c>
      <c r="N1397" s="11" t="str">
        <f t="shared" si="248"/>
        <v/>
      </c>
      <c r="O1397" s="10" t="str">
        <f t="shared" si="249"/>
        <v/>
      </c>
      <c r="P1397" s="12" t="str">
        <f t="shared" si="250"/>
        <v/>
      </c>
      <c r="Q1397" s="10" t="str">
        <f t="shared" si="251"/>
        <v/>
      </c>
      <c r="R1397" s="13" t="str">
        <f t="shared" si="252"/>
        <v/>
      </c>
      <c r="S1397" s="13" t="str">
        <f t="shared" si="253"/>
        <v/>
      </c>
      <c r="T1397" s="22" t="str">
        <f>IF(R1397&lt;&gt;"",VLOOKUP(P1397,Constants!$D$3:$E$10,2),"")</f>
        <v/>
      </c>
    </row>
    <row r="1398" spans="12:20" x14ac:dyDescent="0.25">
      <c r="L1398" s="10" t="str">
        <f t="shared" si="246"/>
        <v/>
      </c>
      <c r="M1398" s="10" t="str">
        <f t="shared" si="247"/>
        <v/>
      </c>
      <c r="N1398" s="11" t="str">
        <f t="shared" si="248"/>
        <v/>
      </c>
      <c r="O1398" s="10" t="str">
        <f t="shared" si="249"/>
        <v/>
      </c>
      <c r="P1398" s="12" t="str">
        <f t="shared" si="250"/>
        <v/>
      </c>
      <c r="Q1398" s="10" t="str">
        <f t="shared" si="251"/>
        <v/>
      </c>
      <c r="R1398" s="13" t="str">
        <f t="shared" si="252"/>
        <v/>
      </c>
      <c r="S1398" s="13" t="str">
        <f t="shared" si="253"/>
        <v/>
      </c>
      <c r="T1398" s="22" t="str">
        <f>IF(R1398&lt;&gt;"",VLOOKUP(P1398,Constants!$D$3:$E$10,2),"")</f>
        <v/>
      </c>
    </row>
    <row r="1399" spans="12:20" x14ac:dyDescent="0.25">
      <c r="L1399" s="10" t="str">
        <f t="shared" si="246"/>
        <v/>
      </c>
      <c r="M1399" s="10" t="str">
        <f t="shared" si="247"/>
        <v/>
      </c>
      <c r="N1399" s="11" t="str">
        <f t="shared" si="248"/>
        <v/>
      </c>
      <c r="O1399" s="10" t="str">
        <f t="shared" si="249"/>
        <v/>
      </c>
      <c r="P1399" s="12" t="str">
        <f t="shared" si="250"/>
        <v/>
      </c>
      <c r="Q1399" s="10" t="str">
        <f t="shared" si="251"/>
        <v/>
      </c>
      <c r="R1399" s="13" t="str">
        <f t="shared" si="252"/>
        <v/>
      </c>
      <c r="S1399" s="13" t="str">
        <f t="shared" si="253"/>
        <v/>
      </c>
      <c r="T1399" s="22" t="str">
        <f>IF(R1399&lt;&gt;"",VLOOKUP(P1399,Constants!$D$3:$E$10,2),"")</f>
        <v/>
      </c>
    </row>
    <row r="1400" spans="12:20" x14ac:dyDescent="0.25">
      <c r="L1400" s="10" t="str">
        <f t="shared" si="246"/>
        <v/>
      </c>
      <c r="M1400" s="10" t="str">
        <f t="shared" si="247"/>
        <v/>
      </c>
      <c r="N1400" s="11" t="str">
        <f t="shared" si="248"/>
        <v/>
      </c>
      <c r="O1400" s="10" t="str">
        <f t="shared" si="249"/>
        <v/>
      </c>
      <c r="P1400" s="12" t="str">
        <f t="shared" si="250"/>
        <v/>
      </c>
      <c r="Q1400" s="10" t="str">
        <f t="shared" si="251"/>
        <v/>
      </c>
      <c r="R1400" s="13" t="str">
        <f t="shared" si="252"/>
        <v/>
      </c>
      <c r="S1400" s="13" t="str">
        <f t="shared" si="253"/>
        <v/>
      </c>
      <c r="T1400" s="22" t="str">
        <f>IF(R1400&lt;&gt;"",VLOOKUP(P1400,Constants!$D$3:$E$10,2),"")</f>
        <v/>
      </c>
    </row>
    <row r="1401" spans="12:20" x14ac:dyDescent="0.25">
      <c r="L1401" s="10" t="str">
        <f t="shared" si="246"/>
        <v/>
      </c>
      <c r="M1401" s="10" t="str">
        <f t="shared" si="247"/>
        <v/>
      </c>
      <c r="N1401" s="11" t="str">
        <f t="shared" si="248"/>
        <v/>
      </c>
      <c r="O1401" s="10" t="str">
        <f t="shared" si="249"/>
        <v/>
      </c>
      <c r="P1401" s="12" t="str">
        <f t="shared" si="250"/>
        <v/>
      </c>
      <c r="Q1401" s="10" t="str">
        <f t="shared" si="251"/>
        <v/>
      </c>
      <c r="R1401" s="13" t="str">
        <f t="shared" si="252"/>
        <v/>
      </c>
      <c r="S1401" s="13" t="str">
        <f t="shared" si="253"/>
        <v/>
      </c>
      <c r="T1401" s="22" t="str">
        <f>IF(R1401&lt;&gt;"",VLOOKUP(P1401,Constants!$D$3:$E$10,2),"")</f>
        <v/>
      </c>
    </row>
    <row r="1402" spans="12:20" x14ac:dyDescent="0.25">
      <c r="L1402" s="10" t="str">
        <f t="shared" si="246"/>
        <v/>
      </c>
      <c r="M1402" s="10" t="str">
        <f t="shared" si="247"/>
        <v/>
      </c>
      <c r="N1402" s="11" t="str">
        <f t="shared" si="248"/>
        <v/>
      </c>
      <c r="O1402" s="10" t="str">
        <f t="shared" si="249"/>
        <v/>
      </c>
      <c r="P1402" s="12" t="str">
        <f t="shared" si="250"/>
        <v/>
      </c>
      <c r="Q1402" s="10" t="str">
        <f t="shared" si="251"/>
        <v/>
      </c>
      <c r="R1402" s="13" t="str">
        <f t="shared" si="252"/>
        <v/>
      </c>
      <c r="S1402" s="13" t="str">
        <f t="shared" si="253"/>
        <v/>
      </c>
      <c r="T1402" s="22" t="str">
        <f>IF(R1402&lt;&gt;"",VLOOKUP(P1402,Constants!$D$3:$E$10,2),"")</f>
        <v/>
      </c>
    </row>
    <row r="1403" spans="12:20" x14ac:dyDescent="0.25">
      <c r="L1403" s="10" t="str">
        <f t="shared" si="246"/>
        <v/>
      </c>
      <c r="M1403" s="10" t="str">
        <f t="shared" si="247"/>
        <v/>
      </c>
      <c r="N1403" s="11" t="str">
        <f t="shared" si="248"/>
        <v/>
      </c>
      <c r="O1403" s="10" t="str">
        <f t="shared" si="249"/>
        <v/>
      </c>
      <c r="P1403" s="12" t="str">
        <f t="shared" si="250"/>
        <v/>
      </c>
      <c r="Q1403" s="10" t="str">
        <f t="shared" si="251"/>
        <v/>
      </c>
      <c r="R1403" s="13" t="str">
        <f t="shared" si="252"/>
        <v/>
      </c>
      <c r="S1403" s="13" t="str">
        <f t="shared" si="253"/>
        <v/>
      </c>
      <c r="T1403" s="22" t="str">
        <f>IF(R1403&lt;&gt;"",VLOOKUP(P1403,Constants!$D$3:$E$10,2),"")</f>
        <v/>
      </c>
    </row>
    <row r="1404" spans="12:20" x14ac:dyDescent="0.25">
      <c r="L1404" s="10" t="str">
        <f t="shared" si="246"/>
        <v/>
      </c>
      <c r="M1404" s="10" t="str">
        <f t="shared" si="247"/>
        <v/>
      </c>
      <c r="N1404" s="11" t="str">
        <f t="shared" si="248"/>
        <v/>
      </c>
      <c r="O1404" s="10" t="str">
        <f t="shared" si="249"/>
        <v/>
      </c>
      <c r="P1404" s="12" t="str">
        <f t="shared" si="250"/>
        <v/>
      </c>
      <c r="Q1404" s="10" t="str">
        <f t="shared" si="251"/>
        <v/>
      </c>
      <c r="R1404" s="13" t="str">
        <f t="shared" si="252"/>
        <v/>
      </c>
      <c r="S1404" s="13" t="str">
        <f t="shared" si="253"/>
        <v/>
      </c>
      <c r="T1404" s="22" t="str">
        <f>IF(R1404&lt;&gt;"",VLOOKUP(P1404,Constants!$D$3:$E$10,2),"")</f>
        <v/>
      </c>
    </row>
    <row r="1405" spans="12:20" x14ac:dyDescent="0.25">
      <c r="L1405" s="10" t="str">
        <f t="shared" si="246"/>
        <v/>
      </c>
      <c r="M1405" s="10" t="str">
        <f t="shared" si="247"/>
        <v/>
      </c>
      <c r="N1405" s="11" t="str">
        <f t="shared" si="248"/>
        <v/>
      </c>
      <c r="O1405" s="10" t="str">
        <f t="shared" si="249"/>
        <v/>
      </c>
      <c r="P1405" s="12" t="str">
        <f t="shared" si="250"/>
        <v/>
      </c>
      <c r="Q1405" s="10" t="str">
        <f t="shared" si="251"/>
        <v/>
      </c>
      <c r="R1405" s="13" t="str">
        <f t="shared" si="252"/>
        <v/>
      </c>
      <c r="S1405" s="13" t="str">
        <f t="shared" si="253"/>
        <v/>
      </c>
      <c r="T1405" s="22" t="str">
        <f>IF(R1405&lt;&gt;"",VLOOKUP(P1405,Constants!$D$3:$E$10,2),"")</f>
        <v/>
      </c>
    </row>
    <row r="1406" spans="12:20" x14ac:dyDescent="0.25">
      <c r="L1406" s="10" t="str">
        <f t="shared" si="246"/>
        <v/>
      </c>
      <c r="M1406" s="10" t="str">
        <f t="shared" si="247"/>
        <v/>
      </c>
      <c r="N1406" s="11" t="str">
        <f t="shared" si="248"/>
        <v/>
      </c>
      <c r="O1406" s="10" t="str">
        <f t="shared" si="249"/>
        <v/>
      </c>
      <c r="P1406" s="12" t="str">
        <f t="shared" si="250"/>
        <v/>
      </c>
      <c r="Q1406" s="10" t="str">
        <f t="shared" si="251"/>
        <v/>
      </c>
      <c r="R1406" s="13" t="str">
        <f t="shared" si="252"/>
        <v/>
      </c>
      <c r="S1406" s="13" t="str">
        <f t="shared" si="253"/>
        <v/>
      </c>
      <c r="T1406" s="22" t="str">
        <f>IF(R1406&lt;&gt;"",VLOOKUP(P1406,Constants!$D$3:$E$10,2),"")</f>
        <v/>
      </c>
    </row>
    <row r="1407" spans="12:20" x14ac:dyDescent="0.25">
      <c r="L1407" s="10" t="str">
        <f t="shared" si="246"/>
        <v/>
      </c>
      <c r="M1407" s="10" t="str">
        <f t="shared" si="247"/>
        <v/>
      </c>
      <c r="N1407" s="11" t="str">
        <f t="shared" si="248"/>
        <v/>
      </c>
      <c r="O1407" s="10" t="str">
        <f t="shared" si="249"/>
        <v/>
      </c>
      <c r="P1407" s="12" t="str">
        <f t="shared" si="250"/>
        <v/>
      </c>
      <c r="Q1407" s="10" t="str">
        <f t="shared" si="251"/>
        <v/>
      </c>
      <c r="R1407" s="13" t="str">
        <f t="shared" si="252"/>
        <v/>
      </c>
      <c r="S1407" s="13" t="str">
        <f t="shared" si="253"/>
        <v/>
      </c>
      <c r="T1407" s="22" t="str">
        <f>IF(R1407&lt;&gt;"",VLOOKUP(P1407,Constants!$D$3:$E$10,2),"")</f>
        <v/>
      </c>
    </row>
    <row r="1408" spans="12:20" x14ac:dyDescent="0.25">
      <c r="L1408" s="10" t="str">
        <f t="shared" si="246"/>
        <v/>
      </c>
      <c r="M1408" s="10" t="str">
        <f t="shared" si="247"/>
        <v/>
      </c>
      <c r="N1408" s="11" t="str">
        <f t="shared" si="248"/>
        <v/>
      </c>
      <c r="O1408" s="10" t="str">
        <f t="shared" si="249"/>
        <v/>
      </c>
      <c r="P1408" s="12" t="str">
        <f t="shared" si="250"/>
        <v/>
      </c>
      <c r="Q1408" s="10" t="str">
        <f t="shared" si="251"/>
        <v/>
      </c>
      <c r="R1408" s="13" t="str">
        <f t="shared" si="252"/>
        <v/>
      </c>
      <c r="S1408" s="13" t="str">
        <f t="shared" si="253"/>
        <v/>
      </c>
      <c r="T1408" s="22" t="str">
        <f>IF(R1408&lt;&gt;"",VLOOKUP(P1408,Constants!$D$3:$E$10,2),"")</f>
        <v/>
      </c>
    </row>
    <row r="1409" spans="12:20" x14ac:dyDescent="0.25">
      <c r="L1409" s="10" t="str">
        <f t="shared" si="246"/>
        <v/>
      </c>
      <c r="M1409" s="10" t="str">
        <f t="shared" si="247"/>
        <v/>
      </c>
      <c r="N1409" s="11" t="str">
        <f t="shared" si="248"/>
        <v/>
      </c>
      <c r="O1409" s="10" t="str">
        <f t="shared" si="249"/>
        <v/>
      </c>
      <c r="P1409" s="12" t="str">
        <f t="shared" si="250"/>
        <v/>
      </c>
      <c r="Q1409" s="10" t="str">
        <f t="shared" si="251"/>
        <v/>
      </c>
      <c r="R1409" s="13" t="str">
        <f t="shared" si="252"/>
        <v/>
      </c>
      <c r="S1409" s="13" t="str">
        <f t="shared" si="253"/>
        <v/>
      </c>
      <c r="T1409" s="22" t="str">
        <f>IF(R1409&lt;&gt;"",VLOOKUP(P1409,Constants!$D$3:$E$10,2),"")</f>
        <v/>
      </c>
    </row>
    <row r="1410" spans="12:20" x14ac:dyDescent="0.25">
      <c r="L1410" s="10" t="str">
        <f t="shared" si="246"/>
        <v/>
      </c>
      <c r="M1410" s="10" t="str">
        <f t="shared" si="247"/>
        <v/>
      </c>
      <c r="N1410" s="11" t="str">
        <f t="shared" si="248"/>
        <v/>
      </c>
      <c r="O1410" s="10" t="str">
        <f t="shared" si="249"/>
        <v/>
      </c>
      <c r="P1410" s="12" t="str">
        <f t="shared" si="250"/>
        <v/>
      </c>
      <c r="Q1410" s="10" t="str">
        <f t="shared" si="251"/>
        <v/>
      </c>
      <c r="R1410" s="13" t="str">
        <f t="shared" si="252"/>
        <v/>
      </c>
      <c r="S1410" s="13" t="str">
        <f t="shared" si="253"/>
        <v/>
      </c>
      <c r="T1410" s="22" t="str">
        <f>IF(R1410&lt;&gt;"",VLOOKUP(P1410,Constants!$D$3:$E$10,2),"")</f>
        <v/>
      </c>
    </row>
    <row r="1411" spans="12:20" x14ac:dyDescent="0.25">
      <c r="L1411" s="10" t="str">
        <f t="shared" si="246"/>
        <v/>
      </c>
      <c r="M1411" s="10" t="str">
        <f t="shared" si="247"/>
        <v/>
      </c>
      <c r="N1411" s="11" t="str">
        <f t="shared" si="248"/>
        <v/>
      </c>
      <c r="O1411" s="10" t="str">
        <f t="shared" si="249"/>
        <v/>
      </c>
      <c r="P1411" s="12" t="str">
        <f t="shared" si="250"/>
        <v/>
      </c>
      <c r="Q1411" s="10" t="str">
        <f t="shared" si="251"/>
        <v/>
      </c>
      <c r="R1411" s="13" t="str">
        <f t="shared" si="252"/>
        <v/>
      </c>
      <c r="S1411" s="13" t="str">
        <f t="shared" si="253"/>
        <v/>
      </c>
      <c r="T1411" s="22" t="str">
        <f>IF(R1411&lt;&gt;"",VLOOKUP(P1411,Constants!$D$3:$E$10,2),"")</f>
        <v/>
      </c>
    </row>
    <row r="1412" spans="12:20" x14ac:dyDescent="0.25">
      <c r="L1412" s="10" t="str">
        <f t="shared" si="246"/>
        <v/>
      </c>
      <c r="M1412" s="10" t="str">
        <f t="shared" si="247"/>
        <v/>
      </c>
      <c r="N1412" s="11" t="str">
        <f t="shared" si="248"/>
        <v/>
      </c>
      <c r="O1412" s="10" t="str">
        <f t="shared" si="249"/>
        <v/>
      </c>
      <c r="P1412" s="12" t="str">
        <f t="shared" si="250"/>
        <v/>
      </c>
      <c r="Q1412" s="10" t="str">
        <f t="shared" si="251"/>
        <v/>
      </c>
      <c r="R1412" s="13" t="str">
        <f t="shared" si="252"/>
        <v/>
      </c>
      <c r="S1412" s="13" t="str">
        <f t="shared" si="253"/>
        <v/>
      </c>
      <c r="T1412" s="22" t="str">
        <f>IF(R1412&lt;&gt;"",VLOOKUP(P1412,Constants!$D$3:$E$10,2),"")</f>
        <v/>
      </c>
    </row>
    <row r="1413" spans="12:20" x14ac:dyDescent="0.25">
      <c r="L1413" s="10" t="str">
        <f t="shared" si="246"/>
        <v/>
      </c>
      <c r="M1413" s="10" t="str">
        <f t="shared" si="247"/>
        <v/>
      </c>
      <c r="N1413" s="11" t="str">
        <f t="shared" si="248"/>
        <v/>
      </c>
      <c r="O1413" s="10" t="str">
        <f t="shared" si="249"/>
        <v/>
      </c>
      <c r="P1413" s="12" t="str">
        <f t="shared" si="250"/>
        <v/>
      </c>
      <c r="Q1413" s="10" t="str">
        <f t="shared" si="251"/>
        <v/>
      </c>
      <c r="R1413" s="13" t="str">
        <f t="shared" si="252"/>
        <v/>
      </c>
      <c r="S1413" s="13" t="str">
        <f t="shared" si="253"/>
        <v/>
      </c>
      <c r="T1413" s="22" t="str">
        <f>IF(R1413&lt;&gt;"",VLOOKUP(P1413,Constants!$D$3:$E$10,2),"")</f>
        <v/>
      </c>
    </row>
    <row r="1414" spans="12:20" x14ac:dyDescent="0.25">
      <c r="L1414" s="10" t="str">
        <f t="shared" si="246"/>
        <v/>
      </c>
      <c r="M1414" s="10" t="str">
        <f t="shared" si="247"/>
        <v/>
      </c>
      <c r="N1414" s="11" t="str">
        <f t="shared" si="248"/>
        <v/>
      </c>
      <c r="O1414" s="10" t="str">
        <f t="shared" si="249"/>
        <v/>
      </c>
      <c r="P1414" s="12" t="str">
        <f t="shared" si="250"/>
        <v/>
      </c>
      <c r="Q1414" s="10" t="str">
        <f t="shared" si="251"/>
        <v/>
      </c>
      <c r="R1414" s="13" t="str">
        <f t="shared" si="252"/>
        <v/>
      </c>
      <c r="S1414" s="13" t="str">
        <f t="shared" si="253"/>
        <v/>
      </c>
      <c r="T1414" s="22" t="str">
        <f>IF(R1414&lt;&gt;"",VLOOKUP(P1414,Constants!$D$3:$E$10,2),"")</f>
        <v/>
      </c>
    </row>
    <row r="1415" spans="12:20" x14ac:dyDescent="0.25">
      <c r="L1415" s="10" t="str">
        <f t="shared" si="246"/>
        <v/>
      </c>
      <c r="M1415" s="10" t="str">
        <f t="shared" si="247"/>
        <v/>
      </c>
      <c r="N1415" s="11" t="str">
        <f t="shared" si="248"/>
        <v/>
      </c>
      <c r="O1415" s="10" t="str">
        <f t="shared" si="249"/>
        <v/>
      </c>
      <c r="P1415" s="12" t="str">
        <f t="shared" si="250"/>
        <v/>
      </c>
      <c r="Q1415" s="10" t="str">
        <f t="shared" si="251"/>
        <v/>
      </c>
      <c r="R1415" s="13" t="str">
        <f t="shared" si="252"/>
        <v/>
      </c>
      <c r="S1415" s="13" t="str">
        <f t="shared" si="253"/>
        <v/>
      </c>
      <c r="T1415" s="22" t="str">
        <f>IF(R1415&lt;&gt;"",VLOOKUP(P1415,Constants!$D$3:$E$10,2),"")</f>
        <v/>
      </c>
    </row>
    <row r="1416" spans="12:20" x14ac:dyDescent="0.25">
      <c r="L1416" s="10" t="str">
        <f t="shared" si="246"/>
        <v/>
      </c>
      <c r="M1416" s="10" t="str">
        <f t="shared" si="247"/>
        <v/>
      </c>
      <c r="N1416" s="11" t="str">
        <f t="shared" si="248"/>
        <v/>
      </c>
      <c r="O1416" s="10" t="str">
        <f t="shared" si="249"/>
        <v/>
      </c>
      <c r="P1416" s="12" t="str">
        <f t="shared" si="250"/>
        <v/>
      </c>
      <c r="Q1416" s="10" t="str">
        <f t="shared" si="251"/>
        <v/>
      </c>
      <c r="R1416" s="13" t="str">
        <f t="shared" si="252"/>
        <v/>
      </c>
      <c r="S1416" s="13" t="str">
        <f t="shared" si="253"/>
        <v/>
      </c>
      <c r="T1416" s="22" t="str">
        <f>IF(R1416&lt;&gt;"",VLOOKUP(P1416,Constants!$D$3:$E$10,2),"")</f>
        <v/>
      </c>
    </row>
    <row r="1417" spans="12:20" x14ac:dyDescent="0.25">
      <c r="L1417" s="10" t="str">
        <f t="shared" si="246"/>
        <v/>
      </c>
      <c r="M1417" s="10" t="str">
        <f t="shared" si="247"/>
        <v/>
      </c>
      <c r="N1417" s="11" t="str">
        <f t="shared" si="248"/>
        <v/>
      </c>
      <c r="O1417" s="10" t="str">
        <f t="shared" si="249"/>
        <v/>
      </c>
      <c r="P1417" s="12" t="str">
        <f t="shared" si="250"/>
        <v/>
      </c>
      <c r="Q1417" s="10" t="str">
        <f t="shared" si="251"/>
        <v/>
      </c>
      <c r="R1417" s="13" t="str">
        <f t="shared" si="252"/>
        <v/>
      </c>
      <c r="S1417" s="13" t="str">
        <f t="shared" si="253"/>
        <v/>
      </c>
      <c r="T1417" s="22" t="str">
        <f>IF(R1417&lt;&gt;"",VLOOKUP(P1417,Constants!$D$3:$E$10,2),"")</f>
        <v/>
      </c>
    </row>
    <row r="1418" spans="12:20" x14ac:dyDescent="0.25">
      <c r="L1418" s="10" t="str">
        <f t="shared" si="246"/>
        <v/>
      </c>
      <c r="M1418" s="10" t="str">
        <f t="shared" si="247"/>
        <v/>
      </c>
      <c r="N1418" s="11" t="str">
        <f t="shared" si="248"/>
        <v/>
      </c>
      <c r="O1418" s="10" t="str">
        <f t="shared" si="249"/>
        <v/>
      </c>
      <c r="P1418" s="12" t="str">
        <f t="shared" si="250"/>
        <v/>
      </c>
      <c r="Q1418" s="10" t="str">
        <f t="shared" si="251"/>
        <v/>
      </c>
      <c r="R1418" s="13" t="str">
        <f t="shared" si="252"/>
        <v/>
      </c>
      <c r="S1418" s="13" t="str">
        <f t="shared" si="253"/>
        <v/>
      </c>
      <c r="T1418" s="22" t="str">
        <f>IF(R1418&lt;&gt;"",VLOOKUP(P1418,Constants!$D$3:$E$10,2),"")</f>
        <v/>
      </c>
    </row>
    <row r="1419" spans="12:20" x14ac:dyDescent="0.25">
      <c r="L1419" s="10" t="str">
        <f t="shared" si="246"/>
        <v/>
      </c>
      <c r="M1419" s="10" t="str">
        <f t="shared" si="247"/>
        <v/>
      </c>
      <c r="N1419" s="11" t="str">
        <f t="shared" si="248"/>
        <v/>
      </c>
      <c r="O1419" s="10" t="str">
        <f t="shared" si="249"/>
        <v/>
      </c>
      <c r="P1419" s="12" t="str">
        <f t="shared" si="250"/>
        <v/>
      </c>
      <c r="Q1419" s="10" t="str">
        <f t="shared" si="251"/>
        <v/>
      </c>
      <c r="R1419" s="13" t="str">
        <f t="shared" si="252"/>
        <v/>
      </c>
      <c r="S1419" s="13" t="str">
        <f t="shared" si="253"/>
        <v/>
      </c>
      <c r="T1419" s="22" t="str">
        <f>IF(R1419&lt;&gt;"",VLOOKUP(P1419,Constants!$D$3:$E$10,2),"")</f>
        <v/>
      </c>
    </row>
    <row r="1420" spans="12:20" x14ac:dyDescent="0.25">
      <c r="L1420" s="10" t="str">
        <f t="shared" si="246"/>
        <v/>
      </c>
      <c r="M1420" s="10" t="str">
        <f t="shared" si="247"/>
        <v/>
      </c>
      <c r="N1420" s="11" t="str">
        <f t="shared" si="248"/>
        <v/>
      </c>
      <c r="O1420" s="10" t="str">
        <f t="shared" si="249"/>
        <v/>
      </c>
      <c r="P1420" s="12" t="str">
        <f t="shared" si="250"/>
        <v/>
      </c>
      <c r="Q1420" s="10" t="str">
        <f t="shared" si="251"/>
        <v/>
      </c>
      <c r="R1420" s="13" t="str">
        <f t="shared" si="252"/>
        <v/>
      </c>
      <c r="S1420" s="13" t="str">
        <f t="shared" si="253"/>
        <v/>
      </c>
      <c r="T1420" s="22" t="str">
        <f>IF(R1420&lt;&gt;"",VLOOKUP(P1420,Constants!$D$3:$E$10,2),"")</f>
        <v/>
      </c>
    </row>
    <row r="1421" spans="12:20" x14ac:dyDescent="0.25">
      <c r="L1421" s="10" t="str">
        <f t="shared" si="246"/>
        <v/>
      </c>
      <c r="M1421" s="10" t="str">
        <f t="shared" si="247"/>
        <v/>
      </c>
      <c r="N1421" s="11" t="str">
        <f t="shared" si="248"/>
        <v/>
      </c>
      <c r="O1421" s="10" t="str">
        <f t="shared" si="249"/>
        <v/>
      </c>
      <c r="P1421" s="12" t="str">
        <f t="shared" si="250"/>
        <v/>
      </c>
      <c r="Q1421" s="10" t="str">
        <f t="shared" si="251"/>
        <v/>
      </c>
      <c r="R1421" s="13" t="str">
        <f t="shared" si="252"/>
        <v/>
      </c>
      <c r="S1421" s="13" t="str">
        <f t="shared" si="253"/>
        <v/>
      </c>
      <c r="T1421" s="22" t="str">
        <f>IF(R1421&lt;&gt;"",VLOOKUP(P1421,Constants!$D$3:$E$10,2),"")</f>
        <v/>
      </c>
    </row>
    <row r="1422" spans="12:20" x14ac:dyDescent="0.25">
      <c r="L1422" s="10" t="str">
        <f t="shared" si="246"/>
        <v/>
      </c>
      <c r="M1422" s="10" t="str">
        <f t="shared" si="247"/>
        <v/>
      </c>
      <c r="N1422" s="11" t="str">
        <f t="shared" si="248"/>
        <v/>
      </c>
      <c r="O1422" s="10" t="str">
        <f t="shared" si="249"/>
        <v/>
      </c>
      <c r="P1422" s="12" t="str">
        <f t="shared" si="250"/>
        <v/>
      </c>
      <c r="Q1422" s="10" t="str">
        <f t="shared" si="251"/>
        <v/>
      </c>
      <c r="R1422" s="13" t="str">
        <f t="shared" si="252"/>
        <v/>
      </c>
      <c r="S1422" s="13" t="str">
        <f t="shared" si="253"/>
        <v/>
      </c>
      <c r="T1422" s="22" t="str">
        <f>IF(R1422&lt;&gt;"",VLOOKUP(P1422,Constants!$D$3:$E$10,2),"")</f>
        <v/>
      </c>
    </row>
    <row r="1423" spans="12:20" x14ac:dyDescent="0.25">
      <c r="L1423" s="10" t="str">
        <f t="shared" si="246"/>
        <v/>
      </c>
      <c r="M1423" s="10" t="str">
        <f t="shared" si="247"/>
        <v/>
      </c>
      <c r="N1423" s="11" t="str">
        <f t="shared" si="248"/>
        <v/>
      </c>
      <c r="O1423" s="10" t="str">
        <f t="shared" si="249"/>
        <v/>
      </c>
      <c r="P1423" s="12" t="str">
        <f t="shared" si="250"/>
        <v/>
      </c>
      <c r="Q1423" s="10" t="str">
        <f t="shared" si="251"/>
        <v/>
      </c>
      <c r="R1423" s="13" t="str">
        <f t="shared" si="252"/>
        <v/>
      </c>
      <c r="S1423" s="13" t="str">
        <f t="shared" si="253"/>
        <v/>
      </c>
      <c r="T1423" s="22" t="str">
        <f>IF(R1423&lt;&gt;"",VLOOKUP(P1423,Constants!$D$3:$E$10,2),"")</f>
        <v/>
      </c>
    </row>
    <row r="1424" spans="12:20" x14ac:dyDescent="0.25">
      <c r="L1424" s="10" t="str">
        <f t="shared" si="246"/>
        <v/>
      </c>
      <c r="M1424" s="10" t="str">
        <f t="shared" si="247"/>
        <v/>
      </c>
      <c r="N1424" s="11" t="str">
        <f t="shared" si="248"/>
        <v/>
      </c>
      <c r="O1424" s="10" t="str">
        <f t="shared" si="249"/>
        <v/>
      </c>
      <c r="P1424" s="12" t="str">
        <f t="shared" si="250"/>
        <v/>
      </c>
      <c r="Q1424" s="10" t="str">
        <f t="shared" si="251"/>
        <v/>
      </c>
      <c r="R1424" s="13" t="str">
        <f t="shared" si="252"/>
        <v/>
      </c>
      <c r="S1424" s="13" t="str">
        <f t="shared" si="253"/>
        <v/>
      </c>
      <c r="T1424" s="22" t="str">
        <f>IF(R1424&lt;&gt;"",VLOOKUP(P1424,Constants!$D$3:$E$10,2),"")</f>
        <v/>
      </c>
    </row>
    <row r="1425" spans="12:20" x14ac:dyDescent="0.25">
      <c r="L1425" s="10" t="str">
        <f t="shared" si="246"/>
        <v/>
      </c>
      <c r="M1425" s="10" t="str">
        <f t="shared" si="247"/>
        <v/>
      </c>
      <c r="N1425" s="11" t="str">
        <f t="shared" si="248"/>
        <v/>
      </c>
      <c r="O1425" s="10" t="str">
        <f t="shared" si="249"/>
        <v/>
      </c>
      <c r="P1425" s="12" t="str">
        <f t="shared" si="250"/>
        <v/>
      </c>
      <c r="Q1425" s="10" t="str">
        <f t="shared" si="251"/>
        <v/>
      </c>
      <c r="R1425" s="13" t="str">
        <f t="shared" si="252"/>
        <v/>
      </c>
      <c r="S1425" s="13" t="str">
        <f t="shared" si="253"/>
        <v/>
      </c>
      <c r="T1425" s="22" t="str">
        <f>IF(R1425&lt;&gt;"",VLOOKUP(P1425,Constants!$D$3:$E$10,2),"")</f>
        <v/>
      </c>
    </row>
    <row r="1426" spans="12:20" x14ac:dyDescent="0.25">
      <c r="L1426" s="10" t="str">
        <f t="shared" ref="L1426:L1489" si="254">IF($D1426&lt;&gt;"",$D1426*$E1426/1000,"")</f>
        <v/>
      </c>
      <c r="M1426" s="10" t="str">
        <f t="shared" ref="M1426:M1489" si="255">IF($D1426&lt;&gt;"",$D1426*$F1426/1000,"")</f>
        <v/>
      </c>
      <c r="N1426" s="11" t="str">
        <f t="shared" ref="N1426:N1489" si="256">IF($L1426&lt;&gt;"",SQRT($L1426*$L1426+$M1426*$M1426),"")</f>
        <v/>
      </c>
      <c r="O1426" s="10" t="str">
        <f t="shared" si="249"/>
        <v/>
      </c>
      <c r="P1426" s="12" t="str">
        <f t="shared" si="250"/>
        <v/>
      </c>
      <c r="Q1426" s="10" t="str">
        <f t="shared" si="251"/>
        <v/>
      </c>
      <c r="R1426" s="13" t="str">
        <f t="shared" si="252"/>
        <v/>
      </c>
      <c r="S1426" s="13" t="str">
        <f t="shared" si="253"/>
        <v/>
      </c>
      <c r="T1426" s="22" t="str">
        <f>IF(R1426&lt;&gt;"",VLOOKUP(P1426,Constants!$D$3:$E$10,2),"")</f>
        <v/>
      </c>
    </row>
    <row r="1427" spans="12:20" x14ac:dyDescent="0.25">
      <c r="L1427" s="10" t="str">
        <f t="shared" si="254"/>
        <v/>
      </c>
      <c r="M1427" s="10" t="str">
        <f t="shared" si="255"/>
        <v/>
      </c>
      <c r="N1427" s="11" t="str">
        <f t="shared" si="256"/>
        <v/>
      </c>
      <c r="O1427" s="10" t="str">
        <f t="shared" si="249"/>
        <v/>
      </c>
      <c r="P1427" s="12" t="str">
        <f t="shared" si="250"/>
        <v/>
      </c>
      <c r="Q1427" s="10" t="str">
        <f t="shared" si="251"/>
        <v/>
      </c>
      <c r="R1427" s="13" t="str">
        <f t="shared" si="252"/>
        <v/>
      </c>
      <c r="S1427" s="13" t="str">
        <f t="shared" si="253"/>
        <v/>
      </c>
      <c r="T1427" s="22" t="str">
        <f>IF(R1427&lt;&gt;"",VLOOKUP(P1427,Constants!$D$3:$E$10,2),"")</f>
        <v/>
      </c>
    </row>
    <row r="1428" spans="12:20" x14ac:dyDescent="0.25">
      <c r="L1428" s="10" t="str">
        <f t="shared" si="254"/>
        <v/>
      </c>
      <c r="M1428" s="10" t="str">
        <f t="shared" si="255"/>
        <v/>
      </c>
      <c r="N1428" s="11" t="str">
        <f t="shared" si="256"/>
        <v/>
      </c>
      <c r="O1428" s="10" t="str">
        <f t="shared" ref="O1428:O1491" si="257">IF(D1428&lt;&gt;"",1000/(2*D1428),"")</f>
        <v/>
      </c>
      <c r="P1428" s="12" t="str">
        <f t="shared" ref="P1428:P1491" si="258">IF($N1428&lt;&gt;"",D1428*SQRT(E1428*E1428+F1428*F1428)/16000,"")</f>
        <v/>
      </c>
      <c r="Q1428" s="10" t="str">
        <f t="shared" ref="Q1428:Q1491" si="259">IF(F1428&lt;&gt;"",F1428*E1428/1000000,"")</f>
        <v/>
      </c>
      <c r="R1428" s="13" t="str">
        <f t="shared" ref="R1428:R1491" si="260">IF(G1428&lt;&gt;"",1000/G1428,"")</f>
        <v/>
      </c>
      <c r="S1428" s="13" t="str">
        <f t="shared" ref="S1428:S1491" si="261">IF(R1428&lt;&gt;"",Q1428/R1428*1000,"")</f>
        <v/>
      </c>
      <c r="T1428" s="22" t="str">
        <f>IF(R1428&lt;&gt;"",VLOOKUP(P1428,Constants!$D$3:$E$10,2),"")</f>
        <v/>
      </c>
    </row>
    <row r="1429" spans="12:20" x14ac:dyDescent="0.25">
      <c r="L1429" s="10" t="str">
        <f t="shared" si="254"/>
        <v/>
      </c>
      <c r="M1429" s="10" t="str">
        <f t="shared" si="255"/>
        <v/>
      </c>
      <c r="N1429" s="11" t="str">
        <f t="shared" si="256"/>
        <v/>
      </c>
      <c r="O1429" s="10" t="str">
        <f t="shared" si="257"/>
        <v/>
      </c>
      <c r="P1429" s="12" t="str">
        <f t="shared" si="258"/>
        <v/>
      </c>
      <c r="Q1429" s="10" t="str">
        <f t="shared" si="259"/>
        <v/>
      </c>
      <c r="R1429" s="13" t="str">
        <f t="shared" si="260"/>
        <v/>
      </c>
      <c r="S1429" s="13" t="str">
        <f t="shared" si="261"/>
        <v/>
      </c>
      <c r="T1429" s="22" t="str">
        <f>IF(R1429&lt;&gt;"",VLOOKUP(P1429,Constants!$D$3:$E$10,2),"")</f>
        <v/>
      </c>
    </row>
    <row r="1430" spans="12:20" x14ac:dyDescent="0.25">
      <c r="L1430" s="10" t="str">
        <f t="shared" si="254"/>
        <v/>
      </c>
      <c r="M1430" s="10" t="str">
        <f t="shared" si="255"/>
        <v/>
      </c>
      <c r="N1430" s="11" t="str">
        <f t="shared" si="256"/>
        <v/>
      </c>
      <c r="O1430" s="10" t="str">
        <f t="shared" si="257"/>
        <v/>
      </c>
      <c r="P1430" s="12" t="str">
        <f t="shared" si="258"/>
        <v/>
      </c>
      <c r="Q1430" s="10" t="str">
        <f t="shared" si="259"/>
        <v/>
      </c>
      <c r="R1430" s="13" t="str">
        <f t="shared" si="260"/>
        <v/>
      </c>
      <c r="S1430" s="13" t="str">
        <f t="shared" si="261"/>
        <v/>
      </c>
      <c r="T1430" s="22" t="str">
        <f>IF(R1430&lt;&gt;"",VLOOKUP(P1430,Constants!$D$3:$E$10,2),"")</f>
        <v/>
      </c>
    </row>
    <row r="1431" spans="12:20" x14ac:dyDescent="0.25">
      <c r="L1431" s="10" t="str">
        <f t="shared" si="254"/>
        <v/>
      </c>
      <c r="M1431" s="10" t="str">
        <f t="shared" si="255"/>
        <v/>
      </c>
      <c r="N1431" s="11" t="str">
        <f t="shared" si="256"/>
        <v/>
      </c>
      <c r="O1431" s="10" t="str">
        <f t="shared" si="257"/>
        <v/>
      </c>
      <c r="P1431" s="12" t="str">
        <f t="shared" si="258"/>
        <v/>
      </c>
      <c r="Q1431" s="10" t="str">
        <f t="shared" si="259"/>
        <v/>
      </c>
      <c r="R1431" s="13" t="str">
        <f t="shared" si="260"/>
        <v/>
      </c>
      <c r="S1431" s="13" t="str">
        <f t="shared" si="261"/>
        <v/>
      </c>
      <c r="T1431" s="22" t="str">
        <f>IF(R1431&lt;&gt;"",VLOOKUP(P1431,Constants!$D$3:$E$10,2),"")</f>
        <v/>
      </c>
    </row>
    <row r="1432" spans="12:20" x14ac:dyDescent="0.25">
      <c r="L1432" s="10" t="str">
        <f t="shared" si="254"/>
        <v/>
      </c>
      <c r="M1432" s="10" t="str">
        <f t="shared" si="255"/>
        <v/>
      </c>
      <c r="N1432" s="11" t="str">
        <f t="shared" si="256"/>
        <v/>
      </c>
      <c r="O1432" s="10" t="str">
        <f t="shared" si="257"/>
        <v/>
      </c>
      <c r="P1432" s="12" t="str">
        <f t="shared" si="258"/>
        <v/>
      </c>
      <c r="Q1432" s="10" t="str">
        <f t="shared" si="259"/>
        <v/>
      </c>
      <c r="R1432" s="13" t="str">
        <f t="shared" si="260"/>
        <v/>
      </c>
      <c r="S1432" s="13" t="str">
        <f t="shared" si="261"/>
        <v/>
      </c>
      <c r="T1432" s="22" t="str">
        <f>IF(R1432&lt;&gt;"",VLOOKUP(P1432,Constants!$D$3:$E$10,2),"")</f>
        <v/>
      </c>
    </row>
    <row r="1433" spans="12:20" x14ac:dyDescent="0.25">
      <c r="L1433" s="10" t="str">
        <f t="shared" si="254"/>
        <v/>
      </c>
      <c r="M1433" s="10" t="str">
        <f t="shared" si="255"/>
        <v/>
      </c>
      <c r="N1433" s="11" t="str">
        <f t="shared" si="256"/>
        <v/>
      </c>
      <c r="O1433" s="10" t="str">
        <f t="shared" si="257"/>
        <v/>
      </c>
      <c r="P1433" s="12" t="str">
        <f t="shared" si="258"/>
        <v/>
      </c>
      <c r="Q1433" s="10" t="str">
        <f t="shared" si="259"/>
        <v/>
      </c>
      <c r="R1433" s="13" t="str">
        <f t="shared" si="260"/>
        <v/>
      </c>
      <c r="S1433" s="13" t="str">
        <f t="shared" si="261"/>
        <v/>
      </c>
      <c r="T1433" s="22" t="str">
        <f>IF(R1433&lt;&gt;"",VLOOKUP(P1433,Constants!$D$3:$E$10,2),"")</f>
        <v/>
      </c>
    </row>
    <row r="1434" spans="12:20" x14ac:dyDescent="0.25">
      <c r="L1434" s="10" t="str">
        <f t="shared" si="254"/>
        <v/>
      </c>
      <c r="M1434" s="10" t="str">
        <f t="shared" si="255"/>
        <v/>
      </c>
      <c r="N1434" s="11" t="str">
        <f t="shared" si="256"/>
        <v/>
      </c>
      <c r="O1434" s="10" t="str">
        <f t="shared" si="257"/>
        <v/>
      </c>
      <c r="P1434" s="12" t="str">
        <f t="shared" si="258"/>
        <v/>
      </c>
      <c r="Q1434" s="10" t="str">
        <f t="shared" si="259"/>
        <v/>
      </c>
      <c r="R1434" s="13" t="str">
        <f t="shared" si="260"/>
        <v/>
      </c>
      <c r="S1434" s="13" t="str">
        <f t="shared" si="261"/>
        <v/>
      </c>
      <c r="T1434" s="22" t="str">
        <f>IF(R1434&lt;&gt;"",VLOOKUP(P1434,Constants!$D$3:$E$10,2),"")</f>
        <v/>
      </c>
    </row>
    <row r="1435" spans="12:20" x14ac:dyDescent="0.25">
      <c r="L1435" s="10" t="str">
        <f t="shared" si="254"/>
        <v/>
      </c>
      <c r="M1435" s="10" t="str">
        <f t="shared" si="255"/>
        <v/>
      </c>
      <c r="N1435" s="11" t="str">
        <f t="shared" si="256"/>
        <v/>
      </c>
      <c r="O1435" s="10" t="str">
        <f t="shared" si="257"/>
        <v/>
      </c>
      <c r="P1435" s="12" t="str">
        <f t="shared" si="258"/>
        <v/>
      </c>
      <c r="Q1435" s="10" t="str">
        <f t="shared" si="259"/>
        <v/>
      </c>
      <c r="R1435" s="13" t="str">
        <f t="shared" si="260"/>
        <v/>
      </c>
      <c r="S1435" s="13" t="str">
        <f t="shared" si="261"/>
        <v/>
      </c>
      <c r="T1435" s="22" t="str">
        <f>IF(R1435&lt;&gt;"",VLOOKUP(P1435,Constants!$D$3:$E$10,2),"")</f>
        <v/>
      </c>
    </row>
    <row r="1436" spans="12:20" x14ac:dyDescent="0.25">
      <c r="L1436" s="10" t="str">
        <f t="shared" si="254"/>
        <v/>
      </c>
      <c r="M1436" s="10" t="str">
        <f t="shared" si="255"/>
        <v/>
      </c>
      <c r="N1436" s="11" t="str">
        <f t="shared" si="256"/>
        <v/>
      </c>
      <c r="O1436" s="10" t="str">
        <f t="shared" si="257"/>
        <v/>
      </c>
      <c r="P1436" s="12" t="str">
        <f t="shared" si="258"/>
        <v/>
      </c>
      <c r="Q1436" s="10" t="str">
        <f t="shared" si="259"/>
        <v/>
      </c>
      <c r="R1436" s="13" t="str">
        <f t="shared" si="260"/>
        <v/>
      </c>
      <c r="S1436" s="13" t="str">
        <f t="shared" si="261"/>
        <v/>
      </c>
      <c r="T1436" s="22" t="str">
        <f>IF(R1436&lt;&gt;"",VLOOKUP(P1436,Constants!$D$3:$E$10,2),"")</f>
        <v/>
      </c>
    </row>
    <row r="1437" spans="12:20" x14ac:dyDescent="0.25">
      <c r="L1437" s="10" t="str">
        <f t="shared" si="254"/>
        <v/>
      </c>
      <c r="M1437" s="10" t="str">
        <f t="shared" si="255"/>
        <v/>
      </c>
      <c r="N1437" s="11" t="str">
        <f t="shared" si="256"/>
        <v/>
      </c>
      <c r="O1437" s="10" t="str">
        <f t="shared" si="257"/>
        <v/>
      </c>
      <c r="P1437" s="12" t="str">
        <f t="shared" si="258"/>
        <v/>
      </c>
      <c r="Q1437" s="10" t="str">
        <f t="shared" si="259"/>
        <v/>
      </c>
      <c r="R1437" s="13" t="str">
        <f t="shared" si="260"/>
        <v/>
      </c>
      <c r="S1437" s="13" t="str">
        <f t="shared" si="261"/>
        <v/>
      </c>
      <c r="T1437" s="22" t="str">
        <f>IF(R1437&lt;&gt;"",VLOOKUP(P1437,Constants!$D$3:$E$10,2),"")</f>
        <v/>
      </c>
    </row>
    <row r="1438" spans="12:20" x14ac:dyDescent="0.25">
      <c r="L1438" s="10" t="str">
        <f t="shared" si="254"/>
        <v/>
      </c>
      <c r="M1438" s="10" t="str">
        <f t="shared" si="255"/>
        <v/>
      </c>
      <c r="N1438" s="11" t="str">
        <f t="shared" si="256"/>
        <v/>
      </c>
      <c r="O1438" s="10" t="str">
        <f t="shared" si="257"/>
        <v/>
      </c>
      <c r="P1438" s="12" t="str">
        <f t="shared" si="258"/>
        <v/>
      </c>
      <c r="Q1438" s="10" t="str">
        <f t="shared" si="259"/>
        <v/>
      </c>
      <c r="R1438" s="13" t="str">
        <f t="shared" si="260"/>
        <v/>
      </c>
      <c r="S1438" s="13" t="str">
        <f t="shared" si="261"/>
        <v/>
      </c>
      <c r="T1438" s="22" t="str">
        <f>IF(R1438&lt;&gt;"",VLOOKUP(P1438,Constants!$D$3:$E$10,2),"")</f>
        <v/>
      </c>
    </row>
    <row r="1439" spans="12:20" x14ac:dyDescent="0.25">
      <c r="L1439" s="10" t="str">
        <f t="shared" si="254"/>
        <v/>
      </c>
      <c r="M1439" s="10" t="str">
        <f t="shared" si="255"/>
        <v/>
      </c>
      <c r="N1439" s="11" t="str">
        <f t="shared" si="256"/>
        <v/>
      </c>
      <c r="O1439" s="10" t="str">
        <f t="shared" si="257"/>
        <v/>
      </c>
      <c r="P1439" s="12" t="str">
        <f t="shared" si="258"/>
        <v/>
      </c>
      <c r="Q1439" s="10" t="str">
        <f t="shared" si="259"/>
        <v/>
      </c>
      <c r="R1439" s="13" t="str">
        <f t="shared" si="260"/>
        <v/>
      </c>
      <c r="S1439" s="13" t="str">
        <f t="shared" si="261"/>
        <v/>
      </c>
      <c r="T1439" s="22" t="str">
        <f>IF(R1439&lt;&gt;"",VLOOKUP(P1439,Constants!$D$3:$E$10,2),"")</f>
        <v/>
      </c>
    </row>
    <row r="1440" spans="12:20" x14ac:dyDescent="0.25">
      <c r="L1440" s="10" t="str">
        <f t="shared" si="254"/>
        <v/>
      </c>
      <c r="M1440" s="10" t="str">
        <f t="shared" si="255"/>
        <v/>
      </c>
      <c r="N1440" s="11" t="str">
        <f t="shared" si="256"/>
        <v/>
      </c>
      <c r="O1440" s="10" t="str">
        <f t="shared" si="257"/>
        <v/>
      </c>
      <c r="P1440" s="12" t="str">
        <f t="shared" si="258"/>
        <v/>
      </c>
      <c r="Q1440" s="10" t="str">
        <f t="shared" si="259"/>
        <v/>
      </c>
      <c r="R1440" s="13" t="str">
        <f t="shared" si="260"/>
        <v/>
      </c>
      <c r="S1440" s="13" t="str">
        <f t="shared" si="261"/>
        <v/>
      </c>
      <c r="T1440" s="22" t="str">
        <f>IF(R1440&lt;&gt;"",VLOOKUP(P1440,Constants!$D$3:$E$10,2),"")</f>
        <v/>
      </c>
    </row>
    <row r="1441" spans="12:20" x14ac:dyDescent="0.25">
      <c r="L1441" s="10" t="str">
        <f t="shared" si="254"/>
        <v/>
      </c>
      <c r="M1441" s="10" t="str">
        <f t="shared" si="255"/>
        <v/>
      </c>
      <c r="N1441" s="11" t="str">
        <f t="shared" si="256"/>
        <v/>
      </c>
      <c r="O1441" s="10" t="str">
        <f t="shared" si="257"/>
        <v/>
      </c>
      <c r="P1441" s="12" t="str">
        <f t="shared" si="258"/>
        <v/>
      </c>
      <c r="Q1441" s="10" t="str">
        <f t="shared" si="259"/>
        <v/>
      </c>
      <c r="R1441" s="13" t="str">
        <f t="shared" si="260"/>
        <v/>
      </c>
      <c r="S1441" s="13" t="str">
        <f t="shared" si="261"/>
        <v/>
      </c>
      <c r="T1441" s="22" t="str">
        <f>IF(R1441&lt;&gt;"",VLOOKUP(P1441,Constants!$D$3:$E$10,2),"")</f>
        <v/>
      </c>
    </row>
    <row r="1442" spans="12:20" x14ac:dyDescent="0.25">
      <c r="L1442" s="10" t="str">
        <f t="shared" si="254"/>
        <v/>
      </c>
      <c r="M1442" s="10" t="str">
        <f t="shared" si="255"/>
        <v/>
      </c>
      <c r="N1442" s="11" t="str">
        <f t="shared" si="256"/>
        <v/>
      </c>
      <c r="O1442" s="10" t="str">
        <f t="shared" si="257"/>
        <v/>
      </c>
      <c r="P1442" s="12" t="str">
        <f t="shared" si="258"/>
        <v/>
      </c>
      <c r="Q1442" s="10" t="str">
        <f t="shared" si="259"/>
        <v/>
      </c>
      <c r="R1442" s="13" t="str">
        <f t="shared" si="260"/>
        <v/>
      </c>
      <c r="S1442" s="13" t="str">
        <f t="shared" si="261"/>
        <v/>
      </c>
      <c r="T1442" s="22" t="str">
        <f>IF(R1442&lt;&gt;"",VLOOKUP(P1442,Constants!$D$3:$E$10,2),"")</f>
        <v/>
      </c>
    </row>
    <row r="1443" spans="12:20" x14ac:dyDescent="0.25">
      <c r="L1443" s="10" t="str">
        <f t="shared" si="254"/>
        <v/>
      </c>
      <c r="M1443" s="10" t="str">
        <f t="shared" si="255"/>
        <v/>
      </c>
      <c r="N1443" s="11" t="str">
        <f t="shared" si="256"/>
        <v/>
      </c>
      <c r="O1443" s="10" t="str">
        <f t="shared" si="257"/>
        <v/>
      </c>
      <c r="P1443" s="12" t="str">
        <f t="shared" si="258"/>
        <v/>
      </c>
      <c r="Q1443" s="10" t="str">
        <f t="shared" si="259"/>
        <v/>
      </c>
      <c r="R1443" s="13" t="str">
        <f t="shared" si="260"/>
        <v/>
      </c>
      <c r="S1443" s="13" t="str">
        <f t="shared" si="261"/>
        <v/>
      </c>
      <c r="T1443" s="22" t="str">
        <f>IF(R1443&lt;&gt;"",VLOOKUP(P1443,Constants!$D$3:$E$10,2),"")</f>
        <v/>
      </c>
    </row>
    <row r="1444" spans="12:20" x14ac:dyDescent="0.25">
      <c r="L1444" s="10" t="str">
        <f t="shared" si="254"/>
        <v/>
      </c>
      <c r="M1444" s="10" t="str">
        <f t="shared" si="255"/>
        <v/>
      </c>
      <c r="N1444" s="11" t="str">
        <f t="shared" si="256"/>
        <v/>
      </c>
      <c r="O1444" s="10" t="str">
        <f t="shared" si="257"/>
        <v/>
      </c>
      <c r="P1444" s="12" t="str">
        <f t="shared" si="258"/>
        <v/>
      </c>
      <c r="Q1444" s="10" t="str">
        <f t="shared" si="259"/>
        <v/>
      </c>
      <c r="R1444" s="13" t="str">
        <f t="shared" si="260"/>
        <v/>
      </c>
      <c r="S1444" s="13" t="str">
        <f t="shared" si="261"/>
        <v/>
      </c>
      <c r="T1444" s="22" t="str">
        <f>IF(R1444&lt;&gt;"",VLOOKUP(P1444,Constants!$D$3:$E$10,2),"")</f>
        <v/>
      </c>
    </row>
    <row r="1445" spans="12:20" x14ac:dyDescent="0.25">
      <c r="L1445" s="10" t="str">
        <f t="shared" si="254"/>
        <v/>
      </c>
      <c r="M1445" s="10" t="str">
        <f t="shared" si="255"/>
        <v/>
      </c>
      <c r="N1445" s="11" t="str">
        <f t="shared" si="256"/>
        <v/>
      </c>
      <c r="O1445" s="10" t="str">
        <f t="shared" si="257"/>
        <v/>
      </c>
      <c r="P1445" s="12" t="str">
        <f t="shared" si="258"/>
        <v/>
      </c>
      <c r="Q1445" s="10" t="str">
        <f t="shared" si="259"/>
        <v/>
      </c>
      <c r="R1445" s="13" t="str">
        <f t="shared" si="260"/>
        <v/>
      </c>
      <c r="S1445" s="13" t="str">
        <f t="shared" si="261"/>
        <v/>
      </c>
      <c r="T1445" s="22" t="str">
        <f>IF(R1445&lt;&gt;"",VLOOKUP(P1445,Constants!$D$3:$E$10,2),"")</f>
        <v/>
      </c>
    </row>
    <row r="1446" spans="12:20" x14ac:dyDescent="0.25">
      <c r="L1446" s="10" t="str">
        <f t="shared" si="254"/>
        <v/>
      </c>
      <c r="M1446" s="10" t="str">
        <f t="shared" si="255"/>
        <v/>
      </c>
      <c r="N1446" s="11" t="str">
        <f t="shared" si="256"/>
        <v/>
      </c>
      <c r="O1446" s="10" t="str">
        <f t="shared" si="257"/>
        <v/>
      </c>
      <c r="P1446" s="12" t="str">
        <f t="shared" si="258"/>
        <v/>
      </c>
      <c r="Q1446" s="10" t="str">
        <f t="shared" si="259"/>
        <v/>
      </c>
      <c r="R1446" s="13" t="str">
        <f t="shared" si="260"/>
        <v/>
      </c>
      <c r="S1446" s="13" t="str">
        <f t="shared" si="261"/>
        <v/>
      </c>
      <c r="T1446" s="22" t="str">
        <f>IF(R1446&lt;&gt;"",VLOOKUP(P1446,Constants!$D$3:$E$10,2),"")</f>
        <v/>
      </c>
    </row>
    <row r="1447" spans="12:20" x14ac:dyDescent="0.25">
      <c r="L1447" s="10" t="str">
        <f t="shared" si="254"/>
        <v/>
      </c>
      <c r="M1447" s="10" t="str">
        <f t="shared" si="255"/>
        <v/>
      </c>
      <c r="N1447" s="11" t="str">
        <f t="shared" si="256"/>
        <v/>
      </c>
      <c r="O1447" s="10" t="str">
        <f t="shared" si="257"/>
        <v/>
      </c>
      <c r="P1447" s="12" t="str">
        <f t="shared" si="258"/>
        <v/>
      </c>
      <c r="Q1447" s="10" t="str">
        <f t="shared" si="259"/>
        <v/>
      </c>
      <c r="R1447" s="13" t="str">
        <f t="shared" si="260"/>
        <v/>
      </c>
      <c r="S1447" s="13" t="str">
        <f t="shared" si="261"/>
        <v/>
      </c>
      <c r="T1447" s="22" t="str">
        <f>IF(R1447&lt;&gt;"",VLOOKUP(P1447,Constants!$D$3:$E$10,2),"")</f>
        <v/>
      </c>
    </row>
    <row r="1448" spans="12:20" x14ac:dyDescent="0.25">
      <c r="L1448" s="10" t="str">
        <f t="shared" si="254"/>
        <v/>
      </c>
      <c r="M1448" s="10" t="str">
        <f t="shared" si="255"/>
        <v/>
      </c>
      <c r="N1448" s="11" t="str">
        <f t="shared" si="256"/>
        <v/>
      </c>
      <c r="O1448" s="10" t="str">
        <f t="shared" si="257"/>
        <v/>
      </c>
      <c r="P1448" s="12" t="str">
        <f t="shared" si="258"/>
        <v/>
      </c>
      <c r="Q1448" s="10" t="str">
        <f t="shared" si="259"/>
        <v/>
      </c>
      <c r="R1448" s="13" t="str">
        <f t="shared" si="260"/>
        <v/>
      </c>
      <c r="S1448" s="13" t="str">
        <f t="shared" si="261"/>
        <v/>
      </c>
      <c r="T1448" s="22" t="str">
        <f>IF(R1448&lt;&gt;"",VLOOKUP(P1448,Constants!$D$3:$E$10,2),"")</f>
        <v/>
      </c>
    </row>
    <row r="1449" spans="12:20" x14ac:dyDescent="0.25">
      <c r="L1449" s="10" t="str">
        <f t="shared" si="254"/>
        <v/>
      </c>
      <c r="M1449" s="10" t="str">
        <f t="shared" si="255"/>
        <v/>
      </c>
      <c r="N1449" s="11" t="str">
        <f t="shared" si="256"/>
        <v/>
      </c>
      <c r="O1449" s="10" t="str">
        <f t="shared" si="257"/>
        <v/>
      </c>
      <c r="P1449" s="12" t="str">
        <f t="shared" si="258"/>
        <v/>
      </c>
      <c r="Q1449" s="10" t="str">
        <f t="shared" si="259"/>
        <v/>
      </c>
      <c r="R1449" s="13" t="str">
        <f t="shared" si="260"/>
        <v/>
      </c>
      <c r="S1449" s="13" t="str">
        <f t="shared" si="261"/>
        <v/>
      </c>
      <c r="T1449" s="22" t="str">
        <f>IF(R1449&lt;&gt;"",VLOOKUP(P1449,Constants!$D$3:$E$10,2),"")</f>
        <v/>
      </c>
    </row>
    <row r="1450" spans="12:20" x14ac:dyDescent="0.25">
      <c r="L1450" s="10" t="str">
        <f t="shared" si="254"/>
        <v/>
      </c>
      <c r="M1450" s="10" t="str">
        <f t="shared" si="255"/>
        <v/>
      </c>
      <c r="N1450" s="11" t="str">
        <f t="shared" si="256"/>
        <v/>
      </c>
      <c r="O1450" s="10" t="str">
        <f t="shared" si="257"/>
        <v/>
      </c>
      <c r="P1450" s="12" t="str">
        <f t="shared" si="258"/>
        <v/>
      </c>
      <c r="Q1450" s="10" t="str">
        <f t="shared" si="259"/>
        <v/>
      </c>
      <c r="R1450" s="13" t="str">
        <f t="shared" si="260"/>
        <v/>
      </c>
      <c r="S1450" s="13" t="str">
        <f t="shared" si="261"/>
        <v/>
      </c>
      <c r="T1450" s="22" t="str">
        <f>IF(R1450&lt;&gt;"",VLOOKUP(P1450,Constants!$D$3:$E$10,2),"")</f>
        <v/>
      </c>
    </row>
    <row r="1451" spans="12:20" x14ac:dyDescent="0.25">
      <c r="L1451" s="10" t="str">
        <f t="shared" si="254"/>
        <v/>
      </c>
      <c r="M1451" s="10" t="str">
        <f t="shared" si="255"/>
        <v/>
      </c>
      <c r="N1451" s="11" t="str">
        <f t="shared" si="256"/>
        <v/>
      </c>
      <c r="O1451" s="10" t="str">
        <f t="shared" si="257"/>
        <v/>
      </c>
      <c r="P1451" s="12" t="str">
        <f t="shared" si="258"/>
        <v/>
      </c>
      <c r="Q1451" s="10" t="str">
        <f t="shared" si="259"/>
        <v/>
      </c>
      <c r="R1451" s="13" t="str">
        <f t="shared" si="260"/>
        <v/>
      </c>
      <c r="S1451" s="13" t="str">
        <f t="shared" si="261"/>
        <v/>
      </c>
      <c r="T1451" s="22" t="str">
        <f>IF(R1451&lt;&gt;"",VLOOKUP(P1451,Constants!$D$3:$E$10,2),"")</f>
        <v/>
      </c>
    </row>
    <row r="1452" spans="12:20" x14ac:dyDescent="0.25">
      <c r="L1452" s="10" t="str">
        <f t="shared" si="254"/>
        <v/>
      </c>
      <c r="M1452" s="10" t="str">
        <f t="shared" si="255"/>
        <v/>
      </c>
      <c r="N1452" s="11" t="str">
        <f t="shared" si="256"/>
        <v/>
      </c>
      <c r="O1452" s="10" t="str">
        <f t="shared" si="257"/>
        <v/>
      </c>
      <c r="P1452" s="12" t="str">
        <f t="shared" si="258"/>
        <v/>
      </c>
      <c r="Q1452" s="10" t="str">
        <f t="shared" si="259"/>
        <v/>
      </c>
      <c r="R1452" s="13" t="str">
        <f t="shared" si="260"/>
        <v/>
      </c>
      <c r="S1452" s="13" t="str">
        <f t="shared" si="261"/>
        <v/>
      </c>
      <c r="T1452" s="22" t="str">
        <f>IF(R1452&lt;&gt;"",VLOOKUP(P1452,Constants!$D$3:$E$10,2),"")</f>
        <v/>
      </c>
    </row>
    <row r="1453" spans="12:20" x14ac:dyDescent="0.25">
      <c r="L1453" s="10" t="str">
        <f t="shared" si="254"/>
        <v/>
      </c>
      <c r="M1453" s="10" t="str">
        <f t="shared" si="255"/>
        <v/>
      </c>
      <c r="N1453" s="11" t="str">
        <f t="shared" si="256"/>
        <v/>
      </c>
      <c r="O1453" s="10" t="str">
        <f t="shared" si="257"/>
        <v/>
      </c>
      <c r="P1453" s="12" t="str">
        <f t="shared" si="258"/>
        <v/>
      </c>
      <c r="Q1453" s="10" t="str">
        <f t="shared" si="259"/>
        <v/>
      </c>
      <c r="R1453" s="13" t="str">
        <f t="shared" si="260"/>
        <v/>
      </c>
      <c r="S1453" s="13" t="str">
        <f t="shared" si="261"/>
        <v/>
      </c>
      <c r="T1453" s="22" t="str">
        <f>IF(R1453&lt;&gt;"",VLOOKUP(P1453,Constants!$D$3:$E$10,2),"")</f>
        <v/>
      </c>
    </row>
    <row r="1454" spans="12:20" x14ac:dyDescent="0.25">
      <c r="L1454" s="10" t="str">
        <f t="shared" si="254"/>
        <v/>
      </c>
      <c r="M1454" s="10" t="str">
        <f t="shared" si="255"/>
        <v/>
      </c>
      <c r="N1454" s="11" t="str">
        <f t="shared" si="256"/>
        <v/>
      </c>
      <c r="O1454" s="10" t="str">
        <f t="shared" si="257"/>
        <v/>
      </c>
      <c r="P1454" s="12" t="str">
        <f t="shared" si="258"/>
        <v/>
      </c>
      <c r="Q1454" s="10" t="str">
        <f t="shared" si="259"/>
        <v/>
      </c>
      <c r="R1454" s="13" t="str">
        <f t="shared" si="260"/>
        <v/>
      </c>
      <c r="S1454" s="13" t="str">
        <f t="shared" si="261"/>
        <v/>
      </c>
      <c r="T1454" s="22" t="str">
        <f>IF(R1454&lt;&gt;"",VLOOKUP(P1454,Constants!$D$3:$E$10,2),"")</f>
        <v/>
      </c>
    </row>
    <row r="1455" spans="12:20" x14ac:dyDescent="0.25">
      <c r="L1455" s="10" t="str">
        <f t="shared" si="254"/>
        <v/>
      </c>
      <c r="M1455" s="10" t="str">
        <f t="shared" si="255"/>
        <v/>
      </c>
      <c r="N1455" s="11" t="str">
        <f t="shared" si="256"/>
        <v/>
      </c>
      <c r="O1455" s="10" t="str">
        <f t="shared" si="257"/>
        <v/>
      </c>
      <c r="P1455" s="12" t="str">
        <f t="shared" si="258"/>
        <v/>
      </c>
      <c r="Q1455" s="10" t="str">
        <f t="shared" si="259"/>
        <v/>
      </c>
      <c r="R1455" s="13" t="str">
        <f t="shared" si="260"/>
        <v/>
      </c>
      <c r="S1455" s="13" t="str">
        <f t="shared" si="261"/>
        <v/>
      </c>
      <c r="T1455" s="22" t="str">
        <f>IF(R1455&lt;&gt;"",VLOOKUP(P1455,Constants!$D$3:$E$10,2),"")</f>
        <v/>
      </c>
    </row>
    <row r="1456" spans="12:20" x14ac:dyDescent="0.25">
      <c r="L1456" s="10" t="str">
        <f t="shared" si="254"/>
        <v/>
      </c>
      <c r="M1456" s="10" t="str">
        <f t="shared" si="255"/>
        <v/>
      </c>
      <c r="N1456" s="11" t="str">
        <f t="shared" si="256"/>
        <v/>
      </c>
      <c r="O1456" s="10" t="str">
        <f t="shared" si="257"/>
        <v/>
      </c>
      <c r="P1456" s="12" t="str">
        <f t="shared" si="258"/>
        <v/>
      </c>
      <c r="Q1456" s="10" t="str">
        <f t="shared" si="259"/>
        <v/>
      </c>
      <c r="R1456" s="13" t="str">
        <f t="shared" si="260"/>
        <v/>
      </c>
      <c r="S1456" s="13" t="str">
        <f t="shared" si="261"/>
        <v/>
      </c>
      <c r="T1456" s="22" t="str">
        <f>IF(R1456&lt;&gt;"",VLOOKUP(P1456,Constants!$D$3:$E$10,2),"")</f>
        <v/>
      </c>
    </row>
    <row r="1457" spans="12:20" x14ac:dyDescent="0.25">
      <c r="L1457" s="10" t="str">
        <f t="shared" si="254"/>
        <v/>
      </c>
      <c r="M1457" s="10" t="str">
        <f t="shared" si="255"/>
        <v/>
      </c>
      <c r="N1457" s="11" t="str">
        <f t="shared" si="256"/>
        <v/>
      </c>
      <c r="O1457" s="10" t="str">
        <f t="shared" si="257"/>
        <v/>
      </c>
      <c r="P1457" s="12" t="str">
        <f t="shared" si="258"/>
        <v/>
      </c>
      <c r="Q1457" s="10" t="str">
        <f t="shared" si="259"/>
        <v/>
      </c>
      <c r="R1457" s="13" t="str">
        <f t="shared" si="260"/>
        <v/>
      </c>
      <c r="S1457" s="13" t="str">
        <f t="shared" si="261"/>
        <v/>
      </c>
      <c r="T1457" s="22" t="str">
        <f>IF(R1457&lt;&gt;"",VLOOKUP(P1457,Constants!$D$3:$E$10,2),"")</f>
        <v/>
      </c>
    </row>
    <row r="1458" spans="12:20" x14ac:dyDescent="0.25">
      <c r="L1458" s="10" t="str">
        <f t="shared" si="254"/>
        <v/>
      </c>
      <c r="M1458" s="10" t="str">
        <f t="shared" si="255"/>
        <v/>
      </c>
      <c r="N1458" s="11" t="str">
        <f t="shared" si="256"/>
        <v/>
      </c>
      <c r="O1458" s="10" t="str">
        <f t="shared" si="257"/>
        <v/>
      </c>
      <c r="P1458" s="12" t="str">
        <f t="shared" si="258"/>
        <v/>
      </c>
      <c r="Q1458" s="10" t="str">
        <f t="shared" si="259"/>
        <v/>
      </c>
      <c r="R1458" s="13" t="str">
        <f t="shared" si="260"/>
        <v/>
      </c>
      <c r="S1458" s="13" t="str">
        <f t="shared" si="261"/>
        <v/>
      </c>
      <c r="T1458" s="22" t="str">
        <f>IF(R1458&lt;&gt;"",VLOOKUP(P1458,Constants!$D$3:$E$10,2),"")</f>
        <v/>
      </c>
    </row>
    <row r="1459" spans="12:20" x14ac:dyDescent="0.25">
      <c r="L1459" s="10" t="str">
        <f t="shared" si="254"/>
        <v/>
      </c>
      <c r="M1459" s="10" t="str">
        <f t="shared" si="255"/>
        <v/>
      </c>
      <c r="N1459" s="11" t="str">
        <f t="shared" si="256"/>
        <v/>
      </c>
      <c r="O1459" s="10" t="str">
        <f t="shared" si="257"/>
        <v/>
      </c>
      <c r="P1459" s="12" t="str">
        <f t="shared" si="258"/>
        <v/>
      </c>
      <c r="Q1459" s="10" t="str">
        <f t="shared" si="259"/>
        <v/>
      </c>
      <c r="R1459" s="13" t="str">
        <f t="shared" si="260"/>
        <v/>
      </c>
      <c r="S1459" s="13" t="str">
        <f t="shared" si="261"/>
        <v/>
      </c>
      <c r="T1459" s="22" t="str">
        <f>IF(R1459&lt;&gt;"",VLOOKUP(P1459,Constants!$D$3:$E$10,2),"")</f>
        <v/>
      </c>
    </row>
    <row r="1460" spans="12:20" x14ac:dyDescent="0.25">
      <c r="L1460" s="10" t="str">
        <f t="shared" si="254"/>
        <v/>
      </c>
      <c r="M1460" s="10" t="str">
        <f t="shared" si="255"/>
        <v/>
      </c>
      <c r="N1460" s="11" t="str">
        <f t="shared" si="256"/>
        <v/>
      </c>
      <c r="O1460" s="10" t="str">
        <f t="shared" si="257"/>
        <v/>
      </c>
      <c r="P1460" s="12" t="str">
        <f t="shared" si="258"/>
        <v/>
      </c>
      <c r="Q1460" s="10" t="str">
        <f t="shared" si="259"/>
        <v/>
      </c>
      <c r="R1460" s="13" t="str">
        <f t="shared" si="260"/>
        <v/>
      </c>
      <c r="S1460" s="13" t="str">
        <f t="shared" si="261"/>
        <v/>
      </c>
      <c r="T1460" s="22" t="str">
        <f>IF(R1460&lt;&gt;"",VLOOKUP(P1460,Constants!$D$3:$E$10,2),"")</f>
        <v/>
      </c>
    </row>
    <row r="1461" spans="12:20" x14ac:dyDescent="0.25">
      <c r="L1461" s="10" t="str">
        <f t="shared" si="254"/>
        <v/>
      </c>
      <c r="M1461" s="10" t="str">
        <f t="shared" si="255"/>
        <v/>
      </c>
      <c r="N1461" s="11" t="str">
        <f t="shared" si="256"/>
        <v/>
      </c>
      <c r="O1461" s="10" t="str">
        <f t="shared" si="257"/>
        <v/>
      </c>
      <c r="P1461" s="12" t="str">
        <f t="shared" si="258"/>
        <v/>
      </c>
      <c r="Q1461" s="10" t="str">
        <f t="shared" si="259"/>
        <v/>
      </c>
      <c r="R1461" s="13" t="str">
        <f t="shared" si="260"/>
        <v/>
      </c>
      <c r="S1461" s="13" t="str">
        <f t="shared" si="261"/>
        <v/>
      </c>
      <c r="T1461" s="22" t="str">
        <f>IF(R1461&lt;&gt;"",VLOOKUP(P1461,Constants!$D$3:$E$10,2),"")</f>
        <v/>
      </c>
    </row>
    <row r="1462" spans="12:20" x14ac:dyDescent="0.25">
      <c r="L1462" s="10" t="str">
        <f t="shared" si="254"/>
        <v/>
      </c>
      <c r="M1462" s="10" t="str">
        <f t="shared" si="255"/>
        <v/>
      </c>
      <c r="N1462" s="11" t="str">
        <f t="shared" si="256"/>
        <v/>
      </c>
      <c r="O1462" s="10" t="str">
        <f t="shared" si="257"/>
        <v/>
      </c>
      <c r="P1462" s="12" t="str">
        <f t="shared" si="258"/>
        <v/>
      </c>
      <c r="Q1462" s="10" t="str">
        <f t="shared" si="259"/>
        <v/>
      </c>
      <c r="R1462" s="13" t="str">
        <f t="shared" si="260"/>
        <v/>
      </c>
      <c r="S1462" s="13" t="str">
        <f t="shared" si="261"/>
        <v/>
      </c>
      <c r="T1462" s="22" t="str">
        <f>IF(R1462&lt;&gt;"",VLOOKUP(P1462,Constants!$D$3:$E$10,2),"")</f>
        <v/>
      </c>
    </row>
    <row r="1463" spans="12:20" x14ac:dyDescent="0.25">
      <c r="L1463" s="10" t="str">
        <f t="shared" si="254"/>
        <v/>
      </c>
      <c r="M1463" s="10" t="str">
        <f t="shared" si="255"/>
        <v/>
      </c>
      <c r="N1463" s="11" t="str">
        <f t="shared" si="256"/>
        <v/>
      </c>
      <c r="O1463" s="10" t="str">
        <f t="shared" si="257"/>
        <v/>
      </c>
      <c r="P1463" s="12" t="str">
        <f t="shared" si="258"/>
        <v/>
      </c>
      <c r="Q1463" s="10" t="str">
        <f t="shared" si="259"/>
        <v/>
      </c>
      <c r="R1463" s="13" t="str">
        <f t="shared" si="260"/>
        <v/>
      </c>
      <c r="S1463" s="13" t="str">
        <f t="shared" si="261"/>
        <v/>
      </c>
      <c r="T1463" s="22" t="str">
        <f>IF(R1463&lt;&gt;"",VLOOKUP(P1463,Constants!$D$3:$E$10,2),"")</f>
        <v/>
      </c>
    </row>
    <row r="1464" spans="12:20" x14ac:dyDescent="0.25">
      <c r="L1464" s="10" t="str">
        <f t="shared" si="254"/>
        <v/>
      </c>
      <c r="M1464" s="10" t="str">
        <f t="shared" si="255"/>
        <v/>
      </c>
      <c r="N1464" s="11" t="str">
        <f t="shared" si="256"/>
        <v/>
      </c>
      <c r="O1464" s="10" t="str">
        <f t="shared" si="257"/>
        <v/>
      </c>
      <c r="P1464" s="12" t="str">
        <f t="shared" si="258"/>
        <v/>
      </c>
      <c r="Q1464" s="10" t="str">
        <f t="shared" si="259"/>
        <v/>
      </c>
      <c r="R1464" s="13" t="str">
        <f t="shared" si="260"/>
        <v/>
      </c>
      <c r="S1464" s="13" t="str">
        <f t="shared" si="261"/>
        <v/>
      </c>
      <c r="T1464" s="22" t="str">
        <f>IF(R1464&lt;&gt;"",VLOOKUP(P1464,Constants!$D$3:$E$10,2),"")</f>
        <v/>
      </c>
    </row>
    <row r="1465" spans="12:20" x14ac:dyDescent="0.25">
      <c r="L1465" s="10" t="str">
        <f t="shared" si="254"/>
        <v/>
      </c>
      <c r="M1465" s="10" t="str">
        <f t="shared" si="255"/>
        <v/>
      </c>
      <c r="N1465" s="11" t="str">
        <f t="shared" si="256"/>
        <v/>
      </c>
      <c r="O1465" s="10" t="str">
        <f t="shared" si="257"/>
        <v/>
      </c>
      <c r="P1465" s="12" t="str">
        <f t="shared" si="258"/>
        <v/>
      </c>
      <c r="Q1465" s="10" t="str">
        <f t="shared" si="259"/>
        <v/>
      </c>
      <c r="R1465" s="13" t="str">
        <f t="shared" si="260"/>
        <v/>
      </c>
      <c r="S1465" s="13" t="str">
        <f t="shared" si="261"/>
        <v/>
      </c>
      <c r="T1465" s="22" t="str">
        <f>IF(R1465&lt;&gt;"",VLOOKUP(P1465,Constants!$D$3:$E$10,2),"")</f>
        <v/>
      </c>
    </row>
    <row r="1466" spans="12:20" x14ac:dyDescent="0.25">
      <c r="L1466" s="10" t="str">
        <f t="shared" si="254"/>
        <v/>
      </c>
      <c r="M1466" s="10" t="str">
        <f t="shared" si="255"/>
        <v/>
      </c>
      <c r="N1466" s="11" t="str">
        <f t="shared" si="256"/>
        <v/>
      </c>
      <c r="O1466" s="10" t="str">
        <f t="shared" si="257"/>
        <v/>
      </c>
      <c r="P1466" s="12" t="str">
        <f t="shared" si="258"/>
        <v/>
      </c>
      <c r="Q1466" s="10" t="str">
        <f t="shared" si="259"/>
        <v/>
      </c>
      <c r="R1466" s="13" t="str">
        <f t="shared" si="260"/>
        <v/>
      </c>
      <c r="S1466" s="13" t="str">
        <f t="shared" si="261"/>
        <v/>
      </c>
      <c r="T1466" s="22" t="str">
        <f>IF(R1466&lt;&gt;"",VLOOKUP(P1466,Constants!$D$3:$E$10,2),"")</f>
        <v/>
      </c>
    </row>
    <row r="1467" spans="12:20" x14ac:dyDescent="0.25">
      <c r="L1467" s="10" t="str">
        <f t="shared" si="254"/>
        <v/>
      </c>
      <c r="M1467" s="10" t="str">
        <f t="shared" si="255"/>
        <v/>
      </c>
      <c r="N1467" s="11" t="str">
        <f t="shared" si="256"/>
        <v/>
      </c>
      <c r="O1467" s="10" t="str">
        <f t="shared" si="257"/>
        <v/>
      </c>
      <c r="P1467" s="12" t="str">
        <f t="shared" si="258"/>
        <v/>
      </c>
      <c r="Q1467" s="10" t="str">
        <f t="shared" si="259"/>
        <v/>
      </c>
      <c r="R1467" s="13" t="str">
        <f t="shared" si="260"/>
        <v/>
      </c>
      <c r="S1467" s="13" t="str">
        <f t="shared" si="261"/>
        <v/>
      </c>
      <c r="T1467" s="22" t="str">
        <f>IF(R1467&lt;&gt;"",VLOOKUP(P1467,Constants!$D$3:$E$10,2),"")</f>
        <v/>
      </c>
    </row>
    <row r="1468" spans="12:20" x14ac:dyDescent="0.25">
      <c r="L1468" s="10" t="str">
        <f t="shared" si="254"/>
        <v/>
      </c>
      <c r="M1468" s="10" t="str">
        <f t="shared" si="255"/>
        <v/>
      </c>
      <c r="N1468" s="11" t="str">
        <f t="shared" si="256"/>
        <v/>
      </c>
      <c r="O1468" s="10" t="str">
        <f t="shared" si="257"/>
        <v/>
      </c>
      <c r="P1468" s="12" t="str">
        <f t="shared" si="258"/>
        <v/>
      </c>
      <c r="Q1468" s="10" t="str">
        <f t="shared" si="259"/>
        <v/>
      </c>
      <c r="R1468" s="13" t="str">
        <f t="shared" si="260"/>
        <v/>
      </c>
      <c r="S1468" s="13" t="str">
        <f t="shared" si="261"/>
        <v/>
      </c>
      <c r="T1468" s="22" t="str">
        <f>IF(R1468&lt;&gt;"",VLOOKUP(P1468,Constants!$D$3:$E$10,2),"")</f>
        <v/>
      </c>
    </row>
    <row r="1469" spans="12:20" x14ac:dyDescent="0.25">
      <c r="L1469" s="10" t="str">
        <f t="shared" si="254"/>
        <v/>
      </c>
      <c r="M1469" s="10" t="str">
        <f t="shared" si="255"/>
        <v/>
      </c>
      <c r="N1469" s="11" t="str">
        <f t="shared" si="256"/>
        <v/>
      </c>
      <c r="O1469" s="10" t="str">
        <f t="shared" si="257"/>
        <v/>
      </c>
      <c r="P1469" s="12" t="str">
        <f t="shared" si="258"/>
        <v/>
      </c>
      <c r="Q1469" s="10" t="str">
        <f t="shared" si="259"/>
        <v/>
      </c>
      <c r="R1469" s="13" t="str">
        <f t="shared" si="260"/>
        <v/>
      </c>
      <c r="S1469" s="13" t="str">
        <f t="shared" si="261"/>
        <v/>
      </c>
      <c r="T1469" s="22" t="str">
        <f>IF(R1469&lt;&gt;"",VLOOKUP(P1469,Constants!$D$3:$E$10,2),"")</f>
        <v/>
      </c>
    </row>
    <row r="1470" spans="12:20" x14ac:dyDescent="0.25">
      <c r="L1470" s="10" t="str">
        <f t="shared" si="254"/>
        <v/>
      </c>
      <c r="M1470" s="10" t="str">
        <f t="shared" si="255"/>
        <v/>
      </c>
      <c r="N1470" s="11" t="str">
        <f t="shared" si="256"/>
        <v/>
      </c>
      <c r="O1470" s="10" t="str">
        <f t="shared" si="257"/>
        <v/>
      </c>
      <c r="P1470" s="12" t="str">
        <f t="shared" si="258"/>
        <v/>
      </c>
      <c r="Q1470" s="10" t="str">
        <f t="shared" si="259"/>
        <v/>
      </c>
      <c r="R1470" s="13" t="str">
        <f t="shared" si="260"/>
        <v/>
      </c>
      <c r="S1470" s="13" t="str">
        <f t="shared" si="261"/>
        <v/>
      </c>
      <c r="T1470" s="22" t="str">
        <f>IF(R1470&lt;&gt;"",VLOOKUP(P1470,Constants!$D$3:$E$10,2),"")</f>
        <v/>
      </c>
    </row>
    <row r="1471" spans="12:20" x14ac:dyDescent="0.25">
      <c r="L1471" s="10" t="str">
        <f t="shared" si="254"/>
        <v/>
      </c>
      <c r="M1471" s="10" t="str">
        <f t="shared" si="255"/>
        <v/>
      </c>
      <c r="N1471" s="11" t="str">
        <f t="shared" si="256"/>
        <v/>
      </c>
      <c r="O1471" s="10" t="str">
        <f t="shared" si="257"/>
        <v/>
      </c>
      <c r="P1471" s="12" t="str">
        <f t="shared" si="258"/>
        <v/>
      </c>
      <c r="Q1471" s="10" t="str">
        <f t="shared" si="259"/>
        <v/>
      </c>
      <c r="R1471" s="13" t="str">
        <f t="shared" si="260"/>
        <v/>
      </c>
      <c r="S1471" s="13" t="str">
        <f t="shared" si="261"/>
        <v/>
      </c>
      <c r="T1471" s="22" t="str">
        <f>IF(R1471&lt;&gt;"",VLOOKUP(P1471,Constants!$D$3:$E$10,2),"")</f>
        <v/>
      </c>
    </row>
    <row r="1472" spans="12:20" x14ac:dyDescent="0.25">
      <c r="L1472" s="10" t="str">
        <f t="shared" si="254"/>
        <v/>
      </c>
      <c r="M1472" s="10" t="str">
        <f t="shared" si="255"/>
        <v/>
      </c>
      <c r="N1472" s="11" t="str">
        <f t="shared" si="256"/>
        <v/>
      </c>
      <c r="O1472" s="10" t="str">
        <f t="shared" si="257"/>
        <v/>
      </c>
      <c r="P1472" s="12" t="str">
        <f t="shared" si="258"/>
        <v/>
      </c>
      <c r="Q1472" s="10" t="str">
        <f t="shared" si="259"/>
        <v/>
      </c>
      <c r="R1472" s="13" t="str">
        <f t="shared" si="260"/>
        <v/>
      </c>
      <c r="S1472" s="13" t="str">
        <f t="shared" si="261"/>
        <v/>
      </c>
      <c r="T1472" s="22" t="str">
        <f>IF(R1472&lt;&gt;"",VLOOKUP(P1472,Constants!$D$3:$E$10,2),"")</f>
        <v/>
      </c>
    </row>
    <row r="1473" spans="12:20" x14ac:dyDescent="0.25">
      <c r="L1473" s="10" t="str">
        <f t="shared" si="254"/>
        <v/>
      </c>
      <c r="M1473" s="10" t="str">
        <f t="shared" si="255"/>
        <v/>
      </c>
      <c r="N1473" s="11" t="str">
        <f t="shared" si="256"/>
        <v/>
      </c>
      <c r="O1473" s="10" t="str">
        <f t="shared" si="257"/>
        <v/>
      </c>
      <c r="P1473" s="12" t="str">
        <f t="shared" si="258"/>
        <v/>
      </c>
      <c r="Q1473" s="10" t="str">
        <f t="shared" si="259"/>
        <v/>
      </c>
      <c r="R1473" s="13" t="str">
        <f t="shared" si="260"/>
        <v/>
      </c>
      <c r="S1473" s="13" t="str">
        <f t="shared" si="261"/>
        <v/>
      </c>
      <c r="T1473" s="22" t="str">
        <f>IF(R1473&lt;&gt;"",VLOOKUP(P1473,Constants!$D$3:$E$10,2),"")</f>
        <v/>
      </c>
    </row>
    <row r="1474" spans="12:20" x14ac:dyDescent="0.25">
      <c r="L1474" s="10" t="str">
        <f t="shared" si="254"/>
        <v/>
      </c>
      <c r="M1474" s="10" t="str">
        <f t="shared" si="255"/>
        <v/>
      </c>
      <c r="N1474" s="11" t="str">
        <f t="shared" si="256"/>
        <v/>
      </c>
      <c r="O1474" s="10" t="str">
        <f t="shared" si="257"/>
        <v/>
      </c>
      <c r="P1474" s="12" t="str">
        <f t="shared" si="258"/>
        <v/>
      </c>
      <c r="Q1474" s="10" t="str">
        <f t="shared" si="259"/>
        <v/>
      </c>
      <c r="R1474" s="13" t="str">
        <f t="shared" si="260"/>
        <v/>
      </c>
      <c r="S1474" s="13" t="str">
        <f t="shared" si="261"/>
        <v/>
      </c>
      <c r="T1474" s="22" t="str">
        <f>IF(R1474&lt;&gt;"",VLOOKUP(P1474,Constants!$D$3:$E$10,2),"")</f>
        <v/>
      </c>
    </row>
    <row r="1475" spans="12:20" x14ac:dyDescent="0.25">
      <c r="L1475" s="10" t="str">
        <f t="shared" si="254"/>
        <v/>
      </c>
      <c r="M1475" s="10" t="str">
        <f t="shared" si="255"/>
        <v/>
      </c>
      <c r="N1475" s="11" t="str">
        <f t="shared" si="256"/>
        <v/>
      </c>
      <c r="O1475" s="10" t="str">
        <f t="shared" si="257"/>
        <v/>
      </c>
      <c r="P1475" s="12" t="str">
        <f t="shared" si="258"/>
        <v/>
      </c>
      <c r="Q1475" s="10" t="str">
        <f t="shared" si="259"/>
        <v/>
      </c>
      <c r="R1475" s="13" t="str">
        <f t="shared" si="260"/>
        <v/>
      </c>
      <c r="S1475" s="13" t="str">
        <f t="shared" si="261"/>
        <v/>
      </c>
      <c r="T1475" s="22" t="str">
        <f>IF(R1475&lt;&gt;"",VLOOKUP(P1475,Constants!$D$3:$E$10,2),"")</f>
        <v/>
      </c>
    </row>
    <row r="1476" spans="12:20" x14ac:dyDescent="0.25">
      <c r="L1476" s="10" t="str">
        <f t="shared" si="254"/>
        <v/>
      </c>
      <c r="M1476" s="10" t="str">
        <f t="shared" si="255"/>
        <v/>
      </c>
      <c r="N1476" s="11" t="str">
        <f t="shared" si="256"/>
        <v/>
      </c>
      <c r="O1476" s="10" t="str">
        <f t="shared" si="257"/>
        <v/>
      </c>
      <c r="P1476" s="12" t="str">
        <f t="shared" si="258"/>
        <v/>
      </c>
      <c r="Q1476" s="10" t="str">
        <f t="shared" si="259"/>
        <v/>
      </c>
      <c r="R1476" s="13" t="str">
        <f t="shared" si="260"/>
        <v/>
      </c>
      <c r="S1476" s="13" t="str">
        <f t="shared" si="261"/>
        <v/>
      </c>
      <c r="T1476" s="22" t="str">
        <f>IF(R1476&lt;&gt;"",VLOOKUP(P1476,Constants!$D$3:$E$10,2),"")</f>
        <v/>
      </c>
    </row>
    <row r="1477" spans="12:20" x14ac:dyDescent="0.25">
      <c r="L1477" s="10" t="str">
        <f t="shared" si="254"/>
        <v/>
      </c>
      <c r="M1477" s="10" t="str">
        <f t="shared" si="255"/>
        <v/>
      </c>
      <c r="N1477" s="11" t="str">
        <f t="shared" si="256"/>
        <v/>
      </c>
      <c r="O1477" s="10" t="str">
        <f t="shared" si="257"/>
        <v/>
      </c>
      <c r="P1477" s="12" t="str">
        <f t="shared" si="258"/>
        <v/>
      </c>
      <c r="Q1477" s="10" t="str">
        <f t="shared" si="259"/>
        <v/>
      </c>
      <c r="R1477" s="13" t="str">
        <f t="shared" si="260"/>
        <v/>
      </c>
      <c r="S1477" s="13" t="str">
        <f t="shared" si="261"/>
        <v/>
      </c>
      <c r="T1477" s="22" t="str">
        <f>IF(R1477&lt;&gt;"",VLOOKUP(P1477,Constants!$D$3:$E$10,2),"")</f>
        <v/>
      </c>
    </row>
    <row r="1478" spans="12:20" x14ac:dyDescent="0.25">
      <c r="L1478" s="10" t="str">
        <f t="shared" si="254"/>
        <v/>
      </c>
      <c r="M1478" s="10" t="str">
        <f t="shared" si="255"/>
        <v/>
      </c>
      <c r="N1478" s="11" t="str">
        <f t="shared" si="256"/>
        <v/>
      </c>
      <c r="O1478" s="10" t="str">
        <f t="shared" si="257"/>
        <v/>
      </c>
      <c r="P1478" s="12" t="str">
        <f t="shared" si="258"/>
        <v/>
      </c>
      <c r="Q1478" s="10" t="str">
        <f t="shared" si="259"/>
        <v/>
      </c>
      <c r="R1478" s="13" t="str">
        <f t="shared" si="260"/>
        <v/>
      </c>
      <c r="S1478" s="13" t="str">
        <f t="shared" si="261"/>
        <v/>
      </c>
      <c r="T1478" s="22" t="str">
        <f>IF(R1478&lt;&gt;"",VLOOKUP(P1478,Constants!$D$3:$E$10,2),"")</f>
        <v/>
      </c>
    </row>
    <row r="1479" spans="12:20" x14ac:dyDescent="0.25">
      <c r="L1479" s="10" t="str">
        <f t="shared" si="254"/>
        <v/>
      </c>
      <c r="M1479" s="10" t="str">
        <f t="shared" si="255"/>
        <v/>
      </c>
      <c r="N1479" s="11" t="str">
        <f t="shared" si="256"/>
        <v/>
      </c>
      <c r="O1479" s="10" t="str">
        <f t="shared" si="257"/>
        <v/>
      </c>
      <c r="P1479" s="12" t="str">
        <f t="shared" si="258"/>
        <v/>
      </c>
      <c r="Q1479" s="10" t="str">
        <f t="shared" si="259"/>
        <v/>
      </c>
      <c r="R1479" s="13" t="str">
        <f t="shared" si="260"/>
        <v/>
      </c>
      <c r="S1479" s="13" t="str">
        <f t="shared" si="261"/>
        <v/>
      </c>
      <c r="T1479" s="22" t="str">
        <f>IF(R1479&lt;&gt;"",VLOOKUP(P1479,Constants!$D$3:$E$10,2),"")</f>
        <v/>
      </c>
    </row>
    <row r="1480" spans="12:20" x14ac:dyDescent="0.25">
      <c r="L1480" s="10" t="str">
        <f t="shared" si="254"/>
        <v/>
      </c>
      <c r="M1480" s="10" t="str">
        <f t="shared" si="255"/>
        <v/>
      </c>
      <c r="N1480" s="11" t="str">
        <f t="shared" si="256"/>
        <v/>
      </c>
      <c r="O1480" s="10" t="str">
        <f t="shared" si="257"/>
        <v/>
      </c>
      <c r="P1480" s="12" t="str">
        <f t="shared" si="258"/>
        <v/>
      </c>
      <c r="Q1480" s="10" t="str">
        <f t="shared" si="259"/>
        <v/>
      </c>
      <c r="R1480" s="13" t="str">
        <f t="shared" si="260"/>
        <v/>
      </c>
      <c r="S1480" s="13" t="str">
        <f t="shared" si="261"/>
        <v/>
      </c>
      <c r="T1480" s="22" t="str">
        <f>IF(R1480&lt;&gt;"",VLOOKUP(P1480,Constants!$D$3:$E$10,2),"")</f>
        <v/>
      </c>
    </row>
    <row r="1481" spans="12:20" x14ac:dyDescent="0.25">
      <c r="L1481" s="10" t="str">
        <f t="shared" si="254"/>
        <v/>
      </c>
      <c r="M1481" s="10" t="str">
        <f t="shared" si="255"/>
        <v/>
      </c>
      <c r="N1481" s="11" t="str">
        <f t="shared" si="256"/>
        <v/>
      </c>
      <c r="O1481" s="10" t="str">
        <f t="shared" si="257"/>
        <v/>
      </c>
      <c r="P1481" s="12" t="str">
        <f t="shared" si="258"/>
        <v/>
      </c>
      <c r="Q1481" s="10" t="str">
        <f t="shared" si="259"/>
        <v/>
      </c>
      <c r="R1481" s="13" t="str">
        <f t="shared" si="260"/>
        <v/>
      </c>
      <c r="S1481" s="13" t="str">
        <f t="shared" si="261"/>
        <v/>
      </c>
      <c r="T1481" s="22" t="str">
        <f>IF(R1481&lt;&gt;"",VLOOKUP(P1481,Constants!$D$3:$E$10,2),"")</f>
        <v/>
      </c>
    </row>
    <row r="1482" spans="12:20" x14ac:dyDescent="0.25">
      <c r="L1482" s="10" t="str">
        <f t="shared" si="254"/>
        <v/>
      </c>
      <c r="M1482" s="10" t="str">
        <f t="shared" si="255"/>
        <v/>
      </c>
      <c r="N1482" s="11" t="str">
        <f t="shared" si="256"/>
        <v/>
      </c>
      <c r="O1482" s="10" t="str">
        <f t="shared" si="257"/>
        <v/>
      </c>
      <c r="P1482" s="12" t="str">
        <f t="shared" si="258"/>
        <v/>
      </c>
      <c r="Q1482" s="10" t="str">
        <f t="shared" si="259"/>
        <v/>
      </c>
      <c r="R1482" s="13" t="str">
        <f t="shared" si="260"/>
        <v/>
      </c>
      <c r="S1482" s="13" t="str">
        <f t="shared" si="261"/>
        <v/>
      </c>
      <c r="T1482" s="22" t="str">
        <f>IF(R1482&lt;&gt;"",VLOOKUP(P1482,Constants!$D$3:$E$10,2),"")</f>
        <v/>
      </c>
    </row>
    <row r="1483" spans="12:20" x14ac:dyDescent="0.25">
      <c r="L1483" s="10" t="str">
        <f t="shared" si="254"/>
        <v/>
      </c>
      <c r="M1483" s="10" t="str">
        <f t="shared" si="255"/>
        <v/>
      </c>
      <c r="N1483" s="11" t="str">
        <f t="shared" si="256"/>
        <v/>
      </c>
      <c r="O1483" s="10" t="str">
        <f t="shared" si="257"/>
        <v/>
      </c>
      <c r="P1483" s="12" t="str">
        <f t="shared" si="258"/>
        <v/>
      </c>
      <c r="Q1483" s="10" t="str">
        <f t="shared" si="259"/>
        <v/>
      </c>
      <c r="R1483" s="13" t="str">
        <f t="shared" si="260"/>
        <v/>
      </c>
      <c r="S1483" s="13" t="str">
        <f t="shared" si="261"/>
        <v/>
      </c>
      <c r="T1483" s="22" t="str">
        <f>IF(R1483&lt;&gt;"",VLOOKUP(P1483,Constants!$D$3:$E$10,2),"")</f>
        <v/>
      </c>
    </row>
    <row r="1484" spans="12:20" x14ac:dyDescent="0.25">
      <c r="L1484" s="10" t="str">
        <f t="shared" si="254"/>
        <v/>
      </c>
      <c r="M1484" s="10" t="str">
        <f t="shared" si="255"/>
        <v/>
      </c>
      <c r="N1484" s="11" t="str">
        <f t="shared" si="256"/>
        <v/>
      </c>
      <c r="O1484" s="10" t="str">
        <f t="shared" si="257"/>
        <v/>
      </c>
      <c r="P1484" s="12" t="str">
        <f t="shared" si="258"/>
        <v/>
      </c>
      <c r="Q1484" s="10" t="str">
        <f t="shared" si="259"/>
        <v/>
      </c>
      <c r="R1484" s="13" t="str">
        <f t="shared" si="260"/>
        <v/>
      </c>
      <c r="S1484" s="13" t="str">
        <f t="shared" si="261"/>
        <v/>
      </c>
      <c r="T1484" s="22" t="str">
        <f>IF(R1484&lt;&gt;"",VLOOKUP(P1484,Constants!$D$3:$E$10,2),"")</f>
        <v/>
      </c>
    </row>
    <row r="1485" spans="12:20" x14ac:dyDescent="0.25">
      <c r="L1485" s="10" t="str">
        <f t="shared" si="254"/>
        <v/>
      </c>
      <c r="M1485" s="10" t="str">
        <f t="shared" si="255"/>
        <v/>
      </c>
      <c r="N1485" s="11" t="str">
        <f t="shared" si="256"/>
        <v/>
      </c>
      <c r="O1485" s="10" t="str">
        <f t="shared" si="257"/>
        <v/>
      </c>
      <c r="P1485" s="12" t="str">
        <f t="shared" si="258"/>
        <v/>
      </c>
      <c r="Q1485" s="10" t="str">
        <f t="shared" si="259"/>
        <v/>
      </c>
      <c r="R1485" s="13" t="str">
        <f t="shared" si="260"/>
        <v/>
      </c>
      <c r="S1485" s="13" t="str">
        <f t="shared" si="261"/>
        <v/>
      </c>
      <c r="T1485" s="22" t="str">
        <f>IF(R1485&lt;&gt;"",VLOOKUP(P1485,Constants!$D$3:$E$10,2),"")</f>
        <v/>
      </c>
    </row>
    <row r="1486" spans="12:20" x14ac:dyDescent="0.25">
      <c r="L1486" s="10" t="str">
        <f t="shared" si="254"/>
        <v/>
      </c>
      <c r="M1486" s="10" t="str">
        <f t="shared" si="255"/>
        <v/>
      </c>
      <c r="N1486" s="11" t="str">
        <f t="shared" si="256"/>
        <v/>
      </c>
      <c r="O1486" s="10" t="str">
        <f t="shared" si="257"/>
        <v/>
      </c>
      <c r="P1486" s="12" t="str">
        <f t="shared" si="258"/>
        <v/>
      </c>
      <c r="Q1486" s="10" t="str">
        <f t="shared" si="259"/>
        <v/>
      </c>
      <c r="R1486" s="13" t="str">
        <f t="shared" si="260"/>
        <v/>
      </c>
      <c r="S1486" s="13" t="str">
        <f t="shared" si="261"/>
        <v/>
      </c>
      <c r="T1486" s="22" t="str">
        <f>IF(R1486&lt;&gt;"",VLOOKUP(P1486,Constants!$D$3:$E$10,2),"")</f>
        <v/>
      </c>
    </row>
    <row r="1487" spans="12:20" x14ac:dyDescent="0.25">
      <c r="L1487" s="10" t="str">
        <f t="shared" si="254"/>
        <v/>
      </c>
      <c r="M1487" s="10" t="str">
        <f t="shared" si="255"/>
        <v/>
      </c>
      <c r="N1487" s="11" t="str">
        <f t="shared" si="256"/>
        <v/>
      </c>
      <c r="O1487" s="10" t="str">
        <f t="shared" si="257"/>
        <v/>
      </c>
      <c r="P1487" s="12" t="str">
        <f t="shared" si="258"/>
        <v/>
      </c>
      <c r="Q1487" s="10" t="str">
        <f t="shared" si="259"/>
        <v/>
      </c>
      <c r="R1487" s="13" t="str">
        <f t="shared" si="260"/>
        <v/>
      </c>
      <c r="S1487" s="13" t="str">
        <f t="shared" si="261"/>
        <v/>
      </c>
      <c r="T1487" s="22" t="str">
        <f>IF(R1487&lt;&gt;"",VLOOKUP(P1487,Constants!$D$3:$E$10,2),"")</f>
        <v/>
      </c>
    </row>
    <row r="1488" spans="12:20" x14ac:dyDescent="0.25">
      <c r="L1488" s="10" t="str">
        <f t="shared" si="254"/>
        <v/>
      </c>
      <c r="M1488" s="10" t="str">
        <f t="shared" si="255"/>
        <v/>
      </c>
      <c r="N1488" s="11" t="str">
        <f t="shared" si="256"/>
        <v/>
      </c>
      <c r="O1488" s="10" t="str">
        <f t="shared" si="257"/>
        <v/>
      </c>
      <c r="P1488" s="12" t="str">
        <f t="shared" si="258"/>
        <v/>
      </c>
      <c r="Q1488" s="10" t="str">
        <f t="shared" si="259"/>
        <v/>
      </c>
      <c r="R1488" s="13" t="str">
        <f t="shared" si="260"/>
        <v/>
      </c>
      <c r="S1488" s="13" t="str">
        <f t="shared" si="261"/>
        <v/>
      </c>
      <c r="T1488" s="22" t="str">
        <f>IF(R1488&lt;&gt;"",VLOOKUP(P1488,Constants!$D$3:$E$10,2),"")</f>
        <v/>
      </c>
    </row>
    <row r="1489" spans="12:20" x14ac:dyDescent="0.25">
      <c r="L1489" s="10" t="str">
        <f t="shared" si="254"/>
        <v/>
      </c>
      <c r="M1489" s="10" t="str">
        <f t="shared" si="255"/>
        <v/>
      </c>
      <c r="N1489" s="11" t="str">
        <f t="shared" si="256"/>
        <v/>
      </c>
      <c r="O1489" s="10" t="str">
        <f t="shared" si="257"/>
        <v/>
      </c>
      <c r="P1489" s="12" t="str">
        <f t="shared" si="258"/>
        <v/>
      </c>
      <c r="Q1489" s="10" t="str">
        <f t="shared" si="259"/>
        <v/>
      </c>
      <c r="R1489" s="13" t="str">
        <f t="shared" si="260"/>
        <v/>
      </c>
      <c r="S1489" s="13" t="str">
        <f t="shared" si="261"/>
        <v/>
      </c>
      <c r="T1489" s="22" t="str">
        <f>IF(R1489&lt;&gt;"",VLOOKUP(P1489,Constants!$D$3:$E$10,2),"")</f>
        <v/>
      </c>
    </row>
    <row r="1490" spans="12:20" x14ac:dyDescent="0.25">
      <c r="L1490" s="10" t="str">
        <f t="shared" ref="L1490:L1553" si="262">IF($D1490&lt;&gt;"",$D1490*$E1490/1000,"")</f>
        <v/>
      </c>
      <c r="M1490" s="10" t="str">
        <f t="shared" ref="M1490:M1553" si="263">IF($D1490&lt;&gt;"",$D1490*$F1490/1000,"")</f>
        <v/>
      </c>
      <c r="N1490" s="11" t="str">
        <f t="shared" ref="N1490:N1553" si="264">IF($L1490&lt;&gt;"",SQRT($L1490*$L1490+$M1490*$M1490),"")</f>
        <v/>
      </c>
      <c r="O1490" s="10" t="str">
        <f t="shared" si="257"/>
        <v/>
      </c>
      <c r="P1490" s="12" t="str">
        <f t="shared" si="258"/>
        <v/>
      </c>
      <c r="Q1490" s="10" t="str">
        <f t="shared" si="259"/>
        <v/>
      </c>
      <c r="R1490" s="13" t="str">
        <f t="shared" si="260"/>
        <v/>
      </c>
      <c r="S1490" s="13" t="str">
        <f t="shared" si="261"/>
        <v/>
      </c>
      <c r="T1490" s="22" t="str">
        <f>IF(R1490&lt;&gt;"",VLOOKUP(P1490,Constants!$D$3:$E$10,2),"")</f>
        <v/>
      </c>
    </row>
    <row r="1491" spans="12:20" x14ac:dyDescent="0.25">
      <c r="L1491" s="10" t="str">
        <f t="shared" si="262"/>
        <v/>
      </c>
      <c r="M1491" s="10" t="str">
        <f t="shared" si="263"/>
        <v/>
      </c>
      <c r="N1491" s="11" t="str">
        <f t="shared" si="264"/>
        <v/>
      </c>
      <c r="O1491" s="10" t="str">
        <f t="shared" si="257"/>
        <v/>
      </c>
      <c r="P1491" s="12" t="str">
        <f t="shared" si="258"/>
        <v/>
      </c>
      <c r="Q1491" s="10" t="str">
        <f t="shared" si="259"/>
        <v/>
      </c>
      <c r="R1491" s="13" t="str">
        <f t="shared" si="260"/>
        <v/>
      </c>
      <c r="S1491" s="13" t="str">
        <f t="shared" si="261"/>
        <v/>
      </c>
      <c r="T1491" s="22" t="str">
        <f>IF(R1491&lt;&gt;"",VLOOKUP(P1491,Constants!$D$3:$E$10,2),"")</f>
        <v/>
      </c>
    </row>
    <row r="1492" spans="12:20" x14ac:dyDescent="0.25">
      <c r="L1492" s="10" t="str">
        <f t="shared" si="262"/>
        <v/>
      </c>
      <c r="M1492" s="10" t="str">
        <f t="shared" si="263"/>
        <v/>
      </c>
      <c r="N1492" s="11" t="str">
        <f t="shared" si="264"/>
        <v/>
      </c>
      <c r="O1492" s="10" t="str">
        <f t="shared" ref="O1492:O1555" si="265">IF(D1492&lt;&gt;"",1000/(2*D1492),"")</f>
        <v/>
      </c>
      <c r="P1492" s="12" t="str">
        <f t="shared" ref="P1492:P1555" si="266">IF($N1492&lt;&gt;"",D1492*SQRT(E1492*E1492+F1492*F1492)/16000,"")</f>
        <v/>
      </c>
      <c r="Q1492" s="10" t="str">
        <f t="shared" ref="Q1492:Q1555" si="267">IF(F1492&lt;&gt;"",F1492*E1492/1000000,"")</f>
        <v/>
      </c>
      <c r="R1492" s="13" t="str">
        <f t="shared" ref="R1492:R1555" si="268">IF(G1492&lt;&gt;"",1000/G1492,"")</f>
        <v/>
      </c>
      <c r="S1492" s="13" t="str">
        <f t="shared" ref="S1492:S1555" si="269">IF(R1492&lt;&gt;"",Q1492/R1492*1000,"")</f>
        <v/>
      </c>
      <c r="T1492" s="22" t="str">
        <f>IF(R1492&lt;&gt;"",VLOOKUP(P1492,Constants!$D$3:$E$10,2),"")</f>
        <v/>
      </c>
    </row>
    <row r="1493" spans="12:20" x14ac:dyDescent="0.25">
      <c r="L1493" s="10" t="str">
        <f t="shared" si="262"/>
        <v/>
      </c>
      <c r="M1493" s="10" t="str">
        <f t="shared" si="263"/>
        <v/>
      </c>
      <c r="N1493" s="11" t="str">
        <f t="shared" si="264"/>
        <v/>
      </c>
      <c r="O1493" s="10" t="str">
        <f t="shared" si="265"/>
        <v/>
      </c>
      <c r="P1493" s="12" t="str">
        <f t="shared" si="266"/>
        <v/>
      </c>
      <c r="Q1493" s="10" t="str">
        <f t="shared" si="267"/>
        <v/>
      </c>
      <c r="R1493" s="13" t="str">
        <f t="shared" si="268"/>
        <v/>
      </c>
      <c r="S1493" s="13" t="str">
        <f t="shared" si="269"/>
        <v/>
      </c>
      <c r="T1493" s="22" t="str">
        <f>IF(R1493&lt;&gt;"",VLOOKUP(P1493,Constants!$D$3:$E$10,2),"")</f>
        <v/>
      </c>
    </row>
    <row r="1494" spans="12:20" x14ac:dyDescent="0.25">
      <c r="L1494" s="10" t="str">
        <f t="shared" si="262"/>
        <v/>
      </c>
      <c r="M1494" s="10" t="str">
        <f t="shared" si="263"/>
        <v/>
      </c>
      <c r="N1494" s="11" t="str">
        <f t="shared" si="264"/>
        <v/>
      </c>
      <c r="O1494" s="10" t="str">
        <f t="shared" si="265"/>
        <v/>
      </c>
      <c r="P1494" s="12" t="str">
        <f t="shared" si="266"/>
        <v/>
      </c>
      <c r="Q1494" s="10" t="str">
        <f t="shared" si="267"/>
        <v/>
      </c>
      <c r="R1494" s="13" t="str">
        <f t="shared" si="268"/>
        <v/>
      </c>
      <c r="S1494" s="13" t="str">
        <f t="shared" si="269"/>
        <v/>
      </c>
      <c r="T1494" s="22" t="str">
        <f>IF(R1494&lt;&gt;"",VLOOKUP(P1494,Constants!$D$3:$E$10,2),"")</f>
        <v/>
      </c>
    </row>
    <row r="1495" spans="12:20" x14ac:dyDescent="0.25">
      <c r="L1495" s="10" t="str">
        <f t="shared" si="262"/>
        <v/>
      </c>
      <c r="M1495" s="10" t="str">
        <f t="shared" si="263"/>
        <v/>
      </c>
      <c r="N1495" s="11" t="str">
        <f t="shared" si="264"/>
        <v/>
      </c>
      <c r="O1495" s="10" t="str">
        <f t="shared" si="265"/>
        <v/>
      </c>
      <c r="P1495" s="12" t="str">
        <f t="shared" si="266"/>
        <v/>
      </c>
      <c r="Q1495" s="10" t="str">
        <f t="shared" si="267"/>
        <v/>
      </c>
      <c r="R1495" s="13" t="str">
        <f t="shared" si="268"/>
        <v/>
      </c>
      <c r="S1495" s="13" t="str">
        <f t="shared" si="269"/>
        <v/>
      </c>
      <c r="T1495" s="22" t="str">
        <f>IF(R1495&lt;&gt;"",VLOOKUP(P1495,Constants!$D$3:$E$10,2),"")</f>
        <v/>
      </c>
    </row>
    <row r="1496" spans="12:20" x14ac:dyDescent="0.25">
      <c r="L1496" s="10" t="str">
        <f t="shared" si="262"/>
        <v/>
      </c>
      <c r="M1496" s="10" t="str">
        <f t="shared" si="263"/>
        <v/>
      </c>
      <c r="N1496" s="11" t="str">
        <f t="shared" si="264"/>
        <v/>
      </c>
      <c r="O1496" s="10" t="str">
        <f t="shared" si="265"/>
        <v/>
      </c>
      <c r="P1496" s="12" t="str">
        <f t="shared" si="266"/>
        <v/>
      </c>
      <c r="Q1496" s="10" t="str">
        <f t="shared" si="267"/>
        <v/>
      </c>
      <c r="R1496" s="13" t="str">
        <f t="shared" si="268"/>
        <v/>
      </c>
      <c r="S1496" s="13" t="str">
        <f t="shared" si="269"/>
        <v/>
      </c>
      <c r="T1496" s="22" t="str">
        <f>IF(R1496&lt;&gt;"",VLOOKUP(P1496,Constants!$D$3:$E$10,2),"")</f>
        <v/>
      </c>
    </row>
    <row r="1497" spans="12:20" x14ac:dyDescent="0.25">
      <c r="L1497" s="10" t="str">
        <f t="shared" si="262"/>
        <v/>
      </c>
      <c r="M1497" s="10" t="str">
        <f t="shared" si="263"/>
        <v/>
      </c>
      <c r="N1497" s="11" t="str">
        <f t="shared" si="264"/>
        <v/>
      </c>
      <c r="O1497" s="10" t="str">
        <f t="shared" si="265"/>
        <v/>
      </c>
      <c r="P1497" s="12" t="str">
        <f t="shared" si="266"/>
        <v/>
      </c>
      <c r="Q1497" s="10" t="str">
        <f t="shared" si="267"/>
        <v/>
      </c>
      <c r="R1497" s="13" t="str">
        <f t="shared" si="268"/>
        <v/>
      </c>
      <c r="S1497" s="13" t="str">
        <f t="shared" si="269"/>
        <v/>
      </c>
      <c r="T1497" s="22" t="str">
        <f>IF(R1497&lt;&gt;"",VLOOKUP(P1497,Constants!$D$3:$E$10,2),"")</f>
        <v/>
      </c>
    </row>
    <row r="1498" spans="12:20" x14ac:dyDescent="0.25">
      <c r="L1498" s="10" t="str">
        <f t="shared" si="262"/>
        <v/>
      </c>
      <c r="M1498" s="10" t="str">
        <f t="shared" si="263"/>
        <v/>
      </c>
      <c r="N1498" s="11" t="str">
        <f t="shared" si="264"/>
        <v/>
      </c>
      <c r="O1498" s="10" t="str">
        <f t="shared" si="265"/>
        <v/>
      </c>
      <c r="P1498" s="12" t="str">
        <f t="shared" si="266"/>
        <v/>
      </c>
      <c r="Q1498" s="10" t="str">
        <f t="shared" si="267"/>
        <v/>
      </c>
      <c r="R1498" s="13" t="str">
        <f t="shared" si="268"/>
        <v/>
      </c>
      <c r="S1498" s="13" t="str">
        <f t="shared" si="269"/>
        <v/>
      </c>
      <c r="T1498" s="22" t="str">
        <f>IF(R1498&lt;&gt;"",VLOOKUP(P1498,Constants!$D$3:$E$10,2),"")</f>
        <v/>
      </c>
    </row>
    <row r="1499" spans="12:20" x14ac:dyDescent="0.25">
      <c r="L1499" s="10" t="str">
        <f t="shared" si="262"/>
        <v/>
      </c>
      <c r="M1499" s="10" t="str">
        <f t="shared" si="263"/>
        <v/>
      </c>
      <c r="N1499" s="11" t="str">
        <f t="shared" si="264"/>
        <v/>
      </c>
      <c r="O1499" s="10" t="str">
        <f t="shared" si="265"/>
        <v/>
      </c>
      <c r="P1499" s="12" t="str">
        <f t="shared" si="266"/>
        <v/>
      </c>
      <c r="Q1499" s="10" t="str">
        <f t="shared" si="267"/>
        <v/>
      </c>
      <c r="R1499" s="13" t="str">
        <f t="shared" si="268"/>
        <v/>
      </c>
      <c r="S1499" s="13" t="str">
        <f t="shared" si="269"/>
        <v/>
      </c>
      <c r="T1499" s="22" t="str">
        <f>IF(R1499&lt;&gt;"",VLOOKUP(P1499,Constants!$D$3:$E$10,2),"")</f>
        <v/>
      </c>
    </row>
    <row r="1500" spans="12:20" x14ac:dyDescent="0.25">
      <c r="L1500" s="10" t="str">
        <f t="shared" si="262"/>
        <v/>
      </c>
      <c r="M1500" s="10" t="str">
        <f t="shared" si="263"/>
        <v/>
      </c>
      <c r="N1500" s="11" t="str">
        <f t="shared" si="264"/>
        <v/>
      </c>
      <c r="O1500" s="10" t="str">
        <f t="shared" si="265"/>
        <v/>
      </c>
      <c r="P1500" s="12" t="str">
        <f t="shared" si="266"/>
        <v/>
      </c>
      <c r="Q1500" s="10" t="str">
        <f t="shared" si="267"/>
        <v/>
      </c>
      <c r="R1500" s="13" t="str">
        <f t="shared" si="268"/>
        <v/>
      </c>
      <c r="S1500" s="13" t="str">
        <f t="shared" si="269"/>
        <v/>
      </c>
      <c r="T1500" s="22" t="str">
        <f>IF(R1500&lt;&gt;"",VLOOKUP(P1500,Constants!$D$3:$E$10,2),"")</f>
        <v/>
      </c>
    </row>
    <row r="1501" spans="12:20" x14ac:dyDescent="0.25">
      <c r="L1501" s="10" t="str">
        <f t="shared" si="262"/>
        <v/>
      </c>
      <c r="M1501" s="10" t="str">
        <f t="shared" si="263"/>
        <v/>
      </c>
      <c r="N1501" s="11" t="str">
        <f t="shared" si="264"/>
        <v/>
      </c>
      <c r="O1501" s="10" t="str">
        <f t="shared" si="265"/>
        <v/>
      </c>
      <c r="P1501" s="12" t="str">
        <f t="shared" si="266"/>
        <v/>
      </c>
      <c r="Q1501" s="10" t="str">
        <f t="shared" si="267"/>
        <v/>
      </c>
      <c r="R1501" s="13" t="str">
        <f t="shared" si="268"/>
        <v/>
      </c>
      <c r="S1501" s="13" t="str">
        <f t="shared" si="269"/>
        <v/>
      </c>
      <c r="T1501" s="22" t="str">
        <f>IF(R1501&lt;&gt;"",VLOOKUP(P1501,Constants!$D$3:$E$10,2),"")</f>
        <v/>
      </c>
    </row>
    <row r="1502" spans="12:20" x14ac:dyDescent="0.25">
      <c r="L1502" s="10" t="str">
        <f t="shared" si="262"/>
        <v/>
      </c>
      <c r="M1502" s="10" t="str">
        <f t="shared" si="263"/>
        <v/>
      </c>
      <c r="N1502" s="11" t="str">
        <f t="shared" si="264"/>
        <v/>
      </c>
      <c r="O1502" s="10" t="str">
        <f t="shared" si="265"/>
        <v/>
      </c>
      <c r="P1502" s="12" t="str">
        <f t="shared" si="266"/>
        <v/>
      </c>
      <c r="Q1502" s="10" t="str">
        <f t="shared" si="267"/>
        <v/>
      </c>
      <c r="R1502" s="13" t="str">
        <f t="shared" si="268"/>
        <v/>
      </c>
      <c r="S1502" s="13" t="str">
        <f t="shared" si="269"/>
        <v/>
      </c>
      <c r="T1502" s="22" t="str">
        <f>IF(R1502&lt;&gt;"",VLOOKUP(P1502,Constants!$D$3:$E$10,2),"")</f>
        <v/>
      </c>
    </row>
    <row r="1503" spans="12:20" x14ac:dyDescent="0.25">
      <c r="L1503" s="10" t="str">
        <f t="shared" si="262"/>
        <v/>
      </c>
      <c r="M1503" s="10" t="str">
        <f t="shared" si="263"/>
        <v/>
      </c>
      <c r="N1503" s="11" t="str">
        <f t="shared" si="264"/>
        <v/>
      </c>
      <c r="O1503" s="10" t="str">
        <f t="shared" si="265"/>
        <v/>
      </c>
      <c r="P1503" s="12" t="str">
        <f t="shared" si="266"/>
        <v/>
      </c>
      <c r="Q1503" s="10" t="str">
        <f t="shared" si="267"/>
        <v/>
      </c>
      <c r="R1503" s="13" t="str">
        <f t="shared" si="268"/>
        <v/>
      </c>
      <c r="S1503" s="13" t="str">
        <f t="shared" si="269"/>
        <v/>
      </c>
      <c r="T1503" s="22" t="str">
        <f>IF(R1503&lt;&gt;"",VLOOKUP(P1503,Constants!$D$3:$E$10,2),"")</f>
        <v/>
      </c>
    </row>
    <row r="1504" spans="12:20" x14ac:dyDescent="0.25">
      <c r="L1504" s="10" t="str">
        <f t="shared" si="262"/>
        <v/>
      </c>
      <c r="M1504" s="10" t="str">
        <f t="shared" si="263"/>
        <v/>
      </c>
      <c r="N1504" s="11" t="str">
        <f t="shared" si="264"/>
        <v/>
      </c>
      <c r="O1504" s="10" t="str">
        <f t="shared" si="265"/>
        <v/>
      </c>
      <c r="P1504" s="12" t="str">
        <f t="shared" si="266"/>
        <v/>
      </c>
      <c r="Q1504" s="10" t="str">
        <f t="shared" si="267"/>
        <v/>
      </c>
      <c r="R1504" s="13" t="str">
        <f t="shared" si="268"/>
        <v/>
      </c>
      <c r="S1504" s="13" t="str">
        <f t="shared" si="269"/>
        <v/>
      </c>
      <c r="T1504" s="22" t="str">
        <f>IF(R1504&lt;&gt;"",VLOOKUP(P1504,Constants!$D$3:$E$10,2),"")</f>
        <v/>
      </c>
    </row>
    <row r="1505" spans="12:20" x14ac:dyDescent="0.25">
      <c r="L1505" s="10" t="str">
        <f t="shared" si="262"/>
        <v/>
      </c>
      <c r="M1505" s="10" t="str">
        <f t="shared" si="263"/>
        <v/>
      </c>
      <c r="N1505" s="11" t="str">
        <f t="shared" si="264"/>
        <v/>
      </c>
      <c r="O1505" s="10" t="str">
        <f t="shared" si="265"/>
        <v/>
      </c>
      <c r="P1505" s="12" t="str">
        <f t="shared" si="266"/>
        <v/>
      </c>
      <c r="Q1505" s="10" t="str">
        <f t="shared" si="267"/>
        <v/>
      </c>
      <c r="R1505" s="13" t="str">
        <f t="shared" si="268"/>
        <v/>
      </c>
      <c r="S1505" s="13" t="str">
        <f t="shared" si="269"/>
        <v/>
      </c>
      <c r="T1505" s="22" t="str">
        <f>IF(R1505&lt;&gt;"",VLOOKUP(P1505,Constants!$D$3:$E$10,2),"")</f>
        <v/>
      </c>
    </row>
    <row r="1506" spans="12:20" x14ac:dyDescent="0.25">
      <c r="L1506" s="10" t="str">
        <f t="shared" si="262"/>
        <v/>
      </c>
      <c r="M1506" s="10" t="str">
        <f t="shared" si="263"/>
        <v/>
      </c>
      <c r="N1506" s="11" t="str">
        <f t="shared" si="264"/>
        <v/>
      </c>
      <c r="O1506" s="10" t="str">
        <f t="shared" si="265"/>
        <v/>
      </c>
      <c r="P1506" s="12" t="str">
        <f t="shared" si="266"/>
        <v/>
      </c>
      <c r="Q1506" s="10" t="str">
        <f t="shared" si="267"/>
        <v/>
      </c>
      <c r="R1506" s="13" t="str">
        <f t="shared" si="268"/>
        <v/>
      </c>
      <c r="S1506" s="13" t="str">
        <f t="shared" si="269"/>
        <v/>
      </c>
      <c r="T1506" s="22" t="str">
        <f>IF(R1506&lt;&gt;"",VLOOKUP(P1506,Constants!$D$3:$E$10,2),"")</f>
        <v/>
      </c>
    </row>
    <row r="1507" spans="12:20" x14ac:dyDescent="0.25">
      <c r="L1507" s="10" t="str">
        <f t="shared" si="262"/>
        <v/>
      </c>
      <c r="M1507" s="10" t="str">
        <f t="shared" si="263"/>
        <v/>
      </c>
      <c r="N1507" s="11" t="str">
        <f t="shared" si="264"/>
        <v/>
      </c>
      <c r="O1507" s="10" t="str">
        <f t="shared" si="265"/>
        <v/>
      </c>
      <c r="P1507" s="12" t="str">
        <f t="shared" si="266"/>
        <v/>
      </c>
      <c r="Q1507" s="10" t="str">
        <f t="shared" si="267"/>
        <v/>
      </c>
      <c r="R1507" s="13" t="str">
        <f t="shared" si="268"/>
        <v/>
      </c>
      <c r="S1507" s="13" t="str">
        <f t="shared" si="269"/>
        <v/>
      </c>
      <c r="T1507" s="22" t="str">
        <f>IF(R1507&lt;&gt;"",VLOOKUP(P1507,Constants!$D$3:$E$10,2),"")</f>
        <v/>
      </c>
    </row>
    <row r="1508" spans="12:20" x14ac:dyDescent="0.25">
      <c r="L1508" s="10" t="str">
        <f t="shared" si="262"/>
        <v/>
      </c>
      <c r="M1508" s="10" t="str">
        <f t="shared" si="263"/>
        <v/>
      </c>
      <c r="N1508" s="11" t="str">
        <f t="shared" si="264"/>
        <v/>
      </c>
      <c r="O1508" s="10" t="str">
        <f t="shared" si="265"/>
        <v/>
      </c>
      <c r="P1508" s="12" t="str">
        <f t="shared" si="266"/>
        <v/>
      </c>
      <c r="Q1508" s="10" t="str">
        <f t="shared" si="267"/>
        <v/>
      </c>
      <c r="R1508" s="13" t="str">
        <f t="shared" si="268"/>
        <v/>
      </c>
      <c r="S1508" s="13" t="str">
        <f t="shared" si="269"/>
        <v/>
      </c>
      <c r="T1508" s="22" t="str">
        <f>IF(R1508&lt;&gt;"",VLOOKUP(P1508,Constants!$D$3:$E$10,2),"")</f>
        <v/>
      </c>
    </row>
    <row r="1509" spans="12:20" x14ac:dyDescent="0.25">
      <c r="L1509" s="10" t="str">
        <f t="shared" si="262"/>
        <v/>
      </c>
      <c r="M1509" s="10" t="str">
        <f t="shared" si="263"/>
        <v/>
      </c>
      <c r="N1509" s="11" t="str">
        <f t="shared" si="264"/>
        <v/>
      </c>
      <c r="O1509" s="10" t="str">
        <f t="shared" si="265"/>
        <v/>
      </c>
      <c r="P1509" s="12" t="str">
        <f t="shared" si="266"/>
        <v/>
      </c>
      <c r="Q1509" s="10" t="str">
        <f t="shared" si="267"/>
        <v/>
      </c>
      <c r="R1509" s="13" t="str">
        <f t="shared" si="268"/>
        <v/>
      </c>
      <c r="S1509" s="13" t="str">
        <f t="shared" si="269"/>
        <v/>
      </c>
      <c r="T1509" s="22" t="str">
        <f>IF(R1509&lt;&gt;"",VLOOKUP(P1509,Constants!$D$3:$E$10,2),"")</f>
        <v/>
      </c>
    </row>
    <row r="1510" spans="12:20" x14ac:dyDescent="0.25">
      <c r="L1510" s="10" t="str">
        <f t="shared" si="262"/>
        <v/>
      </c>
      <c r="M1510" s="10" t="str">
        <f t="shared" si="263"/>
        <v/>
      </c>
      <c r="N1510" s="11" t="str">
        <f t="shared" si="264"/>
        <v/>
      </c>
      <c r="O1510" s="10" t="str">
        <f t="shared" si="265"/>
        <v/>
      </c>
      <c r="P1510" s="12" t="str">
        <f t="shared" si="266"/>
        <v/>
      </c>
      <c r="Q1510" s="10" t="str">
        <f t="shared" si="267"/>
        <v/>
      </c>
      <c r="R1510" s="13" t="str">
        <f t="shared" si="268"/>
        <v/>
      </c>
      <c r="S1510" s="13" t="str">
        <f t="shared" si="269"/>
        <v/>
      </c>
      <c r="T1510" s="22" t="str">
        <f>IF(R1510&lt;&gt;"",VLOOKUP(P1510,Constants!$D$3:$E$10,2),"")</f>
        <v/>
      </c>
    </row>
    <row r="1511" spans="12:20" x14ac:dyDescent="0.25">
      <c r="L1511" s="10" t="str">
        <f t="shared" si="262"/>
        <v/>
      </c>
      <c r="M1511" s="10" t="str">
        <f t="shared" si="263"/>
        <v/>
      </c>
      <c r="N1511" s="11" t="str">
        <f t="shared" si="264"/>
        <v/>
      </c>
      <c r="O1511" s="10" t="str">
        <f t="shared" si="265"/>
        <v/>
      </c>
      <c r="P1511" s="12" t="str">
        <f t="shared" si="266"/>
        <v/>
      </c>
      <c r="Q1511" s="10" t="str">
        <f t="shared" si="267"/>
        <v/>
      </c>
      <c r="R1511" s="13" t="str">
        <f t="shared" si="268"/>
        <v/>
      </c>
      <c r="S1511" s="13" t="str">
        <f t="shared" si="269"/>
        <v/>
      </c>
      <c r="T1511" s="22" t="str">
        <f>IF(R1511&lt;&gt;"",VLOOKUP(P1511,Constants!$D$3:$E$10,2),"")</f>
        <v/>
      </c>
    </row>
    <row r="1512" spans="12:20" x14ac:dyDescent="0.25">
      <c r="L1512" s="10" t="str">
        <f t="shared" si="262"/>
        <v/>
      </c>
      <c r="M1512" s="10" t="str">
        <f t="shared" si="263"/>
        <v/>
      </c>
      <c r="N1512" s="11" t="str">
        <f t="shared" si="264"/>
        <v/>
      </c>
      <c r="O1512" s="10" t="str">
        <f t="shared" si="265"/>
        <v/>
      </c>
      <c r="P1512" s="12" t="str">
        <f t="shared" si="266"/>
        <v/>
      </c>
      <c r="Q1512" s="10" t="str">
        <f t="shared" si="267"/>
        <v/>
      </c>
      <c r="R1512" s="13" t="str">
        <f t="shared" si="268"/>
        <v/>
      </c>
      <c r="S1512" s="13" t="str">
        <f t="shared" si="269"/>
        <v/>
      </c>
      <c r="T1512" s="22" t="str">
        <f>IF(R1512&lt;&gt;"",VLOOKUP(P1512,Constants!$D$3:$E$10,2),"")</f>
        <v/>
      </c>
    </row>
    <row r="1513" spans="12:20" x14ac:dyDescent="0.25">
      <c r="L1513" s="10" t="str">
        <f t="shared" si="262"/>
        <v/>
      </c>
      <c r="M1513" s="10" t="str">
        <f t="shared" si="263"/>
        <v/>
      </c>
      <c r="N1513" s="11" t="str">
        <f t="shared" si="264"/>
        <v/>
      </c>
      <c r="O1513" s="10" t="str">
        <f t="shared" si="265"/>
        <v/>
      </c>
      <c r="P1513" s="12" t="str">
        <f t="shared" si="266"/>
        <v/>
      </c>
      <c r="Q1513" s="10" t="str">
        <f t="shared" si="267"/>
        <v/>
      </c>
      <c r="R1513" s="13" t="str">
        <f t="shared" si="268"/>
        <v/>
      </c>
      <c r="S1513" s="13" t="str">
        <f t="shared" si="269"/>
        <v/>
      </c>
      <c r="T1513" s="22" t="str">
        <f>IF(R1513&lt;&gt;"",VLOOKUP(P1513,Constants!$D$3:$E$10,2),"")</f>
        <v/>
      </c>
    </row>
    <row r="1514" spans="12:20" x14ac:dyDescent="0.25">
      <c r="L1514" s="10" t="str">
        <f t="shared" si="262"/>
        <v/>
      </c>
      <c r="M1514" s="10" t="str">
        <f t="shared" si="263"/>
        <v/>
      </c>
      <c r="N1514" s="11" t="str">
        <f t="shared" si="264"/>
        <v/>
      </c>
      <c r="O1514" s="10" t="str">
        <f t="shared" si="265"/>
        <v/>
      </c>
      <c r="P1514" s="12" t="str">
        <f t="shared" si="266"/>
        <v/>
      </c>
      <c r="Q1514" s="10" t="str">
        <f t="shared" si="267"/>
        <v/>
      </c>
      <c r="R1514" s="13" t="str">
        <f t="shared" si="268"/>
        <v/>
      </c>
      <c r="S1514" s="13" t="str">
        <f t="shared" si="269"/>
        <v/>
      </c>
      <c r="T1514" s="22" t="str">
        <f>IF(R1514&lt;&gt;"",VLOOKUP(P1514,Constants!$D$3:$E$10,2),"")</f>
        <v/>
      </c>
    </row>
    <row r="1515" spans="12:20" x14ac:dyDescent="0.25">
      <c r="L1515" s="10" t="str">
        <f t="shared" si="262"/>
        <v/>
      </c>
      <c r="M1515" s="10" t="str">
        <f t="shared" si="263"/>
        <v/>
      </c>
      <c r="N1515" s="11" t="str">
        <f t="shared" si="264"/>
        <v/>
      </c>
      <c r="O1515" s="10" t="str">
        <f t="shared" si="265"/>
        <v/>
      </c>
      <c r="P1515" s="12" t="str">
        <f t="shared" si="266"/>
        <v/>
      </c>
      <c r="Q1515" s="10" t="str">
        <f t="shared" si="267"/>
        <v/>
      </c>
      <c r="R1515" s="13" t="str">
        <f t="shared" si="268"/>
        <v/>
      </c>
      <c r="S1515" s="13" t="str">
        <f t="shared" si="269"/>
        <v/>
      </c>
      <c r="T1515" s="22" t="str">
        <f>IF(R1515&lt;&gt;"",VLOOKUP(P1515,Constants!$D$3:$E$10,2),"")</f>
        <v/>
      </c>
    </row>
    <row r="1516" spans="12:20" x14ac:dyDescent="0.25">
      <c r="L1516" s="10" t="str">
        <f t="shared" si="262"/>
        <v/>
      </c>
      <c r="M1516" s="10" t="str">
        <f t="shared" si="263"/>
        <v/>
      </c>
      <c r="N1516" s="11" t="str">
        <f t="shared" si="264"/>
        <v/>
      </c>
      <c r="O1516" s="10" t="str">
        <f t="shared" si="265"/>
        <v/>
      </c>
      <c r="P1516" s="12" t="str">
        <f t="shared" si="266"/>
        <v/>
      </c>
      <c r="Q1516" s="10" t="str">
        <f t="shared" si="267"/>
        <v/>
      </c>
      <c r="R1516" s="13" t="str">
        <f t="shared" si="268"/>
        <v/>
      </c>
      <c r="S1516" s="13" t="str">
        <f t="shared" si="269"/>
        <v/>
      </c>
      <c r="T1516" s="22" t="str">
        <f>IF(R1516&lt;&gt;"",VLOOKUP(P1516,Constants!$D$3:$E$10,2),"")</f>
        <v/>
      </c>
    </row>
    <row r="1517" spans="12:20" x14ac:dyDescent="0.25">
      <c r="L1517" s="10" t="str">
        <f t="shared" si="262"/>
        <v/>
      </c>
      <c r="M1517" s="10" t="str">
        <f t="shared" si="263"/>
        <v/>
      </c>
      <c r="N1517" s="11" t="str">
        <f t="shared" si="264"/>
        <v/>
      </c>
      <c r="O1517" s="10" t="str">
        <f t="shared" si="265"/>
        <v/>
      </c>
      <c r="P1517" s="12" t="str">
        <f t="shared" si="266"/>
        <v/>
      </c>
      <c r="Q1517" s="10" t="str">
        <f t="shared" si="267"/>
        <v/>
      </c>
      <c r="R1517" s="13" t="str">
        <f t="shared" si="268"/>
        <v/>
      </c>
      <c r="S1517" s="13" t="str">
        <f t="shared" si="269"/>
        <v/>
      </c>
      <c r="T1517" s="22" t="str">
        <f>IF(R1517&lt;&gt;"",VLOOKUP(P1517,Constants!$D$3:$E$10,2),"")</f>
        <v/>
      </c>
    </row>
    <row r="1518" spans="12:20" x14ac:dyDescent="0.25">
      <c r="L1518" s="10" t="str">
        <f t="shared" si="262"/>
        <v/>
      </c>
      <c r="M1518" s="10" t="str">
        <f t="shared" si="263"/>
        <v/>
      </c>
      <c r="N1518" s="11" t="str">
        <f t="shared" si="264"/>
        <v/>
      </c>
      <c r="O1518" s="10" t="str">
        <f t="shared" si="265"/>
        <v/>
      </c>
      <c r="P1518" s="12" t="str">
        <f t="shared" si="266"/>
        <v/>
      </c>
      <c r="Q1518" s="10" t="str">
        <f t="shared" si="267"/>
        <v/>
      </c>
      <c r="R1518" s="13" t="str">
        <f t="shared" si="268"/>
        <v/>
      </c>
      <c r="S1518" s="13" t="str">
        <f t="shared" si="269"/>
        <v/>
      </c>
      <c r="T1518" s="22" t="str">
        <f>IF(R1518&lt;&gt;"",VLOOKUP(P1518,Constants!$D$3:$E$10,2),"")</f>
        <v/>
      </c>
    </row>
    <row r="1519" spans="12:20" x14ac:dyDescent="0.25">
      <c r="L1519" s="10" t="str">
        <f t="shared" si="262"/>
        <v/>
      </c>
      <c r="M1519" s="10" t="str">
        <f t="shared" si="263"/>
        <v/>
      </c>
      <c r="N1519" s="11" t="str">
        <f t="shared" si="264"/>
        <v/>
      </c>
      <c r="O1519" s="10" t="str">
        <f t="shared" si="265"/>
        <v/>
      </c>
      <c r="P1519" s="12" t="str">
        <f t="shared" si="266"/>
        <v/>
      </c>
      <c r="Q1519" s="10" t="str">
        <f t="shared" si="267"/>
        <v/>
      </c>
      <c r="R1519" s="13" t="str">
        <f t="shared" si="268"/>
        <v/>
      </c>
      <c r="S1519" s="13" t="str">
        <f t="shared" si="269"/>
        <v/>
      </c>
      <c r="T1519" s="22" t="str">
        <f>IF(R1519&lt;&gt;"",VLOOKUP(P1519,Constants!$D$3:$E$10,2),"")</f>
        <v/>
      </c>
    </row>
    <row r="1520" spans="12:20" x14ac:dyDescent="0.25">
      <c r="L1520" s="10" t="str">
        <f t="shared" si="262"/>
        <v/>
      </c>
      <c r="M1520" s="10" t="str">
        <f t="shared" si="263"/>
        <v/>
      </c>
      <c r="N1520" s="11" t="str">
        <f t="shared" si="264"/>
        <v/>
      </c>
      <c r="O1520" s="10" t="str">
        <f t="shared" si="265"/>
        <v/>
      </c>
      <c r="P1520" s="12" t="str">
        <f t="shared" si="266"/>
        <v/>
      </c>
      <c r="Q1520" s="10" t="str">
        <f t="shared" si="267"/>
        <v/>
      </c>
      <c r="R1520" s="13" t="str">
        <f t="shared" si="268"/>
        <v/>
      </c>
      <c r="S1520" s="13" t="str">
        <f t="shared" si="269"/>
        <v/>
      </c>
      <c r="T1520" s="22" t="str">
        <f>IF(R1520&lt;&gt;"",VLOOKUP(P1520,Constants!$D$3:$E$10,2),"")</f>
        <v/>
      </c>
    </row>
    <row r="1521" spans="12:20" x14ac:dyDescent="0.25">
      <c r="L1521" s="10" t="str">
        <f t="shared" si="262"/>
        <v/>
      </c>
      <c r="M1521" s="10" t="str">
        <f t="shared" si="263"/>
        <v/>
      </c>
      <c r="N1521" s="11" t="str">
        <f t="shared" si="264"/>
        <v/>
      </c>
      <c r="O1521" s="10" t="str">
        <f t="shared" si="265"/>
        <v/>
      </c>
      <c r="P1521" s="12" t="str">
        <f t="shared" si="266"/>
        <v/>
      </c>
      <c r="Q1521" s="10" t="str">
        <f t="shared" si="267"/>
        <v/>
      </c>
      <c r="R1521" s="13" t="str">
        <f t="shared" si="268"/>
        <v/>
      </c>
      <c r="S1521" s="13" t="str">
        <f t="shared" si="269"/>
        <v/>
      </c>
      <c r="T1521" s="22" t="str">
        <f>IF(R1521&lt;&gt;"",VLOOKUP(P1521,Constants!$D$3:$E$10,2),"")</f>
        <v/>
      </c>
    </row>
    <row r="1522" spans="12:20" x14ac:dyDescent="0.25">
      <c r="L1522" s="10" t="str">
        <f t="shared" si="262"/>
        <v/>
      </c>
      <c r="M1522" s="10" t="str">
        <f t="shared" si="263"/>
        <v/>
      </c>
      <c r="N1522" s="11" t="str">
        <f t="shared" si="264"/>
        <v/>
      </c>
      <c r="O1522" s="10" t="str">
        <f t="shared" si="265"/>
        <v/>
      </c>
      <c r="P1522" s="12" t="str">
        <f t="shared" si="266"/>
        <v/>
      </c>
      <c r="Q1522" s="10" t="str">
        <f t="shared" si="267"/>
        <v/>
      </c>
      <c r="R1522" s="13" t="str">
        <f t="shared" si="268"/>
        <v/>
      </c>
      <c r="S1522" s="13" t="str">
        <f t="shared" si="269"/>
        <v/>
      </c>
      <c r="T1522" s="22" t="str">
        <f>IF(R1522&lt;&gt;"",VLOOKUP(P1522,Constants!$D$3:$E$10,2),"")</f>
        <v/>
      </c>
    </row>
    <row r="1523" spans="12:20" x14ac:dyDescent="0.25">
      <c r="L1523" s="10" t="str">
        <f t="shared" si="262"/>
        <v/>
      </c>
      <c r="M1523" s="10" t="str">
        <f t="shared" si="263"/>
        <v/>
      </c>
      <c r="N1523" s="11" t="str">
        <f t="shared" si="264"/>
        <v/>
      </c>
      <c r="O1523" s="10" t="str">
        <f t="shared" si="265"/>
        <v/>
      </c>
      <c r="P1523" s="12" t="str">
        <f t="shared" si="266"/>
        <v/>
      </c>
      <c r="Q1523" s="10" t="str">
        <f t="shared" si="267"/>
        <v/>
      </c>
      <c r="R1523" s="13" t="str">
        <f t="shared" si="268"/>
        <v/>
      </c>
      <c r="S1523" s="13" t="str">
        <f t="shared" si="269"/>
        <v/>
      </c>
      <c r="T1523" s="22" t="str">
        <f>IF(R1523&lt;&gt;"",VLOOKUP(P1523,Constants!$D$3:$E$10,2),"")</f>
        <v/>
      </c>
    </row>
    <row r="1524" spans="12:20" x14ac:dyDescent="0.25">
      <c r="L1524" s="10" t="str">
        <f t="shared" si="262"/>
        <v/>
      </c>
      <c r="M1524" s="10" t="str">
        <f t="shared" si="263"/>
        <v/>
      </c>
      <c r="N1524" s="11" t="str">
        <f t="shared" si="264"/>
        <v/>
      </c>
      <c r="O1524" s="10" t="str">
        <f t="shared" si="265"/>
        <v/>
      </c>
      <c r="P1524" s="12" t="str">
        <f t="shared" si="266"/>
        <v/>
      </c>
      <c r="Q1524" s="10" t="str">
        <f t="shared" si="267"/>
        <v/>
      </c>
      <c r="R1524" s="13" t="str">
        <f t="shared" si="268"/>
        <v/>
      </c>
      <c r="S1524" s="13" t="str">
        <f t="shared" si="269"/>
        <v/>
      </c>
      <c r="T1524" s="22" t="str">
        <f>IF(R1524&lt;&gt;"",VLOOKUP(P1524,Constants!$D$3:$E$10,2),"")</f>
        <v/>
      </c>
    </row>
    <row r="1525" spans="12:20" x14ac:dyDescent="0.25">
      <c r="L1525" s="10" t="str">
        <f t="shared" si="262"/>
        <v/>
      </c>
      <c r="M1525" s="10" t="str">
        <f t="shared" si="263"/>
        <v/>
      </c>
      <c r="N1525" s="11" t="str">
        <f t="shared" si="264"/>
        <v/>
      </c>
      <c r="O1525" s="10" t="str">
        <f t="shared" si="265"/>
        <v/>
      </c>
      <c r="P1525" s="12" t="str">
        <f t="shared" si="266"/>
        <v/>
      </c>
      <c r="Q1525" s="10" t="str">
        <f t="shared" si="267"/>
        <v/>
      </c>
      <c r="R1525" s="13" t="str">
        <f t="shared" si="268"/>
        <v/>
      </c>
      <c r="S1525" s="13" t="str">
        <f t="shared" si="269"/>
        <v/>
      </c>
      <c r="T1525" s="22" t="str">
        <f>IF(R1525&lt;&gt;"",VLOOKUP(P1525,Constants!$D$3:$E$10,2),"")</f>
        <v/>
      </c>
    </row>
    <row r="1526" spans="12:20" x14ac:dyDescent="0.25">
      <c r="L1526" s="10" t="str">
        <f t="shared" si="262"/>
        <v/>
      </c>
      <c r="M1526" s="10" t="str">
        <f t="shared" si="263"/>
        <v/>
      </c>
      <c r="N1526" s="11" t="str">
        <f t="shared" si="264"/>
        <v/>
      </c>
      <c r="O1526" s="10" t="str">
        <f t="shared" si="265"/>
        <v/>
      </c>
      <c r="P1526" s="12" t="str">
        <f t="shared" si="266"/>
        <v/>
      </c>
      <c r="Q1526" s="10" t="str">
        <f t="shared" si="267"/>
        <v/>
      </c>
      <c r="R1526" s="13" t="str">
        <f t="shared" si="268"/>
        <v/>
      </c>
      <c r="S1526" s="13" t="str">
        <f t="shared" si="269"/>
        <v/>
      </c>
      <c r="T1526" s="22" t="str">
        <f>IF(R1526&lt;&gt;"",VLOOKUP(P1526,Constants!$D$3:$E$10,2),"")</f>
        <v/>
      </c>
    </row>
    <row r="1527" spans="12:20" x14ac:dyDescent="0.25">
      <c r="L1527" s="10" t="str">
        <f t="shared" si="262"/>
        <v/>
      </c>
      <c r="M1527" s="10" t="str">
        <f t="shared" si="263"/>
        <v/>
      </c>
      <c r="N1527" s="11" t="str">
        <f t="shared" si="264"/>
        <v/>
      </c>
      <c r="O1527" s="10" t="str">
        <f t="shared" si="265"/>
        <v/>
      </c>
      <c r="P1527" s="12" t="str">
        <f t="shared" si="266"/>
        <v/>
      </c>
      <c r="Q1527" s="10" t="str">
        <f t="shared" si="267"/>
        <v/>
      </c>
      <c r="R1527" s="13" t="str">
        <f t="shared" si="268"/>
        <v/>
      </c>
      <c r="S1527" s="13" t="str">
        <f t="shared" si="269"/>
        <v/>
      </c>
      <c r="T1527" s="22" t="str">
        <f>IF(R1527&lt;&gt;"",VLOOKUP(P1527,Constants!$D$3:$E$10,2),"")</f>
        <v/>
      </c>
    </row>
    <row r="1528" spans="12:20" x14ac:dyDescent="0.25">
      <c r="L1528" s="10" t="str">
        <f t="shared" si="262"/>
        <v/>
      </c>
      <c r="M1528" s="10" t="str">
        <f t="shared" si="263"/>
        <v/>
      </c>
      <c r="N1528" s="11" t="str">
        <f t="shared" si="264"/>
        <v/>
      </c>
      <c r="O1528" s="10" t="str">
        <f t="shared" si="265"/>
        <v/>
      </c>
      <c r="P1528" s="12" t="str">
        <f t="shared" si="266"/>
        <v/>
      </c>
      <c r="Q1528" s="10" t="str">
        <f t="shared" si="267"/>
        <v/>
      </c>
      <c r="R1528" s="13" t="str">
        <f t="shared" si="268"/>
        <v/>
      </c>
      <c r="S1528" s="13" t="str">
        <f t="shared" si="269"/>
        <v/>
      </c>
      <c r="T1528" s="22" t="str">
        <f>IF(R1528&lt;&gt;"",VLOOKUP(P1528,Constants!$D$3:$E$10,2),"")</f>
        <v/>
      </c>
    </row>
    <row r="1529" spans="12:20" x14ac:dyDescent="0.25">
      <c r="L1529" s="10" t="str">
        <f t="shared" si="262"/>
        <v/>
      </c>
      <c r="M1529" s="10" t="str">
        <f t="shared" si="263"/>
        <v/>
      </c>
      <c r="N1529" s="11" t="str">
        <f t="shared" si="264"/>
        <v/>
      </c>
      <c r="O1529" s="10" t="str">
        <f t="shared" si="265"/>
        <v/>
      </c>
      <c r="P1529" s="12" t="str">
        <f t="shared" si="266"/>
        <v/>
      </c>
      <c r="Q1529" s="10" t="str">
        <f t="shared" si="267"/>
        <v/>
      </c>
      <c r="R1529" s="13" t="str">
        <f t="shared" si="268"/>
        <v/>
      </c>
      <c r="S1529" s="13" t="str">
        <f t="shared" si="269"/>
        <v/>
      </c>
      <c r="T1529" s="22" t="str">
        <f>IF(R1529&lt;&gt;"",VLOOKUP(P1529,Constants!$D$3:$E$10,2),"")</f>
        <v/>
      </c>
    </row>
    <row r="1530" spans="12:20" x14ac:dyDescent="0.25">
      <c r="L1530" s="10" t="str">
        <f t="shared" si="262"/>
        <v/>
      </c>
      <c r="M1530" s="10" t="str">
        <f t="shared" si="263"/>
        <v/>
      </c>
      <c r="N1530" s="11" t="str">
        <f t="shared" si="264"/>
        <v/>
      </c>
      <c r="O1530" s="10" t="str">
        <f t="shared" si="265"/>
        <v/>
      </c>
      <c r="P1530" s="12" t="str">
        <f t="shared" si="266"/>
        <v/>
      </c>
      <c r="Q1530" s="10" t="str">
        <f t="shared" si="267"/>
        <v/>
      </c>
      <c r="R1530" s="13" t="str">
        <f t="shared" si="268"/>
        <v/>
      </c>
      <c r="S1530" s="13" t="str">
        <f t="shared" si="269"/>
        <v/>
      </c>
      <c r="T1530" s="22" t="str">
        <f>IF(R1530&lt;&gt;"",VLOOKUP(P1530,Constants!$D$3:$E$10,2),"")</f>
        <v/>
      </c>
    </row>
    <row r="1531" spans="12:20" x14ac:dyDescent="0.25">
      <c r="L1531" s="10" t="str">
        <f t="shared" si="262"/>
        <v/>
      </c>
      <c r="M1531" s="10" t="str">
        <f t="shared" si="263"/>
        <v/>
      </c>
      <c r="N1531" s="11" t="str">
        <f t="shared" si="264"/>
        <v/>
      </c>
      <c r="O1531" s="10" t="str">
        <f t="shared" si="265"/>
        <v/>
      </c>
      <c r="P1531" s="12" t="str">
        <f t="shared" si="266"/>
        <v/>
      </c>
      <c r="Q1531" s="10" t="str">
        <f t="shared" si="267"/>
        <v/>
      </c>
      <c r="R1531" s="13" t="str">
        <f t="shared" si="268"/>
        <v/>
      </c>
      <c r="S1531" s="13" t="str">
        <f t="shared" si="269"/>
        <v/>
      </c>
      <c r="T1531" s="22" t="str">
        <f>IF(R1531&lt;&gt;"",VLOOKUP(P1531,Constants!$D$3:$E$10,2),"")</f>
        <v/>
      </c>
    </row>
    <row r="1532" spans="12:20" x14ac:dyDescent="0.25">
      <c r="L1532" s="10" t="str">
        <f t="shared" si="262"/>
        <v/>
      </c>
      <c r="M1532" s="10" t="str">
        <f t="shared" si="263"/>
        <v/>
      </c>
      <c r="N1532" s="11" t="str">
        <f t="shared" si="264"/>
        <v/>
      </c>
      <c r="O1532" s="10" t="str">
        <f t="shared" si="265"/>
        <v/>
      </c>
      <c r="P1532" s="12" t="str">
        <f t="shared" si="266"/>
        <v/>
      </c>
      <c r="Q1532" s="10" t="str">
        <f t="shared" si="267"/>
        <v/>
      </c>
      <c r="R1532" s="13" t="str">
        <f t="shared" si="268"/>
        <v/>
      </c>
      <c r="S1532" s="13" t="str">
        <f t="shared" si="269"/>
        <v/>
      </c>
      <c r="T1532" s="22" t="str">
        <f>IF(R1532&lt;&gt;"",VLOOKUP(P1532,Constants!$D$3:$E$10,2),"")</f>
        <v/>
      </c>
    </row>
    <row r="1533" spans="12:20" x14ac:dyDescent="0.25">
      <c r="L1533" s="10" t="str">
        <f t="shared" si="262"/>
        <v/>
      </c>
      <c r="M1533" s="10" t="str">
        <f t="shared" si="263"/>
        <v/>
      </c>
      <c r="N1533" s="11" t="str">
        <f t="shared" si="264"/>
        <v/>
      </c>
      <c r="O1533" s="10" t="str">
        <f t="shared" si="265"/>
        <v/>
      </c>
      <c r="P1533" s="12" t="str">
        <f t="shared" si="266"/>
        <v/>
      </c>
      <c r="Q1533" s="10" t="str">
        <f t="shared" si="267"/>
        <v/>
      </c>
      <c r="R1533" s="13" t="str">
        <f t="shared" si="268"/>
        <v/>
      </c>
      <c r="S1533" s="13" t="str">
        <f t="shared" si="269"/>
        <v/>
      </c>
      <c r="T1533" s="22" t="str">
        <f>IF(R1533&lt;&gt;"",VLOOKUP(P1533,Constants!$D$3:$E$10,2),"")</f>
        <v/>
      </c>
    </row>
    <row r="1534" spans="12:20" x14ac:dyDescent="0.25">
      <c r="L1534" s="10" t="str">
        <f t="shared" si="262"/>
        <v/>
      </c>
      <c r="M1534" s="10" t="str">
        <f t="shared" si="263"/>
        <v/>
      </c>
      <c r="N1534" s="11" t="str">
        <f t="shared" si="264"/>
        <v/>
      </c>
      <c r="O1534" s="10" t="str">
        <f t="shared" si="265"/>
        <v/>
      </c>
      <c r="P1534" s="12" t="str">
        <f t="shared" si="266"/>
        <v/>
      </c>
      <c r="Q1534" s="10" t="str">
        <f t="shared" si="267"/>
        <v/>
      </c>
      <c r="R1534" s="13" t="str">
        <f t="shared" si="268"/>
        <v/>
      </c>
      <c r="S1534" s="13" t="str">
        <f t="shared" si="269"/>
        <v/>
      </c>
      <c r="T1534" s="22" t="str">
        <f>IF(R1534&lt;&gt;"",VLOOKUP(P1534,Constants!$D$3:$E$10,2),"")</f>
        <v/>
      </c>
    </row>
    <row r="1535" spans="12:20" x14ac:dyDescent="0.25">
      <c r="L1535" s="10" t="str">
        <f t="shared" si="262"/>
        <v/>
      </c>
      <c r="M1535" s="10" t="str">
        <f t="shared" si="263"/>
        <v/>
      </c>
      <c r="N1535" s="11" t="str">
        <f t="shared" si="264"/>
        <v/>
      </c>
      <c r="O1535" s="10" t="str">
        <f t="shared" si="265"/>
        <v/>
      </c>
      <c r="P1535" s="12" t="str">
        <f t="shared" si="266"/>
        <v/>
      </c>
      <c r="Q1535" s="10" t="str">
        <f t="shared" si="267"/>
        <v/>
      </c>
      <c r="R1535" s="13" t="str">
        <f t="shared" si="268"/>
        <v/>
      </c>
      <c r="S1535" s="13" t="str">
        <f t="shared" si="269"/>
        <v/>
      </c>
      <c r="T1535" s="22" t="str">
        <f>IF(R1535&lt;&gt;"",VLOOKUP(P1535,Constants!$D$3:$E$10,2),"")</f>
        <v/>
      </c>
    </row>
    <row r="1536" spans="12:20" x14ac:dyDescent="0.25">
      <c r="L1536" s="10" t="str">
        <f t="shared" si="262"/>
        <v/>
      </c>
      <c r="M1536" s="10" t="str">
        <f t="shared" si="263"/>
        <v/>
      </c>
      <c r="N1536" s="11" t="str">
        <f t="shared" si="264"/>
        <v/>
      </c>
      <c r="O1536" s="10" t="str">
        <f t="shared" si="265"/>
        <v/>
      </c>
      <c r="P1536" s="12" t="str">
        <f t="shared" si="266"/>
        <v/>
      </c>
      <c r="Q1536" s="10" t="str">
        <f t="shared" si="267"/>
        <v/>
      </c>
      <c r="R1536" s="13" t="str">
        <f t="shared" si="268"/>
        <v/>
      </c>
      <c r="S1536" s="13" t="str">
        <f t="shared" si="269"/>
        <v/>
      </c>
      <c r="T1536" s="22" t="str">
        <f>IF(R1536&lt;&gt;"",VLOOKUP(P1536,Constants!$D$3:$E$10,2),"")</f>
        <v/>
      </c>
    </row>
    <row r="1537" spans="12:20" x14ac:dyDescent="0.25">
      <c r="L1537" s="10" t="str">
        <f t="shared" si="262"/>
        <v/>
      </c>
      <c r="M1537" s="10" t="str">
        <f t="shared" si="263"/>
        <v/>
      </c>
      <c r="N1537" s="11" t="str">
        <f t="shared" si="264"/>
        <v/>
      </c>
      <c r="O1537" s="10" t="str">
        <f t="shared" si="265"/>
        <v/>
      </c>
      <c r="P1537" s="12" t="str">
        <f t="shared" si="266"/>
        <v/>
      </c>
      <c r="Q1537" s="10" t="str">
        <f t="shared" si="267"/>
        <v/>
      </c>
      <c r="R1537" s="13" t="str">
        <f t="shared" si="268"/>
        <v/>
      </c>
      <c r="S1537" s="13" t="str">
        <f t="shared" si="269"/>
        <v/>
      </c>
      <c r="T1537" s="22" t="str">
        <f>IF(R1537&lt;&gt;"",VLOOKUP(P1537,Constants!$D$3:$E$10,2),"")</f>
        <v/>
      </c>
    </row>
    <row r="1538" spans="12:20" x14ac:dyDescent="0.25">
      <c r="L1538" s="10" t="str">
        <f t="shared" si="262"/>
        <v/>
      </c>
      <c r="M1538" s="10" t="str">
        <f t="shared" si="263"/>
        <v/>
      </c>
      <c r="N1538" s="11" t="str">
        <f t="shared" si="264"/>
        <v/>
      </c>
      <c r="O1538" s="10" t="str">
        <f t="shared" si="265"/>
        <v/>
      </c>
      <c r="P1538" s="12" t="str">
        <f t="shared" si="266"/>
        <v/>
      </c>
      <c r="Q1538" s="10" t="str">
        <f t="shared" si="267"/>
        <v/>
      </c>
      <c r="R1538" s="13" t="str">
        <f t="shared" si="268"/>
        <v/>
      </c>
      <c r="S1538" s="13" t="str">
        <f t="shared" si="269"/>
        <v/>
      </c>
      <c r="T1538" s="22" t="str">
        <f>IF(R1538&lt;&gt;"",VLOOKUP(P1538,Constants!$D$3:$E$10,2),"")</f>
        <v/>
      </c>
    </row>
    <row r="1539" spans="12:20" x14ac:dyDescent="0.25">
      <c r="L1539" s="10" t="str">
        <f t="shared" si="262"/>
        <v/>
      </c>
      <c r="M1539" s="10" t="str">
        <f t="shared" si="263"/>
        <v/>
      </c>
      <c r="N1539" s="11" t="str">
        <f t="shared" si="264"/>
        <v/>
      </c>
      <c r="O1539" s="10" t="str">
        <f t="shared" si="265"/>
        <v/>
      </c>
      <c r="P1539" s="12" t="str">
        <f t="shared" si="266"/>
        <v/>
      </c>
      <c r="Q1539" s="10" t="str">
        <f t="shared" si="267"/>
        <v/>
      </c>
      <c r="R1539" s="13" t="str">
        <f t="shared" si="268"/>
        <v/>
      </c>
      <c r="S1539" s="13" t="str">
        <f t="shared" si="269"/>
        <v/>
      </c>
      <c r="T1539" s="22" t="str">
        <f>IF(R1539&lt;&gt;"",VLOOKUP(P1539,Constants!$D$3:$E$10,2),"")</f>
        <v/>
      </c>
    </row>
    <row r="1540" spans="12:20" x14ac:dyDescent="0.25">
      <c r="L1540" s="10" t="str">
        <f t="shared" si="262"/>
        <v/>
      </c>
      <c r="M1540" s="10" t="str">
        <f t="shared" si="263"/>
        <v/>
      </c>
      <c r="N1540" s="11" t="str">
        <f t="shared" si="264"/>
        <v/>
      </c>
      <c r="O1540" s="10" t="str">
        <f t="shared" si="265"/>
        <v/>
      </c>
      <c r="P1540" s="12" t="str">
        <f t="shared" si="266"/>
        <v/>
      </c>
      <c r="Q1540" s="10" t="str">
        <f t="shared" si="267"/>
        <v/>
      </c>
      <c r="R1540" s="13" t="str">
        <f t="shared" si="268"/>
        <v/>
      </c>
      <c r="S1540" s="13" t="str">
        <f t="shared" si="269"/>
        <v/>
      </c>
      <c r="T1540" s="22" t="str">
        <f>IF(R1540&lt;&gt;"",VLOOKUP(P1540,Constants!$D$3:$E$10,2),"")</f>
        <v/>
      </c>
    </row>
    <row r="1541" spans="12:20" x14ac:dyDescent="0.25">
      <c r="L1541" s="10" t="str">
        <f t="shared" si="262"/>
        <v/>
      </c>
      <c r="M1541" s="10" t="str">
        <f t="shared" si="263"/>
        <v/>
      </c>
      <c r="N1541" s="11" t="str">
        <f t="shared" si="264"/>
        <v/>
      </c>
      <c r="O1541" s="10" t="str">
        <f t="shared" si="265"/>
        <v/>
      </c>
      <c r="P1541" s="12" t="str">
        <f t="shared" si="266"/>
        <v/>
      </c>
      <c r="Q1541" s="10" t="str">
        <f t="shared" si="267"/>
        <v/>
      </c>
      <c r="R1541" s="13" t="str">
        <f t="shared" si="268"/>
        <v/>
      </c>
      <c r="S1541" s="13" t="str">
        <f t="shared" si="269"/>
        <v/>
      </c>
      <c r="T1541" s="22" t="str">
        <f>IF(R1541&lt;&gt;"",VLOOKUP(P1541,Constants!$D$3:$E$10,2),"")</f>
        <v/>
      </c>
    </row>
    <row r="1542" spans="12:20" x14ac:dyDescent="0.25">
      <c r="L1542" s="10" t="str">
        <f t="shared" si="262"/>
        <v/>
      </c>
      <c r="M1542" s="10" t="str">
        <f t="shared" si="263"/>
        <v/>
      </c>
      <c r="N1542" s="11" t="str">
        <f t="shared" si="264"/>
        <v/>
      </c>
      <c r="O1542" s="10" t="str">
        <f t="shared" si="265"/>
        <v/>
      </c>
      <c r="P1542" s="12" t="str">
        <f t="shared" si="266"/>
        <v/>
      </c>
      <c r="Q1542" s="10" t="str">
        <f t="shared" si="267"/>
        <v/>
      </c>
      <c r="R1542" s="13" t="str">
        <f t="shared" si="268"/>
        <v/>
      </c>
      <c r="S1542" s="13" t="str">
        <f t="shared" si="269"/>
        <v/>
      </c>
      <c r="T1542" s="22" t="str">
        <f>IF(R1542&lt;&gt;"",VLOOKUP(P1542,Constants!$D$3:$E$10,2),"")</f>
        <v/>
      </c>
    </row>
    <row r="1543" spans="12:20" x14ac:dyDescent="0.25">
      <c r="L1543" s="10" t="str">
        <f t="shared" si="262"/>
        <v/>
      </c>
      <c r="M1543" s="10" t="str">
        <f t="shared" si="263"/>
        <v/>
      </c>
      <c r="N1543" s="11" t="str">
        <f t="shared" si="264"/>
        <v/>
      </c>
      <c r="O1543" s="10" t="str">
        <f t="shared" si="265"/>
        <v/>
      </c>
      <c r="P1543" s="12" t="str">
        <f t="shared" si="266"/>
        <v/>
      </c>
      <c r="Q1543" s="10" t="str">
        <f t="shared" si="267"/>
        <v/>
      </c>
      <c r="R1543" s="13" t="str">
        <f t="shared" si="268"/>
        <v/>
      </c>
      <c r="S1543" s="13" t="str">
        <f t="shared" si="269"/>
        <v/>
      </c>
      <c r="T1543" s="22" t="str">
        <f>IF(R1543&lt;&gt;"",VLOOKUP(P1543,Constants!$D$3:$E$10,2),"")</f>
        <v/>
      </c>
    </row>
    <row r="1544" spans="12:20" x14ac:dyDescent="0.25">
      <c r="L1544" s="10" t="str">
        <f t="shared" si="262"/>
        <v/>
      </c>
      <c r="M1544" s="10" t="str">
        <f t="shared" si="263"/>
        <v/>
      </c>
      <c r="N1544" s="11" t="str">
        <f t="shared" si="264"/>
        <v/>
      </c>
      <c r="O1544" s="10" t="str">
        <f t="shared" si="265"/>
        <v/>
      </c>
      <c r="P1544" s="12" t="str">
        <f t="shared" si="266"/>
        <v/>
      </c>
      <c r="Q1544" s="10" t="str">
        <f t="shared" si="267"/>
        <v/>
      </c>
      <c r="R1544" s="13" t="str">
        <f t="shared" si="268"/>
        <v/>
      </c>
      <c r="S1544" s="13" t="str">
        <f t="shared" si="269"/>
        <v/>
      </c>
      <c r="T1544" s="22" t="str">
        <f>IF(R1544&lt;&gt;"",VLOOKUP(P1544,Constants!$D$3:$E$10,2),"")</f>
        <v/>
      </c>
    </row>
    <row r="1545" spans="12:20" x14ac:dyDescent="0.25">
      <c r="L1545" s="10" t="str">
        <f t="shared" si="262"/>
        <v/>
      </c>
      <c r="M1545" s="10" t="str">
        <f t="shared" si="263"/>
        <v/>
      </c>
      <c r="N1545" s="11" t="str">
        <f t="shared" si="264"/>
        <v/>
      </c>
      <c r="O1545" s="10" t="str">
        <f t="shared" si="265"/>
        <v/>
      </c>
      <c r="P1545" s="12" t="str">
        <f t="shared" si="266"/>
        <v/>
      </c>
      <c r="Q1545" s="10" t="str">
        <f t="shared" si="267"/>
        <v/>
      </c>
      <c r="R1545" s="13" t="str">
        <f t="shared" si="268"/>
        <v/>
      </c>
      <c r="S1545" s="13" t="str">
        <f t="shared" si="269"/>
        <v/>
      </c>
      <c r="T1545" s="22" t="str">
        <f>IF(R1545&lt;&gt;"",VLOOKUP(P1545,Constants!$D$3:$E$10,2),"")</f>
        <v/>
      </c>
    </row>
    <row r="1546" spans="12:20" x14ac:dyDescent="0.25">
      <c r="L1546" s="10" t="str">
        <f t="shared" si="262"/>
        <v/>
      </c>
      <c r="M1546" s="10" t="str">
        <f t="shared" si="263"/>
        <v/>
      </c>
      <c r="N1546" s="11" t="str">
        <f t="shared" si="264"/>
        <v/>
      </c>
      <c r="O1546" s="10" t="str">
        <f t="shared" si="265"/>
        <v/>
      </c>
      <c r="P1546" s="12" t="str">
        <f t="shared" si="266"/>
        <v/>
      </c>
      <c r="Q1546" s="10" t="str">
        <f t="shared" si="267"/>
        <v/>
      </c>
      <c r="R1546" s="13" t="str">
        <f t="shared" si="268"/>
        <v/>
      </c>
      <c r="S1546" s="13" t="str">
        <f t="shared" si="269"/>
        <v/>
      </c>
      <c r="T1546" s="22" t="str">
        <f>IF(R1546&lt;&gt;"",VLOOKUP(P1546,Constants!$D$3:$E$10,2),"")</f>
        <v/>
      </c>
    </row>
    <row r="1547" spans="12:20" x14ac:dyDescent="0.25">
      <c r="L1547" s="10" t="str">
        <f t="shared" si="262"/>
        <v/>
      </c>
      <c r="M1547" s="10" t="str">
        <f t="shared" si="263"/>
        <v/>
      </c>
      <c r="N1547" s="11" t="str">
        <f t="shared" si="264"/>
        <v/>
      </c>
      <c r="O1547" s="10" t="str">
        <f t="shared" si="265"/>
        <v/>
      </c>
      <c r="P1547" s="12" t="str">
        <f t="shared" si="266"/>
        <v/>
      </c>
      <c r="Q1547" s="10" t="str">
        <f t="shared" si="267"/>
        <v/>
      </c>
      <c r="R1547" s="13" t="str">
        <f t="shared" si="268"/>
        <v/>
      </c>
      <c r="S1547" s="13" t="str">
        <f t="shared" si="269"/>
        <v/>
      </c>
      <c r="T1547" s="22" t="str">
        <f>IF(R1547&lt;&gt;"",VLOOKUP(P1547,Constants!$D$3:$E$10,2),"")</f>
        <v/>
      </c>
    </row>
    <row r="1548" spans="12:20" x14ac:dyDescent="0.25">
      <c r="L1548" s="10" t="str">
        <f t="shared" si="262"/>
        <v/>
      </c>
      <c r="M1548" s="10" t="str">
        <f t="shared" si="263"/>
        <v/>
      </c>
      <c r="N1548" s="11" t="str">
        <f t="shared" si="264"/>
        <v/>
      </c>
      <c r="O1548" s="10" t="str">
        <f t="shared" si="265"/>
        <v/>
      </c>
      <c r="P1548" s="12" t="str">
        <f t="shared" si="266"/>
        <v/>
      </c>
      <c r="Q1548" s="10" t="str">
        <f t="shared" si="267"/>
        <v/>
      </c>
      <c r="R1548" s="13" t="str">
        <f t="shared" si="268"/>
        <v/>
      </c>
      <c r="S1548" s="13" t="str">
        <f t="shared" si="269"/>
        <v/>
      </c>
      <c r="T1548" s="22" t="str">
        <f>IF(R1548&lt;&gt;"",VLOOKUP(P1548,Constants!$D$3:$E$10,2),"")</f>
        <v/>
      </c>
    </row>
    <row r="1549" spans="12:20" x14ac:dyDescent="0.25">
      <c r="L1549" s="10" t="str">
        <f t="shared" si="262"/>
        <v/>
      </c>
      <c r="M1549" s="10" t="str">
        <f t="shared" si="263"/>
        <v/>
      </c>
      <c r="N1549" s="11" t="str">
        <f t="shared" si="264"/>
        <v/>
      </c>
      <c r="O1549" s="10" t="str">
        <f t="shared" si="265"/>
        <v/>
      </c>
      <c r="P1549" s="12" t="str">
        <f t="shared" si="266"/>
        <v/>
      </c>
      <c r="Q1549" s="10" t="str">
        <f t="shared" si="267"/>
        <v/>
      </c>
      <c r="R1549" s="13" t="str">
        <f t="shared" si="268"/>
        <v/>
      </c>
      <c r="S1549" s="13" t="str">
        <f t="shared" si="269"/>
        <v/>
      </c>
      <c r="T1549" s="22" t="str">
        <f>IF(R1549&lt;&gt;"",VLOOKUP(P1549,Constants!$D$3:$E$10,2),"")</f>
        <v/>
      </c>
    </row>
    <row r="1550" spans="12:20" x14ac:dyDescent="0.25">
      <c r="L1550" s="10" t="str">
        <f t="shared" si="262"/>
        <v/>
      </c>
      <c r="M1550" s="10" t="str">
        <f t="shared" si="263"/>
        <v/>
      </c>
      <c r="N1550" s="11" t="str">
        <f t="shared" si="264"/>
        <v/>
      </c>
      <c r="O1550" s="10" t="str">
        <f t="shared" si="265"/>
        <v/>
      </c>
      <c r="P1550" s="12" t="str">
        <f t="shared" si="266"/>
        <v/>
      </c>
      <c r="Q1550" s="10" t="str">
        <f t="shared" si="267"/>
        <v/>
      </c>
      <c r="R1550" s="13" t="str">
        <f t="shared" si="268"/>
        <v/>
      </c>
      <c r="S1550" s="13" t="str">
        <f t="shared" si="269"/>
        <v/>
      </c>
      <c r="T1550" s="22" t="str">
        <f>IF(R1550&lt;&gt;"",VLOOKUP(P1550,Constants!$D$3:$E$10,2),"")</f>
        <v/>
      </c>
    </row>
    <row r="1551" spans="12:20" x14ac:dyDescent="0.25">
      <c r="L1551" s="10" t="str">
        <f t="shared" si="262"/>
        <v/>
      </c>
      <c r="M1551" s="10" t="str">
        <f t="shared" si="263"/>
        <v/>
      </c>
      <c r="N1551" s="11" t="str">
        <f t="shared" si="264"/>
        <v/>
      </c>
      <c r="O1551" s="10" t="str">
        <f t="shared" si="265"/>
        <v/>
      </c>
      <c r="P1551" s="12" t="str">
        <f t="shared" si="266"/>
        <v/>
      </c>
      <c r="Q1551" s="10" t="str">
        <f t="shared" si="267"/>
        <v/>
      </c>
      <c r="R1551" s="13" t="str">
        <f t="shared" si="268"/>
        <v/>
      </c>
      <c r="S1551" s="13" t="str">
        <f t="shared" si="269"/>
        <v/>
      </c>
      <c r="T1551" s="22" t="str">
        <f>IF(R1551&lt;&gt;"",VLOOKUP(P1551,Constants!$D$3:$E$10,2),"")</f>
        <v/>
      </c>
    </row>
    <row r="1552" spans="12:20" x14ac:dyDescent="0.25">
      <c r="L1552" s="10" t="str">
        <f t="shared" si="262"/>
        <v/>
      </c>
      <c r="M1552" s="10" t="str">
        <f t="shared" si="263"/>
        <v/>
      </c>
      <c r="N1552" s="11" t="str">
        <f t="shared" si="264"/>
        <v/>
      </c>
      <c r="O1552" s="10" t="str">
        <f t="shared" si="265"/>
        <v/>
      </c>
      <c r="P1552" s="12" t="str">
        <f t="shared" si="266"/>
        <v/>
      </c>
      <c r="Q1552" s="10" t="str">
        <f t="shared" si="267"/>
        <v/>
      </c>
      <c r="R1552" s="13" t="str">
        <f t="shared" si="268"/>
        <v/>
      </c>
      <c r="S1552" s="13" t="str">
        <f t="shared" si="269"/>
        <v/>
      </c>
      <c r="T1552" s="22" t="str">
        <f>IF(R1552&lt;&gt;"",VLOOKUP(P1552,Constants!$D$3:$E$10,2),"")</f>
        <v/>
      </c>
    </row>
    <row r="1553" spans="12:20" x14ac:dyDescent="0.25">
      <c r="L1553" s="10" t="str">
        <f t="shared" si="262"/>
        <v/>
      </c>
      <c r="M1553" s="10" t="str">
        <f t="shared" si="263"/>
        <v/>
      </c>
      <c r="N1553" s="11" t="str">
        <f t="shared" si="264"/>
        <v/>
      </c>
      <c r="O1553" s="10" t="str">
        <f t="shared" si="265"/>
        <v/>
      </c>
      <c r="P1553" s="12" t="str">
        <f t="shared" si="266"/>
        <v/>
      </c>
      <c r="Q1553" s="10" t="str">
        <f t="shared" si="267"/>
        <v/>
      </c>
      <c r="R1553" s="13" t="str">
        <f t="shared" si="268"/>
        <v/>
      </c>
      <c r="S1553" s="13" t="str">
        <f t="shared" si="269"/>
        <v/>
      </c>
      <c r="T1553" s="22" t="str">
        <f>IF(R1553&lt;&gt;"",VLOOKUP(P1553,Constants!$D$3:$E$10,2),"")</f>
        <v/>
      </c>
    </row>
    <row r="1554" spans="12:20" x14ac:dyDescent="0.25">
      <c r="L1554" s="10" t="str">
        <f t="shared" ref="L1554:L1617" si="270">IF($D1554&lt;&gt;"",$D1554*$E1554/1000,"")</f>
        <v/>
      </c>
      <c r="M1554" s="10" t="str">
        <f t="shared" ref="M1554:M1617" si="271">IF($D1554&lt;&gt;"",$D1554*$F1554/1000,"")</f>
        <v/>
      </c>
      <c r="N1554" s="11" t="str">
        <f t="shared" ref="N1554:N1617" si="272">IF($L1554&lt;&gt;"",SQRT($L1554*$L1554+$M1554*$M1554),"")</f>
        <v/>
      </c>
      <c r="O1554" s="10" t="str">
        <f t="shared" si="265"/>
        <v/>
      </c>
      <c r="P1554" s="12" t="str">
        <f t="shared" si="266"/>
        <v/>
      </c>
      <c r="Q1554" s="10" t="str">
        <f t="shared" si="267"/>
        <v/>
      </c>
      <c r="R1554" s="13" t="str">
        <f t="shared" si="268"/>
        <v/>
      </c>
      <c r="S1554" s="13" t="str">
        <f t="shared" si="269"/>
        <v/>
      </c>
      <c r="T1554" s="22" t="str">
        <f>IF(R1554&lt;&gt;"",VLOOKUP(P1554,Constants!$D$3:$E$10,2),"")</f>
        <v/>
      </c>
    </row>
    <row r="1555" spans="12:20" x14ac:dyDescent="0.25">
      <c r="L1555" s="10" t="str">
        <f t="shared" si="270"/>
        <v/>
      </c>
      <c r="M1555" s="10" t="str">
        <f t="shared" si="271"/>
        <v/>
      </c>
      <c r="N1555" s="11" t="str">
        <f t="shared" si="272"/>
        <v/>
      </c>
      <c r="O1555" s="10" t="str">
        <f t="shared" si="265"/>
        <v/>
      </c>
      <c r="P1555" s="12" t="str">
        <f t="shared" si="266"/>
        <v/>
      </c>
      <c r="Q1555" s="10" t="str">
        <f t="shared" si="267"/>
        <v/>
      </c>
      <c r="R1555" s="13" t="str">
        <f t="shared" si="268"/>
        <v/>
      </c>
      <c r="S1555" s="13" t="str">
        <f t="shared" si="269"/>
        <v/>
      </c>
      <c r="T1555" s="22" t="str">
        <f>IF(R1555&lt;&gt;"",VLOOKUP(P1555,Constants!$D$3:$E$10,2),"")</f>
        <v/>
      </c>
    </row>
    <row r="1556" spans="12:20" x14ac:dyDescent="0.25">
      <c r="L1556" s="10" t="str">
        <f t="shared" si="270"/>
        <v/>
      </c>
      <c r="M1556" s="10" t="str">
        <f t="shared" si="271"/>
        <v/>
      </c>
      <c r="N1556" s="11" t="str">
        <f t="shared" si="272"/>
        <v/>
      </c>
      <c r="O1556" s="10" t="str">
        <f t="shared" ref="O1556:O1619" si="273">IF(D1556&lt;&gt;"",1000/(2*D1556),"")</f>
        <v/>
      </c>
      <c r="P1556" s="12" t="str">
        <f t="shared" ref="P1556:P1619" si="274">IF($N1556&lt;&gt;"",D1556*SQRT(E1556*E1556+F1556*F1556)/16000,"")</f>
        <v/>
      </c>
      <c r="Q1556" s="10" t="str">
        <f t="shared" ref="Q1556:Q1619" si="275">IF(F1556&lt;&gt;"",F1556*E1556/1000000,"")</f>
        <v/>
      </c>
      <c r="R1556" s="13" t="str">
        <f t="shared" ref="R1556:R1619" si="276">IF(G1556&lt;&gt;"",1000/G1556,"")</f>
        <v/>
      </c>
      <c r="S1556" s="13" t="str">
        <f t="shared" ref="S1556:S1619" si="277">IF(R1556&lt;&gt;"",Q1556/R1556*1000,"")</f>
        <v/>
      </c>
      <c r="T1556" s="22" t="str">
        <f>IF(R1556&lt;&gt;"",VLOOKUP(P1556,Constants!$D$3:$E$10,2),"")</f>
        <v/>
      </c>
    </row>
    <row r="1557" spans="12:20" x14ac:dyDescent="0.25">
      <c r="L1557" s="10" t="str">
        <f t="shared" si="270"/>
        <v/>
      </c>
      <c r="M1557" s="10" t="str">
        <f t="shared" si="271"/>
        <v/>
      </c>
      <c r="N1557" s="11" t="str">
        <f t="shared" si="272"/>
        <v/>
      </c>
      <c r="O1557" s="10" t="str">
        <f t="shared" si="273"/>
        <v/>
      </c>
      <c r="P1557" s="12" t="str">
        <f t="shared" si="274"/>
        <v/>
      </c>
      <c r="Q1557" s="10" t="str">
        <f t="shared" si="275"/>
        <v/>
      </c>
      <c r="R1557" s="13" t="str">
        <f t="shared" si="276"/>
        <v/>
      </c>
      <c r="S1557" s="13" t="str">
        <f t="shared" si="277"/>
        <v/>
      </c>
      <c r="T1557" s="22" t="str">
        <f>IF(R1557&lt;&gt;"",VLOOKUP(P1557,Constants!$D$3:$E$10,2),"")</f>
        <v/>
      </c>
    </row>
    <row r="1558" spans="12:20" x14ac:dyDescent="0.25">
      <c r="L1558" s="10" t="str">
        <f t="shared" si="270"/>
        <v/>
      </c>
      <c r="M1558" s="10" t="str">
        <f t="shared" si="271"/>
        <v/>
      </c>
      <c r="N1558" s="11" t="str">
        <f t="shared" si="272"/>
        <v/>
      </c>
      <c r="O1558" s="10" t="str">
        <f t="shared" si="273"/>
        <v/>
      </c>
      <c r="P1558" s="12" t="str">
        <f t="shared" si="274"/>
        <v/>
      </c>
      <c r="Q1558" s="10" t="str">
        <f t="shared" si="275"/>
        <v/>
      </c>
      <c r="R1558" s="13" t="str">
        <f t="shared" si="276"/>
        <v/>
      </c>
      <c r="S1558" s="13" t="str">
        <f t="shared" si="277"/>
        <v/>
      </c>
      <c r="T1558" s="22" t="str">
        <f>IF(R1558&lt;&gt;"",VLOOKUP(P1558,Constants!$D$3:$E$10,2),"")</f>
        <v/>
      </c>
    </row>
    <row r="1559" spans="12:20" x14ac:dyDescent="0.25">
      <c r="L1559" s="10" t="str">
        <f t="shared" si="270"/>
        <v/>
      </c>
      <c r="M1559" s="10" t="str">
        <f t="shared" si="271"/>
        <v/>
      </c>
      <c r="N1559" s="11" t="str">
        <f t="shared" si="272"/>
        <v/>
      </c>
      <c r="O1559" s="10" t="str">
        <f t="shared" si="273"/>
        <v/>
      </c>
      <c r="P1559" s="12" t="str">
        <f t="shared" si="274"/>
        <v/>
      </c>
      <c r="Q1559" s="10" t="str">
        <f t="shared" si="275"/>
        <v/>
      </c>
      <c r="R1559" s="13" t="str">
        <f t="shared" si="276"/>
        <v/>
      </c>
      <c r="S1559" s="13" t="str">
        <f t="shared" si="277"/>
        <v/>
      </c>
      <c r="T1559" s="22" t="str">
        <f>IF(R1559&lt;&gt;"",VLOOKUP(P1559,Constants!$D$3:$E$10,2),"")</f>
        <v/>
      </c>
    </row>
    <row r="1560" spans="12:20" x14ac:dyDescent="0.25">
      <c r="L1560" s="10" t="str">
        <f t="shared" si="270"/>
        <v/>
      </c>
      <c r="M1560" s="10" t="str">
        <f t="shared" si="271"/>
        <v/>
      </c>
      <c r="N1560" s="11" t="str">
        <f t="shared" si="272"/>
        <v/>
      </c>
      <c r="O1560" s="10" t="str">
        <f t="shared" si="273"/>
        <v/>
      </c>
      <c r="P1560" s="12" t="str">
        <f t="shared" si="274"/>
        <v/>
      </c>
      <c r="Q1560" s="10" t="str">
        <f t="shared" si="275"/>
        <v/>
      </c>
      <c r="R1560" s="13" t="str">
        <f t="shared" si="276"/>
        <v/>
      </c>
      <c r="S1560" s="13" t="str">
        <f t="shared" si="277"/>
        <v/>
      </c>
      <c r="T1560" s="22" t="str">
        <f>IF(R1560&lt;&gt;"",VLOOKUP(P1560,Constants!$D$3:$E$10,2),"")</f>
        <v/>
      </c>
    </row>
    <row r="1561" spans="12:20" x14ac:dyDescent="0.25">
      <c r="L1561" s="10" t="str">
        <f t="shared" si="270"/>
        <v/>
      </c>
      <c r="M1561" s="10" t="str">
        <f t="shared" si="271"/>
        <v/>
      </c>
      <c r="N1561" s="11" t="str">
        <f t="shared" si="272"/>
        <v/>
      </c>
      <c r="O1561" s="10" t="str">
        <f t="shared" si="273"/>
        <v/>
      </c>
      <c r="P1561" s="12" t="str">
        <f t="shared" si="274"/>
        <v/>
      </c>
      <c r="Q1561" s="10" t="str">
        <f t="shared" si="275"/>
        <v/>
      </c>
      <c r="R1561" s="13" t="str">
        <f t="shared" si="276"/>
        <v/>
      </c>
      <c r="S1561" s="13" t="str">
        <f t="shared" si="277"/>
        <v/>
      </c>
      <c r="T1561" s="22" t="str">
        <f>IF(R1561&lt;&gt;"",VLOOKUP(P1561,Constants!$D$3:$E$10,2),"")</f>
        <v/>
      </c>
    </row>
    <row r="1562" spans="12:20" x14ac:dyDescent="0.25">
      <c r="L1562" s="10" t="str">
        <f t="shared" si="270"/>
        <v/>
      </c>
      <c r="M1562" s="10" t="str">
        <f t="shared" si="271"/>
        <v/>
      </c>
      <c r="N1562" s="11" t="str">
        <f t="shared" si="272"/>
        <v/>
      </c>
      <c r="O1562" s="10" t="str">
        <f t="shared" si="273"/>
        <v/>
      </c>
      <c r="P1562" s="12" t="str">
        <f t="shared" si="274"/>
        <v/>
      </c>
      <c r="Q1562" s="10" t="str">
        <f t="shared" si="275"/>
        <v/>
      </c>
      <c r="R1562" s="13" t="str">
        <f t="shared" si="276"/>
        <v/>
      </c>
      <c r="S1562" s="13" t="str">
        <f t="shared" si="277"/>
        <v/>
      </c>
      <c r="T1562" s="22" t="str">
        <f>IF(R1562&lt;&gt;"",VLOOKUP(P1562,Constants!$D$3:$E$10,2),"")</f>
        <v/>
      </c>
    </row>
    <row r="1563" spans="12:20" x14ac:dyDescent="0.25">
      <c r="L1563" s="10" t="str">
        <f t="shared" si="270"/>
        <v/>
      </c>
      <c r="M1563" s="10" t="str">
        <f t="shared" si="271"/>
        <v/>
      </c>
      <c r="N1563" s="11" t="str">
        <f t="shared" si="272"/>
        <v/>
      </c>
      <c r="O1563" s="10" t="str">
        <f t="shared" si="273"/>
        <v/>
      </c>
      <c r="P1563" s="12" t="str">
        <f t="shared" si="274"/>
        <v/>
      </c>
      <c r="Q1563" s="10" t="str">
        <f t="shared" si="275"/>
        <v/>
      </c>
      <c r="R1563" s="13" t="str">
        <f t="shared" si="276"/>
        <v/>
      </c>
      <c r="S1563" s="13" t="str">
        <f t="shared" si="277"/>
        <v/>
      </c>
      <c r="T1563" s="22" t="str">
        <f>IF(R1563&lt;&gt;"",VLOOKUP(P1563,Constants!$D$3:$E$10,2),"")</f>
        <v/>
      </c>
    </row>
    <row r="1564" spans="12:20" x14ac:dyDescent="0.25">
      <c r="L1564" s="10" t="str">
        <f t="shared" si="270"/>
        <v/>
      </c>
      <c r="M1564" s="10" t="str">
        <f t="shared" si="271"/>
        <v/>
      </c>
      <c r="N1564" s="11" t="str">
        <f t="shared" si="272"/>
        <v/>
      </c>
      <c r="O1564" s="10" t="str">
        <f t="shared" si="273"/>
        <v/>
      </c>
      <c r="P1564" s="12" t="str">
        <f t="shared" si="274"/>
        <v/>
      </c>
      <c r="Q1564" s="10" t="str">
        <f t="shared" si="275"/>
        <v/>
      </c>
      <c r="R1564" s="13" t="str">
        <f t="shared" si="276"/>
        <v/>
      </c>
      <c r="S1564" s="13" t="str">
        <f t="shared" si="277"/>
        <v/>
      </c>
      <c r="T1564" s="22" t="str">
        <f>IF(R1564&lt;&gt;"",VLOOKUP(P1564,Constants!$D$3:$E$10,2),"")</f>
        <v/>
      </c>
    </row>
    <row r="1565" spans="12:20" x14ac:dyDescent="0.25">
      <c r="L1565" s="10" t="str">
        <f t="shared" si="270"/>
        <v/>
      </c>
      <c r="M1565" s="10" t="str">
        <f t="shared" si="271"/>
        <v/>
      </c>
      <c r="N1565" s="11" t="str">
        <f t="shared" si="272"/>
        <v/>
      </c>
      <c r="O1565" s="10" t="str">
        <f t="shared" si="273"/>
        <v/>
      </c>
      <c r="P1565" s="12" t="str">
        <f t="shared" si="274"/>
        <v/>
      </c>
      <c r="Q1565" s="10" t="str">
        <f t="shared" si="275"/>
        <v/>
      </c>
      <c r="R1565" s="13" t="str">
        <f t="shared" si="276"/>
        <v/>
      </c>
      <c r="S1565" s="13" t="str">
        <f t="shared" si="277"/>
        <v/>
      </c>
      <c r="T1565" s="22" t="str">
        <f>IF(R1565&lt;&gt;"",VLOOKUP(P1565,Constants!$D$3:$E$10,2),"")</f>
        <v/>
      </c>
    </row>
    <row r="1566" spans="12:20" x14ac:dyDescent="0.25">
      <c r="L1566" s="10" t="str">
        <f t="shared" si="270"/>
        <v/>
      </c>
      <c r="M1566" s="10" t="str">
        <f t="shared" si="271"/>
        <v/>
      </c>
      <c r="N1566" s="11" t="str">
        <f t="shared" si="272"/>
        <v/>
      </c>
      <c r="O1566" s="10" t="str">
        <f t="shared" si="273"/>
        <v/>
      </c>
      <c r="P1566" s="12" t="str">
        <f t="shared" si="274"/>
        <v/>
      </c>
      <c r="Q1566" s="10" t="str">
        <f t="shared" si="275"/>
        <v/>
      </c>
      <c r="R1566" s="13" t="str">
        <f t="shared" si="276"/>
        <v/>
      </c>
      <c r="S1566" s="13" t="str">
        <f t="shared" si="277"/>
        <v/>
      </c>
      <c r="T1566" s="22" t="str">
        <f>IF(R1566&lt;&gt;"",VLOOKUP(P1566,Constants!$D$3:$E$10,2),"")</f>
        <v/>
      </c>
    </row>
    <row r="1567" spans="12:20" x14ac:dyDescent="0.25">
      <c r="L1567" s="10" t="str">
        <f t="shared" si="270"/>
        <v/>
      </c>
      <c r="M1567" s="10" t="str">
        <f t="shared" si="271"/>
        <v/>
      </c>
      <c r="N1567" s="11" t="str">
        <f t="shared" si="272"/>
        <v/>
      </c>
      <c r="O1567" s="10" t="str">
        <f t="shared" si="273"/>
        <v/>
      </c>
      <c r="P1567" s="12" t="str">
        <f t="shared" si="274"/>
        <v/>
      </c>
      <c r="Q1567" s="10" t="str">
        <f t="shared" si="275"/>
        <v/>
      </c>
      <c r="R1567" s="13" t="str">
        <f t="shared" si="276"/>
        <v/>
      </c>
      <c r="S1567" s="13" t="str">
        <f t="shared" si="277"/>
        <v/>
      </c>
      <c r="T1567" s="22" t="str">
        <f>IF(R1567&lt;&gt;"",VLOOKUP(P1567,Constants!$D$3:$E$10,2),"")</f>
        <v/>
      </c>
    </row>
    <row r="1568" spans="12:20" x14ac:dyDescent="0.25">
      <c r="L1568" s="10" t="str">
        <f t="shared" si="270"/>
        <v/>
      </c>
      <c r="M1568" s="10" t="str">
        <f t="shared" si="271"/>
        <v/>
      </c>
      <c r="N1568" s="11" t="str">
        <f t="shared" si="272"/>
        <v/>
      </c>
      <c r="O1568" s="10" t="str">
        <f t="shared" si="273"/>
        <v/>
      </c>
      <c r="P1568" s="12" t="str">
        <f t="shared" si="274"/>
        <v/>
      </c>
      <c r="Q1568" s="10" t="str">
        <f t="shared" si="275"/>
        <v/>
      </c>
      <c r="R1568" s="13" t="str">
        <f t="shared" si="276"/>
        <v/>
      </c>
      <c r="S1568" s="13" t="str">
        <f t="shared" si="277"/>
        <v/>
      </c>
      <c r="T1568" s="22" t="str">
        <f>IF(R1568&lt;&gt;"",VLOOKUP(P1568,Constants!$D$3:$E$10,2),"")</f>
        <v/>
      </c>
    </row>
    <row r="1569" spans="12:20" x14ac:dyDescent="0.25">
      <c r="L1569" s="10" t="str">
        <f t="shared" si="270"/>
        <v/>
      </c>
      <c r="M1569" s="10" t="str">
        <f t="shared" si="271"/>
        <v/>
      </c>
      <c r="N1569" s="11" t="str">
        <f t="shared" si="272"/>
        <v/>
      </c>
      <c r="O1569" s="10" t="str">
        <f t="shared" si="273"/>
        <v/>
      </c>
      <c r="P1569" s="12" t="str">
        <f t="shared" si="274"/>
        <v/>
      </c>
      <c r="Q1569" s="10" t="str">
        <f t="shared" si="275"/>
        <v/>
      </c>
      <c r="R1569" s="13" t="str">
        <f t="shared" si="276"/>
        <v/>
      </c>
      <c r="S1569" s="13" t="str">
        <f t="shared" si="277"/>
        <v/>
      </c>
      <c r="T1569" s="22" t="str">
        <f>IF(R1569&lt;&gt;"",VLOOKUP(P1569,Constants!$D$3:$E$10,2),"")</f>
        <v/>
      </c>
    </row>
    <row r="1570" spans="12:20" x14ac:dyDescent="0.25">
      <c r="L1570" s="10" t="str">
        <f t="shared" si="270"/>
        <v/>
      </c>
      <c r="M1570" s="10" t="str">
        <f t="shared" si="271"/>
        <v/>
      </c>
      <c r="N1570" s="11" t="str">
        <f t="shared" si="272"/>
        <v/>
      </c>
      <c r="O1570" s="10" t="str">
        <f t="shared" si="273"/>
        <v/>
      </c>
      <c r="P1570" s="12" t="str">
        <f t="shared" si="274"/>
        <v/>
      </c>
      <c r="Q1570" s="10" t="str">
        <f t="shared" si="275"/>
        <v/>
      </c>
      <c r="R1570" s="13" t="str">
        <f t="shared" si="276"/>
        <v/>
      </c>
      <c r="S1570" s="13" t="str">
        <f t="shared" si="277"/>
        <v/>
      </c>
      <c r="T1570" s="22" t="str">
        <f>IF(R1570&lt;&gt;"",VLOOKUP(P1570,Constants!$D$3:$E$10,2),"")</f>
        <v/>
      </c>
    </row>
    <row r="1571" spans="12:20" x14ac:dyDescent="0.25">
      <c r="L1571" s="10" t="str">
        <f t="shared" si="270"/>
        <v/>
      </c>
      <c r="M1571" s="10" t="str">
        <f t="shared" si="271"/>
        <v/>
      </c>
      <c r="N1571" s="11" t="str">
        <f t="shared" si="272"/>
        <v/>
      </c>
      <c r="O1571" s="10" t="str">
        <f t="shared" si="273"/>
        <v/>
      </c>
      <c r="P1571" s="12" t="str">
        <f t="shared" si="274"/>
        <v/>
      </c>
      <c r="Q1571" s="10" t="str">
        <f t="shared" si="275"/>
        <v/>
      </c>
      <c r="R1571" s="13" t="str">
        <f t="shared" si="276"/>
        <v/>
      </c>
      <c r="S1571" s="13" t="str">
        <f t="shared" si="277"/>
        <v/>
      </c>
      <c r="T1571" s="22" t="str">
        <f>IF(R1571&lt;&gt;"",VLOOKUP(P1571,Constants!$D$3:$E$10,2),"")</f>
        <v/>
      </c>
    </row>
    <row r="1572" spans="12:20" x14ac:dyDescent="0.25">
      <c r="L1572" s="10" t="str">
        <f t="shared" si="270"/>
        <v/>
      </c>
      <c r="M1572" s="10" t="str">
        <f t="shared" si="271"/>
        <v/>
      </c>
      <c r="N1572" s="11" t="str">
        <f t="shared" si="272"/>
        <v/>
      </c>
      <c r="O1572" s="10" t="str">
        <f t="shared" si="273"/>
        <v/>
      </c>
      <c r="P1572" s="12" t="str">
        <f t="shared" si="274"/>
        <v/>
      </c>
      <c r="Q1572" s="10" t="str">
        <f t="shared" si="275"/>
        <v/>
      </c>
      <c r="R1572" s="13" t="str">
        <f t="shared" si="276"/>
        <v/>
      </c>
      <c r="S1572" s="13" t="str">
        <f t="shared" si="277"/>
        <v/>
      </c>
      <c r="T1572" s="22" t="str">
        <f>IF(R1572&lt;&gt;"",VLOOKUP(P1572,Constants!$D$3:$E$10,2),"")</f>
        <v/>
      </c>
    </row>
    <row r="1573" spans="12:20" x14ac:dyDescent="0.25">
      <c r="L1573" s="10" t="str">
        <f t="shared" si="270"/>
        <v/>
      </c>
      <c r="M1573" s="10" t="str">
        <f t="shared" si="271"/>
        <v/>
      </c>
      <c r="N1573" s="11" t="str">
        <f t="shared" si="272"/>
        <v/>
      </c>
      <c r="O1573" s="10" t="str">
        <f t="shared" si="273"/>
        <v/>
      </c>
      <c r="P1573" s="12" t="str">
        <f t="shared" si="274"/>
        <v/>
      </c>
      <c r="Q1573" s="10" t="str">
        <f t="shared" si="275"/>
        <v/>
      </c>
      <c r="R1573" s="13" t="str">
        <f t="shared" si="276"/>
        <v/>
      </c>
      <c r="S1573" s="13" t="str">
        <f t="shared" si="277"/>
        <v/>
      </c>
      <c r="T1573" s="22" t="str">
        <f>IF(R1573&lt;&gt;"",VLOOKUP(P1573,Constants!$D$3:$E$10,2),"")</f>
        <v/>
      </c>
    </row>
    <row r="1574" spans="12:20" x14ac:dyDescent="0.25">
      <c r="L1574" s="10" t="str">
        <f t="shared" si="270"/>
        <v/>
      </c>
      <c r="M1574" s="10" t="str">
        <f t="shared" si="271"/>
        <v/>
      </c>
      <c r="N1574" s="11" t="str">
        <f t="shared" si="272"/>
        <v/>
      </c>
      <c r="O1574" s="10" t="str">
        <f t="shared" si="273"/>
        <v/>
      </c>
      <c r="P1574" s="12" t="str">
        <f t="shared" si="274"/>
        <v/>
      </c>
      <c r="Q1574" s="10" t="str">
        <f t="shared" si="275"/>
        <v/>
      </c>
      <c r="R1574" s="13" t="str">
        <f t="shared" si="276"/>
        <v/>
      </c>
      <c r="S1574" s="13" t="str">
        <f t="shared" si="277"/>
        <v/>
      </c>
      <c r="T1574" s="22" t="str">
        <f>IF(R1574&lt;&gt;"",VLOOKUP(P1574,Constants!$D$3:$E$10,2),"")</f>
        <v/>
      </c>
    </row>
    <row r="1575" spans="12:20" x14ac:dyDescent="0.25">
      <c r="L1575" s="10" t="str">
        <f t="shared" si="270"/>
        <v/>
      </c>
      <c r="M1575" s="10" t="str">
        <f t="shared" si="271"/>
        <v/>
      </c>
      <c r="N1575" s="11" t="str">
        <f t="shared" si="272"/>
        <v/>
      </c>
      <c r="O1575" s="10" t="str">
        <f t="shared" si="273"/>
        <v/>
      </c>
      <c r="P1575" s="12" t="str">
        <f t="shared" si="274"/>
        <v/>
      </c>
      <c r="Q1575" s="10" t="str">
        <f t="shared" si="275"/>
        <v/>
      </c>
      <c r="R1575" s="13" t="str">
        <f t="shared" si="276"/>
        <v/>
      </c>
      <c r="S1575" s="13" t="str">
        <f t="shared" si="277"/>
        <v/>
      </c>
      <c r="T1575" s="22" t="str">
        <f>IF(R1575&lt;&gt;"",VLOOKUP(P1575,Constants!$D$3:$E$10,2),"")</f>
        <v/>
      </c>
    </row>
    <row r="1576" spans="12:20" x14ac:dyDescent="0.25">
      <c r="L1576" s="10" t="str">
        <f t="shared" si="270"/>
        <v/>
      </c>
      <c r="M1576" s="10" t="str">
        <f t="shared" si="271"/>
        <v/>
      </c>
      <c r="N1576" s="11" t="str">
        <f t="shared" si="272"/>
        <v/>
      </c>
      <c r="O1576" s="10" t="str">
        <f t="shared" si="273"/>
        <v/>
      </c>
      <c r="P1576" s="12" t="str">
        <f t="shared" si="274"/>
        <v/>
      </c>
      <c r="Q1576" s="10" t="str">
        <f t="shared" si="275"/>
        <v/>
      </c>
      <c r="R1576" s="13" t="str">
        <f t="shared" si="276"/>
        <v/>
      </c>
      <c r="S1576" s="13" t="str">
        <f t="shared" si="277"/>
        <v/>
      </c>
      <c r="T1576" s="22" t="str">
        <f>IF(R1576&lt;&gt;"",VLOOKUP(P1576,Constants!$D$3:$E$10,2),"")</f>
        <v/>
      </c>
    </row>
    <row r="1577" spans="12:20" x14ac:dyDescent="0.25">
      <c r="L1577" s="10" t="str">
        <f t="shared" si="270"/>
        <v/>
      </c>
      <c r="M1577" s="10" t="str">
        <f t="shared" si="271"/>
        <v/>
      </c>
      <c r="N1577" s="11" t="str">
        <f t="shared" si="272"/>
        <v/>
      </c>
      <c r="O1577" s="10" t="str">
        <f t="shared" si="273"/>
        <v/>
      </c>
      <c r="P1577" s="12" t="str">
        <f t="shared" si="274"/>
        <v/>
      </c>
      <c r="Q1577" s="10" t="str">
        <f t="shared" si="275"/>
        <v/>
      </c>
      <c r="R1577" s="13" t="str">
        <f t="shared" si="276"/>
        <v/>
      </c>
      <c r="S1577" s="13" t="str">
        <f t="shared" si="277"/>
        <v/>
      </c>
      <c r="T1577" s="22" t="str">
        <f>IF(R1577&lt;&gt;"",VLOOKUP(P1577,Constants!$D$3:$E$10,2),"")</f>
        <v/>
      </c>
    </row>
    <row r="1578" spans="12:20" x14ac:dyDescent="0.25">
      <c r="L1578" s="10" t="str">
        <f t="shared" si="270"/>
        <v/>
      </c>
      <c r="M1578" s="10" t="str">
        <f t="shared" si="271"/>
        <v/>
      </c>
      <c r="N1578" s="11" t="str">
        <f t="shared" si="272"/>
        <v/>
      </c>
      <c r="O1578" s="10" t="str">
        <f t="shared" si="273"/>
        <v/>
      </c>
      <c r="P1578" s="12" t="str">
        <f t="shared" si="274"/>
        <v/>
      </c>
      <c r="Q1578" s="10" t="str">
        <f t="shared" si="275"/>
        <v/>
      </c>
      <c r="R1578" s="13" t="str">
        <f t="shared" si="276"/>
        <v/>
      </c>
      <c r="S1578" s="13" t="str">
        <f t="shared" si="277"/>
        <v/>
      </c>
      <c r="T1578" s="22" t="str">
        <f>IF(R1578&lt;&gt;"",VLOOKUP(P1578,Constants!$D$3:$E$10,2),"")</f>
        <v/>
      </c>
    </row>
    <row r="1579" spans="12:20" x14ac:dyDescent="0.25">
      <c r="L1579" s="10" t="str">
        <f t="shared" si="270"/>
        <v/>
      </c>
      <c r="M1579" s="10" t="str">
        <f t="shared" si="271"/>
        <v/>
      </c>
      <c r="N1579" s="11" t="str">
        <f t="shared" si="272"/>
        <v/>
      </c>
      <c r="O1579" s="10" t="str">
        <f t="shared" si="273"/>
        <v/>
      </c>
      <c r="P1579" s="12" t="str">
        <f t="shared" si="274"/>
        <v/>
      </c>
      <c r="Q1579" s="10" t="str">
        <f t="shared" si="275"/>
        <v/>
      </c>
      <c r="R1579" s="13" t="str">
        <f t="shared" si="276"/>
        <v/>
      </c>
      <c r="S1579" s="13" t="str">
        <f t="shared" si="277"/>
        <v/>
      </c>
      <c r="T1579" s="22" t="str">
        <f>IF(R1579&lt;&gt;"",VLOOKUP(P1579,Constants!$D$3:$E$10,2),"")</f>
        <v/>
      </c>
    </row>
    <row r="1580" spans="12:20" x14ac:dyDescent="0.25">
      <c r="L1580" s="10" t="str">
        <f t="shared" si="270"/>
        <v/>
      </c>
      <c r="M1580" s="10" t="str">
        <f t="shared" si="271"/>
        <v/>
      </c>
      <c r="N1580" s="11" t="str">
        <f t="shared" si="272"/>
        <v/>
      </c>
      <c r="O1580" s="10" t="str">
        <f t="shared" si="273"/>
        <v/>
      </c>
      <c r="P1580" s="12" t="str">
        <f t="shared" si="274"/>
        <v/>
      </c>
      <c r="Q1580" s="10" t="str">
        <f t="shared" si="275"/>
        <v/>
      </c>
      <c r="R1580" s="13" t="str">
        <f t="shared" si="276"/>
        <v/>
      </c>
      <c r="S1580" s="13" t="str">
        <f t="shared" si="277"/>
        <v/>
      </c>
      <c r="T1580" s="22" t="str">
        <f>IF(R1580&lt;&gt;"",VLOOKUP(P1580,Constants!$D$3:$E$10,2),"")</f>
        <v/>
      </c>
    </row>
    <row r="1581" spans="12:20" x14ac:dyDescent="0.25">
      <c r="L1581" s="10" t="str">
        <f t="shared" si="270"/>
        <v/>
      </c>
      <c r="M1581" s="10" t="str">
        <f t="shared" si="271"/>
        <v/>
      </c>
      <c r="N1581" s="11" t="str">
        <f t="shared" si="272"/>
        <v/>
      </c>
      <c r="O1581" s="10" t="str">
        <f t="shared" si="273"/>
        <v/>
      </c>
      <c r="P1581" s="12" t="str">
        <f t="shared" si="274"/>
        <v/>
      </c>
      <c r="Q1581" s="10" t="str">
        <f t="shared" si="275"/>
        <v/>
      </c>
      <c r="R1581" s="13" t="str">
        <f t="shared" si="276"/>
        <v/>
      </c>
      <c r="S1581" s="13" t="str">
        <f t="shared" si="277"/>
        <v/>
      </c>
      <c r="T1581" s="22" t="str">
        <f>IF(R1581&lt;&gt;"",VLOOKUP(P1581,Constants!$D$3:$E$10,2),"")</f>
        <v/>
      </c>
    </row>
    <row r="1582" spans="12:20" x14ac:dyDescent="0.25">
      <c r="L1582" s="10" t="str">
        <f t="shared" si="270"/>
        <v/>
      </c>
      <c r="M1582" s="10" t="str">
        <f t="shared" si="271"/>
        <v/>
      </c>
      <c r="N1582" s="11" t="str">
        <f t="shared" si="272"/>
        <v/>
      </c>
      <c r="O1582" s="10" t="str">
        <f t="shared" si="273"/>
        <v/>
      </c>
      <c r="P1582" s="12" t="str">
        <f t="shared" si="274"/>
        <v/>
      </c>
      <c r="Q1582" s="10" t="str">
        <f t="shared" si="275"/>
        <v/>
      </c>
      <c r="R1582" s="13" t="str">
        <f t="shared" si="276"/>
        <v/>
      </c>
      <c r="S1582" s="13" t="str">
        <f t="shared" si="277"/>
        <v/>
      </c>
      <c r="T1582" s="22" t="str">
        <f>IF(R1582&lt;&gt;"",VLOOKUP(P1582,Constants!$D$3:$E$10,2),"")</f>
        <v/>
      </c>
    </row>
    <row r="1583" spans="12:20" x14ac:dyDescent="0.25">
      <c r="L1583" s="10" t="str">
        <f t="shared" si="270"/>
        <v/>
      </c>
      <c r="M1583" s="10" t="str">
        <f t="shared" si="271"/>
        <v/>
      </c>
      <c r="N1583" s="11" t="str">
        <f t="shared" si="272"/>
        <v/>
      </c>
      <c r="O1583" s="10" t="str">
        <f t="shared" si="273"/>
        <v/>
      </c>
      <c r="P1583" s="12" t="str">
        <f t="shared" si="274"/>
        <v/>
      </c>
      <c r="Q1583" s="10" t="str">
        <f t="shared" si="275"/>
        <v/>
      </c>
      <c r="R1583" s="13" t="str">
        <f t="shared" si="276"/>
        <v/>
      </c>
      <c r="S1583" s="13" t="str">
        <f t="shared" si="277"/>
        <v/>
      </c>
      <c r="T1583" s="22" t="str">
        <f>IF(R1583&lt;&gt;"",VLOOKUP(P1583,Constants!$D$3:$E$10,2),"")</f>
        <v/>
      </c>
    </row>
    <row r="1584" spans="12:20" x14ac:dyDescent="0.25">
      <c r="L1584" s="10" t="str">
        <f t="shared" si="270"/>
        <v/>
      </c>
      <c r="M1584" s="10" t="str">
        <f t="shared" si="271"/>
        <v/>
      </c>
      <c r="N1584" s="11" t="str">
        <f t="shared" si="272"/>
        <v/>
      </c>
      <c r="O1584" s="10" t="str">
        <f t="shared" si="273"/>
        <v/>
      </c>
      <c r="P1584" s="12" t="str">
        <f t="shared" si="274"/>
        <v/>
      </c>
      <c r="Q1584" s="10" t="str">
        <f t="shared" si="275"/>
        <v/>
      </c>
      <c r="R1584" s="13" t="str">
        <f t="shared" si="276"/>
        <v/>
      </c>
      <c r="S1584" s="13" t="str">
        <f t="shared" si="277"/>
        <v/>
      </c>
      <c r="T1584" s="22" t="str">
        <f>IF(R1584&lt;&gt;"",VLOOKUP(P1584,Constants!$D$3:$E$10,2),"")</f>
        <v/>
      </c>
    </row>
    <row r="1585" spans="12:20" x14ac:dyDescent="0.25">
      <c r="L1585" s="10" t="str">
        <f t="shared" si="270"/>
        <v/>
      </c>
      <c r="M1585" s="10" t="str">
        <f t="shared" si="271"/>
        <v/>
      </c>
      <c r="N1585" s="11" t="str">
        <f t="shared" si="272"/>
        <v/>
      </c>
      <c r="O1585" s="10" t="str">
        <f t="shared" si="273"/>
        <v/>
      </c>
      <c r="P1585" s="12" t="str">
        <f t="shared" si="274"/>
        <v/>
      </c>
      <c r="Q1585" s="10" t="str">
        <f t="shared" si="275"/>
        <v/>
      </c>
      <c r="R1585" s="13" t="str">
        <f t="shared" si="276"/>
        <v/>
      </c>
      <c r="S1585" s="13" t="str">
        <f t="shared" si="277"/>
        <v/>
      </c>
      <c r="T1585" s="22" t="str">
        <f>IF(R1585&lt;&gt;"",VLOOKUP(P1585,Constants!$D$3:$E$10,2),"")</f>
        <v/>
      </c>
    </row>
    <row r="1586" spans="12:20" x14ac:dyDescent="0.25">
      <c r="L1586" s="10" t="str">
        <f t="shared" si="270"/>
        <v/>
      </c>
      <c r="M1586" s="10" t="str">
        <f t="shared" si="271"/>
        <v/>
      </c>
      <c r="N1586" s="11" t="str">
        <f t="shared" si="272"/>
        <v/>
      </c>
      <c r="O1586" s="10" t="str">
        <f t="shared" si="273"/>
        <v/>
      </c>
      <c r="P1586" s="12" t="str">
        <f t="shared" si="274"/>
        <v/>
      </c>
      <c r="Q1586" s="10" t="str">
        <f t="shared" si="275"/>
        <v/>
      </c>
      <c r="R1586" s="13" t="str">
        <f t="shared" si="276"/>
        <v/>
      </c>
      <c r="S1586" s="13" t="str">
        <f t="shared" si="277"/>
        <v/>
      </c>
      <c r="T1586" s="22" t="str">
        <f>IF(R1586&lt;&gt;"",VLOOKUP(P1586,Constants!$D$3:$E$10,2),"")</f>
        <v/>
      </c>
    </row>
    <row r="1587" spans="12:20" x14ac:dyDescent="0.25">
      <c r="L1587" s="10" t="str">
        <f t="shared" si="270"/>
        <v/>
      </c>
      <c r="M1587" s="10" t="str">
        <f t="shared" si="271"/>
        <v/>
      </c>
      <c r="N1587" s="11" t="str">
        <f t="shared" si="272"/>
        <v/>
      </c>
      <c r="O1587" s="10" t="str">
        <f t="shared" si="273"/>
        <v/>
      </c>
      <c r="P1587" s="12" t="str">
        <f t="shared" si="274"/>
        <v/>
      </c>
      <c r="Q1587" s="10" t="str">
        <f t="shared" si="275"/>
        <v/>
      </c>
      <c r="R1587" s="13" t="str">
        <f t="shared" si="276"/>
        <v/>
      </c>
      <c r="S1587" s="13" t="str">
        <f t="shared" si="277"/>
        <v/>
      </c>
      <c r="T1587" s="22" t="str">
        <f>IF(R1587&lt;&gt;"",VLOOKUP(P1587,Constants!$D$3:$E$10,2),"")</f>
        <v/>
      </c>
    </row>
    <row r="1588" spans="12:20" x14ac:dyDescent="0.25">
      <c r="L1588" s="10" t="str">
        <f t="shared" si="270"/>
        <v/>
      </c>
      <c r="M1588" s="10" t="str">
        <f t="shared" si="271"/>
        <v/>
      </c>
      <c r="N1588" s="11" t="str">
        <f t="shared" si="272"/>
        <v/>
      </c>
      <c r="O1588" s="10" t="str">
        <f t="shared" si="273"/>
        <v/>
      </c>
      <c r="P1588" s="12" t="str">
        <f t="shared" si="274"/>
        <v/>
      </c>
      <c r="Q1588" s="10" t="str">
        <f t="shared" si="275"/>
        <v/>
      </c>
      <c r="R1588" s="13" t="str">
        <f t="shared" si="276"/>
        <v/>
      </c>
      <c r="S1588" s="13" t="str">
        <f t="shared" si="277"/>
        <v/>
      </c>
      <c r="T1588" s="22" t="str">
        <f>IF(R1588&lt;&gt;"",VLOOKUP(P1588,Constants!$D$3:$E$10,2),"")</f>
        <v/>
      </c>
    </row>
    <row r="1589" spans="12:20" x14ac:dyDescent="0.25">
      <c r="L1589" s="10" t="str">
        <f t="shared" si="270"/>
        <v/>
      </c>
      <c r="M1589" s="10" t="str">
        <f t="shared" si="271"/>
        <v/>
      </c>
      <c r="N1589" s="11" t="str">
        <f t="shared" si="272"/>
        <v/>
      </c>
      <c r="O1589" s="10" t="str">
        <f t="shared" si="273"/>
        <v/>
      </c>
      <c r="P1589" s="12" t="str">
        <f t="shared" si="274"/>
        <v/>
      </c>
      <c r="Q1589" s="10" t="str">
        <f t="shared" si="275"/>
        <v/>
      </c>
      <c r="R1589" s="13" t="str">
        <f t="shared" si="276"/>
        <v/>
      </c>
      <c r="S1589" s="13" t="str">
        <f t="shared" si="277"/>
        <v/>
      </c>
      <c r="T1589" s="22" t="str">
        <f>IF(R1589&lt;&gt;"",VLOOKUP(P1589,Constants!$D$3:$E$10,2),"")</f>
        <v/>
      </c>
    </row>
    <row r="1590" spans="12:20" x14ac:dyDescent="0.25">
      <c r="L1590" s="10" t="str">
        <f t="shared" si="270"/>
        <v/>
      </c>
      <c r="M1590" s="10" t="str">
        <f t="shared" si="271"/>
        <v/>
      </c>
      <c r="N1590" s="11" t="str">
        <f t="shared" si="272"/>
        <v/>
      </c>
      <c r="O1590" s="10" t="str">
        <f t="shared" si="273"/>
        <v/>
      </c>
      <c r="P1590" s="12" t="str">
        <f t="shared" si="274"/>
        <v/>
      </c>
      <c r="Q1590" s="10" t="str">
        <f t="shared" si="275"/>
        <v/>
      </c>
      <c r="R1590" s="13" t="str">
        <f t="shared" si="276"/>
        <v/>
      </c>
      <c r="S1590" s="13" t="str">
        <f t="shared" si="277"/>
        <v/>
      </c>
      <c r="T1590" s="22" t="str">
        <f>IF(R1590&lt;&gt;"",VLOOKUP(P1590,Constants!$D$3:$E$10,2),"")</f>
        <v/>
      </c>
    </row>
    <row r="1591" spans="12:20" x14ac:dyDescent="0.25">
      <c r="L1591" s="10" t="str">
        <f t="shared" si="270"/>
        <v/>
      </c>
      <c r="M1591" s="10" t="str">
        <f t="shared" si="271"/>
        <v/>
      </c>
      <c r="N1591" s="11" t="str">
        <f t="shared" si="272"/>
        <v/>
      </c>
      <c r="O1591" s="10" t="str">
        <f t="shared" si="273"/>
        <v/>
      </c>
      <c r="P1591" s="12" t="str">
        <f t="shared" si="274"/>
        <v/>
      </c>
      <c r="Q1591" s="10" t="str">
        <f t="shared" si="275"/>
        <v/>
      </c>
      <c r="R1591" s="13" t="str">
        <f t="shared" si="276"/>
        <v/>
      </c>
      <c r="S1591" s="13" t="str">
        <f t="shared" si="277"/>
        <v/>
      </c>
      <c r="T1591" s="22" t="str">
        <f>IF(R1591&lt;&gt;"",VLOOKUP(P1591,Constants!$D$3:$E$10,2),"")</f>
        <v/>
      </c>
    </row>
    <row r="1592" spans="12:20" x14ac:dyDescent="0.25">
      <c r="L1592" s="10" t="str">
        <f t="shared" si="270"/>
        <v/>
      </c>
      <c r="M1592" s="10" t="str">
        <f t="shared" si="271"/>
        <v/>
      </c>
      <c r="N1592" s="11" t="str">
        <f t="shared" si="272"/>
        <v/>
      </c>
      <c r="O1592" s="10" t="str">
        <f t="shared" si="273"/>
        <v/>
      </c>
      <c r="P1592" s="12" t="str">
        <f t="shared" si="274"/>
        <v/>
      </c>
      <c r="Q1592" s="10" t="str">
        <f t="shared" si="275"/>
        <v/>
      </c>
      <c r="R1592" s="13" t="str">
        <f t="shared" si="276"/>
        <v/>
      </c>
      <c r="S1592" s="13" t="str">
        <f t="shared" si="277"/>
        <v/>
      </c>
      <c r="T1592" s="22" t="str">
        <f>IF(R1592&lt;&gt;"",VLOOKUP(P1592,Constants!$D$3:$E$10,2),"")</f>
        <v/>
      </c>
    </row>
    <row r="1593" spans="12:20" x14ac:dyDescent="0.25">
      <c r="L1593" s="10" t="str">
        <f t="shared" si="270"/>
        <v/>
      </c>
      <c r="M1593" s="10" t="str">
        <f t="shared" si="271"/>
        <v/>
      </c>
      <c r="N1593" s="11" t="str">
        <f t="shared" si="272"/>
        <v/>
      </c>
      <c r="O1593" s="10" t="str">
        <f t="shared" si="273"/>
        <v/>
      </c>
      <c r="P1593" s="12" t="str">
        <f t="shared" si="274"/>
        <v/>
      </c>
      <c r="Q1593" s="10" t="str">
        <f t="shared" si="275"/>
        <v/>
      </c>
      <c r="R1593" s="13" t="str">
        <f t="shared" si="276"/>
        <v/>
      </c>
      <c r="S1593" s="13" t="str">
        <f t="shared" si="277"/>
        <v/>
      </c>
      <c r="T1593" s="22" t="str">
        <f>IF(R1593&lt;&gt;"",VLOOKUP(P1593,Constants!$D$3:$E$10,2),"")</f>
        <v/>
      </c>
    </row>
    <row r="1594" spans="12:20" x14ac:dyDescent="0.25">
      <c r="L1594" s="10" t="str">
        <f t="shared" si="270"/>
        <v/>
      </c>
      <c r="M1594" s="10" t="str">
        <f t="shared" si="271"/>
        <v/>
      </c>
      <c r="N1594" s="11" t="str">
        <f t="shared" si="272"/>
        <v/>
      </c>
      <c r="O1594" s="10" t="str">
        <f t="shared" si="273"/>
        <v/>
      </c>
      <c r="P1594" s="12" t="str">
        <f t="shared" si="274"/>
        <v/>
      </c>
      <c r="Q1594" s="10" t="str">
        <f t="shared" si="275"/>
        <v/>
      </c>
      <c r="R1594" s="13" t="str">
        <f t="shared" si="276"/>
        <v/>
      </c>
      <c r="S1594" s="13" t="str">
        <f t="shared" si="277"/>
        <v/>
      </c>
      <c r="T1594" s="22" t="str">
        <f>IF(R1594&lt;&gt;"",VLOOKUP(P1594,Constants!$D$3:$E$10,2),"")</f>
        <v/>
      </c>
    </row>
    <row r="1595" spans="12:20" x14ac:dyDescent="0.25">
      <c r="L1595" s="10" t="str">
        <f t="shared" si="270"/>
        <v/>
      </c>
      <c r="M1595" s="10" t="str">
        <f t="shared" si="271"/>
        <v/>
      </c>
      <c r="N1595" s="11" t="str">
        <f t="shared" si="272"/>
        <v/>
      </c>
      <c r="O1595" s="10" t="str">
        <f t="shared" si="273"/>
        <v/>
      </c>
      <c r="P1595" s="12" t="str">
        <f t="shared" si="274"/>
        <v/>
      </c>
      <c r="Q1595" s="10" t="str">
        <f t="shared" si="275"/>
        <v/>
      </c>
      <c r="R1595" s="13" t="str">
        <f t="shared" si="276"/>
        <v/>
      </c>
      <c r="S1595" s="13" t="str">
        <f t="shared" si="277"/>
        <v/>
      </c>
      <c r="T1595" s="22" t="str">
        <f>IF(R1595&lt;&gt;"",VLOOKUP(P1595,Constants!$D$3:$E$10,2),"")</f>
        <v/>
      </c>
    </row>
    <row r="1596" spans="12:20" x14ac:dyDescent="0.25">
      <c r="L1596" s="10" t="str">
        <f t="shared" si="270"/>
        <v/>
      </c>
      <c r="M1596" s="10" t="str">
        <f t="shared" si="271"/>
        <v/>
      </c>
      <c r="N1596" s="11" t="str">
        <f t="shared" si="272"/>
        <v/>
      </c>
      <c r="O1596" s="10" t="str">
        <f t="shared" si="273"/>
        <v/>
      </c>
      <c r="P1596" s="12" t="str">
        <f t="shared" si="274"/>
        <v/>
      </c>
      <c r="Q1596" s="10" t="str">
        <f t="shared" si="275"/>
        <v/>
      </c>
      <c r="R1596" s="13" t="str">
        <f t="shared" si="276"/>
        <v/>
      </c>
      <c r="S1596" s="13" t="str">
        <f t="shared" si="277"/>
        <v/>
      </c>
      <c r="T1596" s="22" t="str">
        <f>IF(R1596&lt;&gt;"",VLOOKUP(P1596,Constants!$D$3:$E$10,2),"")</f>
        <v/>
      </c>
    </row>
    <row r="1597" spans="12:20" x14ac:dyDescent="0.25">
      <c r="L1597" s="10" t="str">
        <f t="shared" si="270"/>
        <v/>
      </c>
      <c r="M1597" s="10" t="str">
        <f t="shared" si="271"/>
        <v/>
      </c>
      <c r="N1597" s="11" t="str">
        <f t="shared" si="272"/>
        <v/>
      </c>
      <c r="O1597" s="10" t="str">
        <f t="shared" si="273"/>
        <v/>
      </c>
      <c r="P1597" s="12" t="str">
        <f t="shared" si="274"/>
        <v/>
      </c>
      <c r="Q1597" s="10" t="str">
        <f t="shared" si="275"/>
        <v/>
      </c>
      <c r="R1597" s="13" t="str">
        <f t="shared" si="276"/>
        <v/>
      </c>
      <c r="S1597" s="13" t="str">
        <f t="shared" si="277"/>
        <v/>
      </c>
      <c r="T1597" s="22" t="str">
        <f>IF(R1597&lt;&gt;"",VLOOKUP(P1597,Constants!$D$3:$E$10,2),"")</f>
        <v/>
      </c>
    </row>
    <row r="1598" spans="12:20" x14ac:dyDescent="0.25">
      <c r="L1598" s="10" t="str">
        <f t="shared" si="270"/>
        <v/>
      </c>
      <c r="M1598" s="10" t="str">
        <f t="shared" si="271"/>
        <v/>
      </c>
      <c r="N1598" s="11" t="str">
        <f t="shared" si="272"/>
        <v/>
      </c>
      <c r="O1598" s="10" t="str">
        <f t="shared" si="273"/>
        <v/>
      </c>
      <c r="P1598" s="12" t="str">
        <f t="shared" si="274"/>
        <v/>
      </c>
      <c r="Q1598" s="10" t="str">
        <f t="shared" si="275"/>
        <v/>
      </c>
      <c r="R1598" s="13" t="str">
        <f t="shared" si="276"/>
        <v/>
      </c>
      <c r="S1598" s="13" t="str">
        <f t="shared" si="277"/>
        <v/>
      </c>
      <c r="T1598" s="22" t="str">
        <f>IF(R1598&lt;&gt;"",VLOOKUP(P1598,Constants!$D$3:$E$10,2),"")</f>
        <v/>
      </c>
    </row>
    <row r="1599" spans="12:20" x14ac:dyDescent="0.25">
      <c r="L1599" s="10" t="str">
        <f t="shared" si="270"/>
        <v/>
      </c>
      <c r="M1599" s="10" t="str">
        <f t="shared" si="271"/>
        <v/>
      </c>
      <c r="N1599" s="11" t="str">
        <f t="shared" si="272"/>
        <v/>
      </c>
      <c r="O1599" s="10" t="str">
        <f t="shared" si="273"/>
        <v/>
      </c>
      <c r="P1599" s="12" t="str">
        <f t="shared" si="274"/>
        <v/>
      </c>
      <c r="Q1599" s="10" t="str">
        <f t="shared" si="275"/>
        <v/>
      </c>
      <c r="R1599" s="13" t="str">
        <f t="shared" si="276"/>
        <v/>
      </c>
      <c r="S1599" s="13" t="str">
        <f t="shared" si="277"/>
        <v/>
      </c>
      <c r="T1599" s="22" t="str">
        <f>IF(R1599&lt;&gt;"",VLOOKUP(P1599,Constants!$D$3:$E$10,2),"")</f>
        <v/>
      </c>
    </row>
    <row r="1600" spans="12:20" x14ac:dyDescent="0.25">
      <c r="L1600" s="10" t="str">
        <f t="shared" si="270"/>
        <v/>
      </c>
      <c r="M1600" s="10" t="str">
        <f t="shared" si="271"/>
        <v/>
      </c>
      <c r="N1600" s="11" t="str">
        <f t="shared" si="272"/>
        <v/>
      </c>
      <c r="O1600" s="10" t="str">
        <f t="shared" si="273"/>
        <v/>
      </c>
      <c r="P1600" s="12" t="str">
        <f t="shared" si="274"/>
        <v/>
      </c>
      <c r="Q1600" s="10" t="str">
        <f t="shared" si="275"/>
        <v/>
      </c>
      <c r="R1600" s="13" t="str">
        <f t="shared" si="276"/>
        <v/>
      </c>
      <c r="S1600" s="13" t="str">
        <f t="shared" si="277"/>
        <v/>
      </c>
      <c r="T1600" s="22" t="str">
        <f>IF(R1600&lt;&gt;"",VLOOKUP(P1600,Constants!$D$3:$E$10,2),"")</f>
        <v/>
      </c>
    </row>
    <row r="1601" spans="12:20" x14ac:dyDescent="0.25">
      <c r="L1601" s="10" t="str">
        <f t="shared" si="270"/>
        <v/>
      </c>
      <c r="M1601" s="10" t="str">
        <f t="shared" si="271"/>
        <v/>
      </c>
      <c r="N1601" s="11" t="str">
        <f t="shared" si="272"/>
        <v/>
      </c>
      <c r="O1601" s="10" t="str">
        <f t="shared" si="273"/>
        <v/>
      </c>
      <c r="P1601" s="12" t="str">
        <f t="shared" si="274"/>
        <v/>
      </c>
      <c r="Q1601" s="10" t="str">
        <f t="shared" si="275"/>
        <v/>
      </c>
      <c r="R1601" s="13" t="str">
        <f t="shared" si="276"/>
        <v/>
      </c>
      <c r="S1601" s="13" t="str">
        <f t="shared" si="277"/>
        <v/>
      </c>
      <c r="T1601" s="22" t="str">
        <f>IF(R1601&lt;&gt;"",VLOOKUP(P1601,Constants!$D$3:$E$10,2),"")</f>
        <v/>
      </c>
    </row>
    <row r="1602" spans="12:20" x14ac:dyDescent="0.25">
      <c r="L1602" s="10" t="str">
        <f t="shared" si="270"/>
        <v/>
      </c>
      <c r="M1602" s="10" t="str">
        <f t="shared" si="271"/>
        <v/>
      </c>
      <c r="N1602" s="11" t="str">
        <f t="shared" si="272"/>
        <v/>
      </c>
      <c r="O1602" s="10" t="str">
        <f t="shared" si="273"/>
        <v/>
      </c>
      <c r="P1602" s="12" t="str">
        <f t="shared" si="274"/>
        <v/>
      </c>
      <c r="Q1602" s="10" t="str">
        <f t="shared" si="275"/>
        <v/>
      </c>
      <c r="R1602" s="13" t="str">
        <f t="shared" si="276"/>
        <v/>
      </c>
      <c r="S1602" s="13" t="str">
        <f t="shared" si="277"/>
        <v/>
      </c>
      <c r="T1602" s="22" t="str">
        <f>IF(R1602&lt;&gt;"",VLOOKUP(P1602,Constants!$D$3:$E$10,2),"")</f>
        <v/>
      </c>
    </row>
    <row r="1603" spans="12:20" x14ac:dyDescent="0.25">
      <c r="L1603" s="10" t="str">
        <f t="shared" si="270"/>
        <v/>
      </c>
      <c r="M1603" s="10" t="str">
        <f t="shared" si="271"/>
        <v/>
      </c>
      <c r="N1603" s="11" t="str">
        <f t="shared" si="272"/>
        <v/>
      </c>
      <c r="O1603" s="10" t="str">
        <f t="shared" si="273"/>
        <v/>
      </c>
      <c r="P1603" s="12" t="str">
        <f t="shared" si="274"/>
        <v/>
      </c>
      <c r="Q1603" s="10" t="str">
        <f t="shared" si="275"/>
        <v/>
      </c>
      <c r="R1603" s="13" t="str">
        <f t="shared" si="276"/>
        <v/>
      </c>
      <c r="S1603" s="13" t="str">
        <f t="shared" si="277"/>
        <v/>
      </c>
      <c r="T1603" s="22" t="str">
        <f>IF(R1603&lt;&gt;"",VLOOKUP(P1603,Constants!$D$3:$E$10,2),"")</f>
        <v/>
      </c>
    </row>
    <row r="1604" spans="12:20" x14ac:dyDescent="0.25">
      <c r="L1604" s="10" t="str">
        <f t="shared" si="270"/>
        <v/>
      </c>
      <c r="M1604" s="10" t="str">
        <f t="shared" si="271"/>
        <v/>
      </c>
      <c r="N1604" s="11" t="str">
        <f t="shared" si="272"/>
        <v/>
      </c>
      <c r="O1604" s="10" t="str">
        <f t="shared" si="273"/>
        <v/>
      </c>
      <c r="P1604" s="12" t="str">
        <f t="shared" si="274"/>
        <v/>
      </c>
      <c r="Q1604" s="10" t="str">
        <f t="shared" si="275"/>
        <v/>
      </c>
      <c r="R1604" s="13" t="str">
        <f t="shared" si="276"/>
        <v/>
      </c>
      <c r="S1604" s="13" t="str">
        <f t="shared" si="277"/>
        <v/>
      </c>
      <c r="T1604" s="22" t="str">
        <f>IF(R1604&lt;&gt;"",VLOOKUP(P1604,Constants!$D$3:$E$10,2),"")</f>
        <v/>
      </c>
    </row>
    <row r="1605" spans="12:20" x14ac:dyDescent="0.25">
      <c r="L1605" s="10" t="str">
        <f t="shared" si="270"/>
        <v/>
      </c>
      <c r="M1605" s="10" t="str">
        <f t="shared" si="271"/>
        <v/>
      </c>
      <c r="N1605" s="11" t="str">
        <f t="shared" si="272"/>
        <v/>
      </c>
      <c r="O1605" s="10" t="str">
        <f t="shared" si="273"/>
        <v/>
      </c>
      <c r="P1605" s="12" t="str">
        <f t="shared" si="274"/>
        <v/>
      </c>
      <c r="Q1605" s="10" t="str">
        <f t="shared" si="275"/>
        <v/>
      </c>
      <c r="R1605" s="13" t="str">
        <f t="shared" si="276"/>
        <v/>
      </c>
      <c r="S1605" s="13" t="str">
        <f t="shared" si="277"/>
        <v/>
      </c>
      <c r="T1605" s="22" t="str">
        <f>IF(R1605&lt;&gt;"",VLOOKUP(P1605,Constants!$D$3:$E$10,2),"")</f>
        <v/>
      </c>
    </row>
    <row r="1606" spans="12:20" x14ac:dyDescent="0.25">
      <c r="L1606" s="10" t="str">
        <f t="shared" si="270"/>
        <v/>
      </c>
      <c r="M1606" s="10" t="str">
        <f t="shared" si="271"/>
        <v/>
      </c>
      <c r="N1606" s="11" t="str">
        <f t="shared" si="272"/>
        <v/>
      </c>
      <c r="O1606" s="10" t="str">
        <f t="shared" si="273"/>
        <v/>
      </c>
      <c r="P1606" s="12" t="str">
        <f t="shared" si="274"/>
        <v/>
      </c>
      <c r="Q1606" s="10" t="str">
        <f t="shared" si="275"/>
        <v/>
      </c>
      <c r="R1606" s="13" t="str">
        <f t="shared" si="276"/>
        <v/>
      </c>
      <c r="S1606" s="13" t="str">
        <f t="shared" si="277"/>
        <v/>
      </c>
      <c r="T1606" s="22" t="str">
        <f>IF(R1606&lt;&gt;"",VLOOKUP(P1606,Constants!$D$3:$E$10,2),"")</f>
        <v/>
      </c>
    </row>
    <row r="1607" spans="12:20" x14ac:dyDescent="0.25">
      <c r="L1607" s="10" t="str">
        <f t="shared" si="270"/>
        <v/>
      </c>
      <c r="M1607" s="10" t="str">
        <f t="shared" si="271"/>
        <v/>
      </c>
      <c r="N1607" s="11" t="str">
        <f t="shared" si="272"/>
        <v/>
      </c>
      <c r="O1607" s="10" t="str">
        <f t="shared" si="273"/>
        <v/>
      </c>
      <c r="P1607" s="12" t="str">
        <f t="shared" si="274"/>
        <v/>
      </c>
      <c r="Q1607" s="10" t="str">
        <f t="shared" si="275"/>
        <v/>
      </c>
      <c r="R1607" s="13" t="str">
        <f t="shared" si="276"/>
        <v/>
      </c>
      <c r="S1607" s="13" t="str">
        <f t="shared" si="277"/>
        <v/>
      </c>
      <c r="T1607" s="22" t="str">
        <f>IF(R1607&lt;&gt;"",VLOOKUP(P1607,Constants!$D$3:$E$10,2),"")</f>
        <v/>
      </c>
    </row>
    <row r="1608" spans="12:20" x14ac:dyDescent="0.25">
      <c r="L1608" s="10" t="str">
        <f t="shared" si="270"/>
        <v/>
      </c>
      <c r="M1608" s="10" t="str">
        <f t="shared" si="271"/>
        <v/>
      </c>
      <c r="N1608" s="11" t="str">
        <f t="shared" si="272"/>
        <v/>
      </c>
      <c r="O1608" s="10" t="str">
        <f t="shared" si="273"/>
        <v/>
      </c>
      <c r="P1608" s="12" t="str">
        <f t="shared" si="274"/>
        <v/>
      </c>
      <c r="Q1608" s="10" t="str">
        <f t="shared" si="275"/>
        <v/>
      </c>
      <c r="R1608" s="13" t="str">
        <f t="shared" si="276"/>
        <v/>
      </c>
      <c r="S1608" s="13" t="str">
        <f t="shared" si="277"/>
        <v/>
      </c>
      <c r="T1608" s="22" t="str">
        <f>IF(R1608&lt;&gt;"",VLOOKUP(P1608,Constants!$D$3:$E$10,2),"")</f>
        <v/>
      </c>
    </row>
    <row r="1609" spans="12:20" x14ac:dyDescent="0.25">
      <c r="L1609" s="10" t="str">
        <f t="shared" si="270"/>
        <v/>
      </c>
      <c r="M1609" s="10" t="str">
        <f t="shared" si="271"/>
        <v/>
      </c>
      <c r="N1609" s="11" t="str">
        <f t="shared" si="272"/>
        <v/>
      </c>
      <c r="O1609" s="10" t="str">
        <f t="shared" si="273"/>
        <v/>
      </c>
      <c r="P1609" s="12" t="str">
        <f t="shared" si="274"/>
        <v/>
      </c>
      <c r="Q1609" s="10" t="str">
        <f t="shared" si="275"/>
        <v/>
      </c>
      <c r="R1609" s="13" t="str">
        <f t="shared" si="276"/>
        <v/>
      </c>
      <c r="S1609" s="13" t="str">
        <f t="shared" si="277"/>
        <v/>
      </c>
      <c r="T1609" s="22" t="str">
        <f>IF(R1609&lt;&gt;"",VLOOKUP(P1609,Constants!$D$3:$E$10,2),"")</f>
        <v/>
      </c>
    </row>
    <row r="1610" spans="12:20" x14ac:dyDescent="0.25">
      <c r="L1610" s="10" t="str">
        <f t="shared" si="270"/>
        <v/>
      </c>
      <c r="M1610" s="10" t="str">
        <f t="shared" si="271"/>
        <v/>
      </c>
      <c r="N1610" s="11" t="str">
        <f t="shared" si="272"/>
        <v/>
      </c>
      <c r="O1610" s="10" t="str">
        <f t="shared" si="273"/>
        <v/>
      </c>
      <c r="P1610" s="12" t="str">
        <f t="shared" si="274"/>
        <v/>
      </c>
      <c r="Q1610" s="10" t="str">
        <f t="shared" si="275"/>
        <v/>
      </c>
      <c r="R1610" s="13" t="str">
        <f t="shared" si="276"/>
        <v/>
      </c>
      <c r="S1610" s="13" t="str">
        <f t="shared" si="277"/>
        <v/>
      </c>
      <c r="T1610" s="22" t="str">
        <f>IF(R1610&lt;&gt;"",VLOOKUP(P1610,Constants!$D$3:$E$10,2),"")</f>
        <v/>
      </c>
    </row>
    <row r="1611" spans="12:20" x14ac:dyDescent="0.25">
      <c r="L1611" s="10" t="str">
        <f t="shared" si="270"/>
        <v/>
      </c>
      <c r="M1611" s="10" t="str">
        <f t="shared" si="271"/>
        <v/>
      </c>
      <c r="N1611" s="11" t="str">
        <f t="shared" si="272"/>
        <v/>
      </c>
      <c r="O1611" s="10" t="str">
        <f t="shared" si="273"/>
        <v/>
      </c>
      <c r="P1611" s="12" t="str">
        <f t="shared" si="274"/>
        <v/>
      </c>
      <c r="Q1611" s="10" t="str">
        <f t="shared" si="275"/>
        <v/>
      </c>
      <c r="R1611" s="13" t="str">
        <f t="shared" si="276"/>
        <v/>
      </c>
      <c r="S1611" s="13" t="str">
        <f t="shared" si="277"/>
        <v/>
      </c>
      <c r="T1611" s="22" t="str">
        <f>IF(R1611&lt;&gt;"",VLOOKUP(P1611,Constants!$D$3:$E$10,2),"")</f>
        <v/>
      </c>
    </row>
    <row r="1612" spans="12:20" x14ac:dyDescent="0.25">
      <c r="L1612" s="10" t="str">
        <f t="shared" si="270"/>
        <v/>
      </c>
      <c r="M1612" s="10" t="str">
        <f t="shared" si="271"/>
        <v/>
      </c>
      <c r="N1612" s="11" t="str">
        <f t="shared" si="272"/>
        <v/>
      </c>
      <c r="O1612" s="10" t="str">
        <f t="shared" si="273"/>
        <v/>
      </c>
      <c r="P1612" s="12" t="str">
        <f t="shared" si="274"/>
        <v/>
      </c>
      <c r="Q1612" s="10" t="str">
        <f t="shared" si="275"/>
        <v/>
      </c>
      <c r="R1612" s="13" t="str">
        <f t="shared" si="276"/>
        <v/>
      </c>
      <c r="S1612" s="13" t="str">
        <f t="shared" si="277"/>
        <v/>
      </c>
      <c r="T1612" s="22" t="str">
        <f>IF(R1612&lt;&gt;"",VLOOKUP(P1612,Constants!$D$3:$E$10,2),"")</f>
        <v/>
      </c>
    </row>
    <row r="1613" spans="12:20" x14ac:dyDescent="0.25">
      <c r="L1613" s="10" t="str">
        <f t="shared" si="270"/>
        <v/>
      </c>
      <c r="M1613" s="10" t="str">
        <f t="shared" si="271"/>
        <v/>
      </c>
      <c r="N1613" s="11" t="str">
        <f t="shared" si="272"/>
        <v/>
      </c>
      <c r="O1613" s="10" t="str">
        <f t="shared" si="273"/>
        <v/>
      </c>
      <c r="P1613" s="12" t="str">
        <f t="shared" si="274"/>
        <v/>
      </c>
      <c r="Q1613" s="10" t="str">
        <f t="shared" si="275"/>
        <v/>
      </c>
      <c r="R1613" s="13" t="str">
        <f t="shared" si="276"/>
        <v/>
      </c>
      <c r="S1613" s="13" t="str">
        <f t="shared" si="277"/>
        <v/>
      </c>
      <c r="T1613" s="22" t="str">
        <f>IF(R1613&lt;&gt;"",VLOOKUP(P1613,Constants!$D$3:$E$10,2),"")</f>
        <v/>
      </c>
    </row>
    <row r="1614" spans="12:20" x14ac:dyDescent="0.25">
      <c r="L1614" s="10" t="str">
        <f t="shared" si="270"/>
        <v/>
      </c>
      <c r="M1614" s="10" t="str">
        <f t="shared" si="271"/>
        <v/>
      </c>
      <c r="N1614" s="11" t="str">
        <f t="shared" si="272"/>
        <v/>
      </c>
      <c r="O1614" s="10" t="str">
        <f t="shared" si="273"/>
        <v/>
      </c>
      <c r="P1614" s="12" t="str">
        <f t="shared" si="274"/>
        <v/>
      </c>
      <c r="Q1614" s="10" t="str">
        <f t="shared" si="275"/>
        <v/>
      </c>
      <c r="R1614" s="13" t="str">
        <f t="shared" si="276"/>
        <v/>
      </c>
      <c r="S1614" s="13" t="str">
        <f t="shared" si="277"/>
        <v/>
      </c>
      <c r="T1614" s="22" t="str">
        <f>IF(R1614&lt;&gt;"",VLOOKUP(P1614,Constants!$D$3:$E$10,2),"")</f>
        <v/>
      </c>
    </row>
    <row r="1615" spans="12:20" x14ac:dyDescent="0.25">
      <c r="L1615" s="10" t="str">
        <f t="shared" si="270"/>
        <v/>
      </c>
      <c r="M1615" s="10" t="str">
        <f t="shared" si="271"/>
        <v/>
      </c>
      <c r="N1615" s="11" t="str">
        <f t="shared" si="272"/>
        <v/>
      </c>
      <c r="O1615" s="10" t="str">
        <f t="shared" si="273"/>
        <v/>
      </c>
      <c r="P1615" s="12" t="str">
        <f t="shared" si="274"/>
        <v/>
      </c>
      <c r="Q1615" s="10" t="str">
        <f t="shared" si="275"/>
        <v/>
      </c>
      <c r="R1615" s="13" t="str">
        <f t="shared" si="276"/>
        <v/>
      </c>
      <c r="S1615" s="13" t="str">
        <f t="shared" si="277"/>
        <v/>
      </c>
      <c r="T1615" s="22" t="str">
        <f>IF(R1615&lt;&gt;"",VLOOKUP(P1615,Constants!$D$3:$E$10,2),"")</f>
        <v/>
      </c>
    </row>
    <row r="1616" spans="12:20" x14ac:dyDescent="0.25">
      <c r="L1616" s="10" t="str">
        <f t="shared" si="270"/>
        <v/>
      </c>
      <c r="M1616" s="10" t="str">
        <f t="shared" si="271"/>
        <v/>
      </c>
      <c r="N1616" s="11" t="str">
        <f t="shared" si="272"/>
        <v/>
      </c>
      <c r="O1616" s="10" t="str">
        <f t="shared" si="273"/>
        <v/>
      </c>
      <c r="P1616" s="12" t="str">
        <f t="shared" si="274"/>
        <v/>
      </c>
      <c r="Q1616" s="10" t="str">
        <f t="shared" si="275"/>
        <v/>
      </c>
      <c r="R1616" s="13" t="str">
        <f t="shared" si="276"/>
        <v/>
      </c>
      <c r="S1616" s="13" t="str">
        <f t="shared" si="277"/>
        <v/>
      </c>
      <c r="T1616" s="22" t="str">
        <f>IF(R1616&lt;&gt;"",VLOOKUP(P1616,Constants!$D$3:$E$10,2),"")</f>
        <v/>
      </c>
    </row>
    <row r="1617" spans="12:20" x14ac:dyDescent="0.25">
      <c r="L1617" s="10" t="str">
        <f t="shared" si="270"/>
        <v/>
      </c>
      <c r="M1617" s="10" t="str">
        <f t="shared" si="271"/>
        <v/>
      </c>
      <c r="N1617" s="11" t="str">
        <f t="shared" si="272"/>
        <v/>
      </c>
      <c r="O1617" s="10" t="str">
        <f t="shared" si="273"/>
        <v/>
      </c>
      <c r="P1617" s="12" t="str">
        <f t="shared" si="274"/>
        <v/>
      </c>
      <c r="Q1617" s="10" t="str">
        <f t="shared" si="275"/>
        <v/>
      </c>
      <c r="R1617" s="13" t="str">
        <f t="shared" si="276"/>
        <v/>
      </c>
      <c r="S1617" s="13" t="str">
        <f t="shared" si="277"/>
        <v/>
      </c>
      <c r="T1617" s="22" t="str">
        <f>IF(R1617&lt;&gt;"",VLOOKUP(P1617,Constants!$D$3:$E$10,2),"")</f>
        <v/>
      </c>
    </row>
    <row r="1618" spans="12:20" x14ac:dyDescent="0.25">
      <c r="L1618" s="10" t="str">
        <f t="shared" ref="L1618:L1646" si="278">IF($D1618&lt;&gt;"",$D1618*$E1618/1000,"")</f>
        <v/>
      </c>
      <c r="M1618" s="10" t="str">
        <f t="shared" ref="M1618:M1646" si="279">IF($D1618&lt;&gt;"",$D1618*$F1618/1000,"")</f>
        <v/>
      </c>
      <c r="N1618" s="11" t="str">
        <f t="shared" ref="N1618:N1646" si="280">IF($L1618&lt;&gt;"",SQRT($L1618*$L1618+$M1618*$M1618),"")</f>
        <v/>
      </c>
      <c r="O1618" s="10" t="str">
        <f t="shared" si="273"/>
        <v/>
      </c>
      <c r="P1618" s="12" t="str">
        <f t="shared" si="274"/>
        <v/>
      </c>
      <c r="Q1618" s="10" t="str">
        <f t="shared" si="275"/>
        <v/>
      </c>
      <c r="R1618" s="13" t="str">
        <f t="shared" si="276"/>
        <v/>
      </c>
      <c r="S1618" s="13" t="str">
        <f t="shared" si="277"/>
        <v/>
      </c>
      <c r="T1618" s="22" t="str">
        <f>IF(R1618&lt;&gt;"",VLOOKUP(P1618,Constants!$D$3:$E$10,2),"")</f>
        <v/>
      </c>
    </row>
    <row r="1619" spans="12:20" x14ac:dyDescent="0.25">
      <c r="L1619" s="10" t="str">
        <f t="shared" si="278"/>
        <v/>
      </c>
      <c r="M1619" s="10" t="str">
        <f t="shared" si="279"/>
        <v/>
      </c>
      <c r="N1619" s="11" t="str">
        <f t="shared" si="280"/>
        <v/>
      </c>
      <c r="O1619" s="10" t="str">
        <f t="shared" si="273"/>
        <v/>
      </c>
      <c r="P1619" s="12" t="str">
        <f t="shared" si="274"/>
        <v/>
      </c>
      <c r="Q1619" s="10" t="str">
        <f t="shared" si="275"/>
        <v/>
      </c>
      <c r="R1619" s="13" t="str">
        <f t="shared" si="276"/>
        <v/>
      </c>
      <c r="S1619" s="13" t="str">
        <f t="shared" si="277"/>
        <v/>
      </c>
      <c r="T1619" s="22" t="str">
        <f>IF(R1619&lt;&gt;"",VLOOKUP(P1619,Constants!$D$3:$E$10,2),"")</f>
        <v/>
      </c>
    </row>
    <row r="1620" spans="12:20" x14ac:dyDescent="0.25">
      <c r="L1620" s="10" t="str">
        <f t="shared" si="278"/>
        <v/>
      </c>
      <c r="M1620" s="10" t="str">
        <f t="shared" si="279"/>
        <v/>
      </c>
      <c r="N1620" s="11" t="str">
        <f t="shared" si="280"/>
        <v/>
      </c>
      <c r="O1620" s="10" t="str">
        <f t="shared" ref="O1620:O1646" si="281">IF(D1620&lt;&gt;"",1000/(2*D1620),"")</f>
        <v/>
      </c>
      <c r="P1620" s="12" t="str">
        <f t="shared" ref="P1620:P1646" si="282">IF($N1620&lt;&gt;"",D1620*SQRT(E1620*E1620+F1620*F1620)/16000,"")</f>
        <v/>
      </c>
      <c r="Q1620" s="10" t="str">
        <f t="shared" ref="Q1620:Q1646" si="283">IF(F1620&lt;&gt;"",F1620*E1620/1000000,"")</f>
        <v/>
      </c>
      <c r="R1620" s="13" t="str">
        <f t="shared" ref="R1620:R1646" si="284">IF(G1620&lt;&gt;"",1000/G1620,"")</f>
        <v/>
      </c>
      <c r="S1620" s="13" t="str">
        <f t="shared" ref="S1620:S1646" si="285">IF(R1620&lt;&gt;"",Q1620/R1620*1000,"")</f>
        <v/>
      </c>
      <c r="T1620" s="22" t="str">
        <f>IF(R1620&lt;&gt;"",VLOOKUP(P1620,Constants!$D$3:$E$10,2),"")</f>
        <v/>
      </c>
    </row>
    <row r="1621" spans="12:20" x14ac:dyDescent="0.25">
      <c r="L1621" s="10" t="str">
        <f t="shared" si="278"/>
        <v/>
      </c>
      <c r="M1621" s="10" t="str">
        <f t="shared" si="279"/>
        <v/>
      </c>
      <c r="N1621" s="11" t="str">
        <f t="shared" si="280"/>
        <v/>
      </c>
      <c r="O1621" s="10" t="str">
        <f t="shared" si="281"/>
        <v/>
      </c>
      <c r="P1621" s="12" t="str">
        <f t="shared" si="282"/>
        <v/>
      </c>
      <c r="Q1621" s="10" t="str">
        <f t="shared" si="283"/>
        <v/>
      </c>
      <c r="R1621" s="13" t="str">
        <f t="shared" si="284"/>
        <v/>
      </c>
      <c r="S1621" s="13" t="str">
        <f t="shared" si="285"/>
        <v/>
      </c>
      <c r="T1621" s="22" t="str">
        <f>IF(R1621&lt;&gt;"",VLOOKUP(P1621,Constants!$D$3:$E$10,2),"")</f>
        <v/>
      </c>
    </row>
    <row r="1622" spans="12:20" x14ac:dyDescent="0.25">
      <c r="L1622" s="10" t="str">
        <f t="shared" si="278"/>
        <v/>
      </c>
      <c r="M1622" s="10" t="str">
        <f t="shared" si="279"/>
        <v/>
      </c>
      <c r="N1622" s="11" t="str">
        <f t="shared" si="280"/>
        <v/>
      </c>
      <c r="O1622" s="10" t="str">
        <f t="shared" si="281"/>
        <v/>
      </c>
      <c r="P1622" s="12" t="str">
        <f t="shared" si="282"/>
        <v/>
      </c>
      <c r="Q1622" s="10" t="str">
        <f t="shared" si="283"/>
        <v/>
      </c>
      <c r="R1622" s="13" t="str">
        <f t="shared" si="284"/>
        <v/>
      </c>
      <c r="S1622" s="13" t="str">
        <f t="shared" si="285"/>
        <v/>
      </c>
      <c r="T1622" s="22" t="str">
        <f>IF(R1622&lt;&gt;"",VLOOKUP(P1622,Constants!$D$3:$E$10,2),"")</f>
        <v/>
      </c>
    </row>
    <row r="1623" spans="12:20" x14ac:dyDescent="0.25">
      <c r="L1623" s="10" t="str">
        <f t="shared" si="278"/>
        <v/>
      </c>
      <c r="M1623" s="10" t="str">
        <f t="shared" si="279"/>
        <v/>
      </c>
      <c r="N1623" s="11" t="str">
        <f t="shared" si="280"/>
        <v/>
      </c>
      <c r="O1623" s="10" t="str">
        <f t="shared" si="281"/>
        <v/>
      </c>
      <c r="P1623" s="12" t="str">
        <f t="shared" si="282"/>
        <v/>
      </c>
      <c r="Q1623" s="10" t="str">
        <f t="shared" si="283"/>
        <v/>
      </c>
      <c r="R1623" s="13" t="str">
        <f t="shared" si="284"/>
        <v/>
      </c>
      <c r="S1623" s="13" t="str">
        <f t="shared" si="285"/>
        <v/>
      </c>
      <c r="T1623" s="22" t="str">
        <f>IF(R1623&lt;&gt;"",VLOOKUP(P1623,Constants!$D$3:$E$10,2),"")</f>
        <v/>
      </c>
    </row>
    <row r="1624" spans="12:20" x14ac:dyDescent="0.25">
      <c r="L1624" s="10" t="str">
        <f t="shared" si="278"/>
        <v/>
      </c>
      <c r="M1624" s="10" t="str">
        <f t="shared" si="279"/>
        <v/>
      </c>
      <c r="N1624" s="11" t="str">
        <f t="shared" si="280"/>
        <v/>
      </c>
      <c r="O1624" s="10" t="str">
        <f t="shared" si="281"/>
        <v/>
      </c>
      <c r="P1624" s="12" t="str">
        <f t="shared" si="282"/>
        <v/>
      </c>
      <c r="Q1624" s="10" t="str">
        <f t="shared" si="283"/>
        <v/>
      </c>
      <c r="R1624" s="13" t="str">
        <f t="shared" si="284"/>
        <v/>
      </c>
      <c r="S1624" s="13" t="str">
        <f t="shared" si="285"/>
        <v/>
      </c>
      <c r="T1624" s="22" t="str">
        <f>IF(R1624&lt;&gt;"",VLOOKUP(P1624,Constants!$D$3:$E$10,2),"")</f>
        <v/>
      </c>
    </row>
    <row r="1625" spans="12:20" x14ac:dyDescent="0.25">
      <c r="L1625" s="10" t="str">
        <f t="shared" si="278"/>
        <v/>
      </c>
      <c r="M1625" s="10" t="str">
        <f t="shared" si="279"/>
        <v/>
      </c>
      <c r="N1625" s="11" t="str">
        <f t="shared" si="280"/>
        <v/>
      </c>
      <c r="O1625" s="10" t="str">
        <f t="shared" si="281"/>
        <v/>
      </c>
      <c r="P1625" s="12" t="str">
        <f t="shared" si="282"/>
        <v/>
      </c>
      <c r="Q1625" s="10" t="str">
        <f t="shared" si="283"/>
        <v/>
      </c>
      <c r="R1625" s="13" t="str">
        <f t="shared" si="284"/>
        <v/>
      </c>
      <c r="S1625" s="13" t="str">
        <f t="shared" si="285"/>
        <v/>
      </c>
      <c r="T1625" s="22" t="str">
        <f>IF(R1625&lt;&gt;"",VLOOKUP(P1625,Constants!$D$3:$E$10,2),"")</f>
        <v/>
      </c>
    </row>
    <row r="1626" spans="12:20" x14ac:dyDescent="0.25">
      <c r="L1626" s="10" t="str">
        <f t="shared" si="278"/>
        <v/>
      </c>
      <c r="M1626" s="10" t="str">
        <f t="shared" si="279"/>
        <v/>
      </c>
      <c r="N1626" s="11" t="str">
        <f t="shared" si="280"/>
        <v/>
      </c>
      <c r="O1626" s="10" t="str">
        <f t="shared" si="281"/>
        <v/>
      </c>
      <c r="P1626" s="12" t="str">
        <f t="shared" si="282"/>
        <v/>
      </c>
      <c r="Q1626" s="10" t="str">
        <f t="shared" si="283"/>
        <v/>
      </c>
      <c r="R1626" s="13" t="str">
        <f t="shared" si="284"/>
        <v/>
      </c>
      <c r="S1626" s="13" t="str">
        <f t="shared" si="285"/>
        <v/>
      </c>
      <c r="T1626" s="22" t="str">
        <f>IF(R1626&lt;&gt;"",VLOOKUP(P1626,Constants!$D$3:$E$10,2),"")</f>
        <v/>
      </c>
    </row>
    <row r="1627" spans="12:20" x14ac:dyDescent="0.25">
      <c r="L1627" s="10" t="str">
        <f t="shared" si="278"/>
        <v/>
      </c>
      <c r="M1627" s="10" t="str">
        <f t="shared" si="279"/>
        <v/>
      </c>
      <c r="N1627" s="11" t="str">
        <f t="shared" si="280"/>
        <v/>
      </c>
      <c r="O1627" s="10" t="str">
        <f t="shared" si="281"/>
        <v/>
      </c>
      <c r="P1627" s="12" t="str">
        <f t="shared" si="282"/>
        <v/>
      </c>
      <c r="Q1627" s="10" t="str">
        <f t="shared" si="283"/>
        <v/>
      </c>
      <c r="R1627" s="13" t="str">
        <f t="shared" si="284"/>
        <v/>
      </c>
      <c r="S1627" s="13" t="str">
        <f t="shared" si="285"/>
        <v/>
      </c>
      <c r="T1627" s="22" t="str">
        <f>IF(R1627&lt;&gt;"",VLOOKUP(P1627,Constants!$D$3:$E$10,2),"")</f>
        <v/>
      </c>
    </row>
    <row r="1628" spans="12:20" x14ac:dyDescent="0.25">
      <c r="L1628" s="10" t="str">
        <f t="shared" si="278"/>
        <v/>
      </c>
      <c r="M1628" s="10" t="str">
        <f t="shared" si="279"/>
        <v/>
      </c>
      <c r="N1628" s="11" t="str">
        <f t="shared" si="280"/>
        <v/>
      </c>
      <c r="O1628" s="10" t="str">
        <f t="shared" si="281"/>
        <v/>
      </c>
      <c r="P1628" s="12" t="str">
        <f t="shared" si="282"/>
        <v/>
      </c>
      <c r="Q1628" s="10" t="str">
        <f t="shared" si="283"/>
        <v/>
      </c>
      <c r="R1628" s="13" t="str">
        <f t="shared" si="284"/>
        <v/>
      </c>
      <c r="S1628" s="13" t="str">
        <f t="shared" si="285"/>
        <v/>
      </c>
      <c r="T1628" s="22" t="str">
        <f>IF(R1628&lt;&gt;"",VLOOKUP(P1628,Constants!$D$3:$E$10,2),"")</f>
        <v/>
      </c>
    </row>
    <row r="1629" spans="12:20" x14ac:dyDescent="0.25">
      <c r="L1629" s="10" t="str">
        <f t="shared" si="278"/>
        <v/>
      </c>
      <c r="M1629" s="10" t="str">
        <f t="shared" si="279"/>
        <v/>
      </c>
      <c r="N1629" s="11" t="str">
        <f t="shared" si="280"/>
        <v/>
      </c>
      <c r="O1629" s="10" t="str">
        <f t="shared" si="281"/>
        <v/>
      </c>
      <c r="P1629" s="12" t="str">
        <f t="shared" si="282"/>
        <v/>
      </c>
      <c r="Q1629" s="10" t="str">
        <f t="shared" si="283"/>
        <v/>
      </c>
      <c r="R1629" s="13" t="str">
        <f t="shared" si="284"/>
        <v/>
      </c>
      <c r="S1629" s="13" t="str">
        <f t="shared" si="285"/>
        <v/>
      </c>
      <c r="T1629" s="22" t="str">
        <f>IF(R1629&lt;&gt;"",VLOOKUP(P1629,Constants!$D$3:$E$10,2),"")</f>
        <v/>
      </c>
    </row>
    <row r="1630" spans="12:20" x14ac:dyDescent="0.25">
      <c r="L1630" s="10" t="str">
        <f t="shared" si="278"/>
        <v/>
      </c>
      <c r="M1630" s="10" t="str">
        <f t="shared" si="279"/>
        <v/>
      </c>
      <c r="N1630" s="11" t="str">
        <f t="shared" si="280"/>
        <v/>
      </c>
      <c r="O1630" s="10" t="str">
        <f t="shared" si="281"/>
        <v/>
      </c>
      <c r="P1630" s="12" t="str">
        <f t="shared" si="282"/>
        <v/>
      </c>
      <c r="Q1630" s="10" t="str">
        <f t="shared" si="283"/>
        <v/>
      </c>
      <c r="R1630" s="13" t="str">
        <f t="shared" si="284"/>
        <v/>
      </c>
      <c r="S1630" s="13" t="str">
        <f t="shared" si="285"/>
        <v/>
      </c>
      <c r="T1630" s="22" t="str">
        <f>IF(R1630&lt;&gt;"",VLOOKUP(P1630,Constants!$D$3:$E$10,2),"")</f>
        <v/>
      </c>
    </row>
    <row r="1631" spans="12:20" x14ac:dyDescent="0.25">
      <c r="L1631" s="10" t="str">
        <f t="shared" si="278"/>
        <v/>
      </c>
      <c r="M1631" s="10" t="str">
        <f t="shared" si="279"/>
        <v/>
      </c>
      <c r="N1631" s="11" t="str">
        <f t="shared" si="280"/>
        <v/>
      </c>
      <c r="O1631" s="10" t="str">
        <f t="shared" si="281"/>
        <v/>
      </c>
      <c r="P1631" s="12" t="str">
        <f t="shared" si="282"/>
        <v/>
      </c>
      <c r="Q1631" s="10" t="str">
        <f t="shared" si="283"/>
        <v/>
      </c>
      <c r="R1631" s="13" t="str">
        <f t="shared" si="284"/>
        <v/>
      </c>
      <c r="S1631" s="13" t="str">
        <f t="shared" si="285"/>
        <v/>
      </c>
      <c r="T1631" s="22" t="str">
        <f>IF(R1631&lt;&gt;"",VLOOKUP(P1631,Constants!$D$3:$E$10,2),"")</f>
        <v/>
      </c>
    </row>
    <row r="1632" spans="12:20" x14ac:dyDescent="0.25">
      <c r="L1632" s="10" t="str">
        <f t="shared" si="278"/>
        <v/>
      </c>
      <c r="M1632" s="10" t="str">
        <f t="shared" si="279"/>
        <v/>
      </c>
      <c r="N1632" s="11" t="str">
        <f t="shared" si="280"/>
        <v/>
      </c>
      <c r="O1632" s="10" t="str">
        <f t="shared" si="281"/>
        <v/>
      </c>
      <c r="P1632" s="12" t="str">
        <f t="shared" si="282"/>
        <v/>
      </c>
      <c r="Q1632" s="10" t="str">
        <f t="shared" si="283"/>
        <v/>
      </c>
      <c r="R1632" s="13" t="str">
        <f t="shared" si="284"/>
        <v/>
      </c>
      <c r="S1632" s="13" t="str">
        <f t="shared" si="285"/>
        <v/>
      </c>
      <c r="T1632" s="22" t="str">
        <f>IF(R1632&lt;&gt;"",VLOOKUP(P1632,Constants!$D$3:$E$10,2),"")</f>
        <v/>
      </c>
    </row>
    <row r="1633" spans="12:20" x14ac:dyDescent="0.25">
      <c r="L1633" s="10" t="str">
        <f t="shared" si="278"/>
        <v/>
      </c>
      <c r="M1633" s="10" t="str">
        <f t="shared" si="279"/>
        <v/>
      </c>
      <c r="N1633" s="11" t="str">
        <f t="shared" si="280"/>
        <v/>
      </c>
      <c r="O1633" s="10" t="str">
        <f t="shared" si="281"/>
        <v/>
      </c>
      <c r="P1633" s="12" t="str">
        <f t="shared" si="282"/>
        <v/>
      </c>
      <c r="Q1633" s="10" t="str">
        <f t="shared" si="283"/>
        <v/>
      </c>
      <c r="R1633" s="13" t="str">
        <f t="shared" si="284"/>
        <v/>
      </c>
      <c r="S1633" s="13" t="str">
        <f t="shared" si="285"/>
        <v/>
      </c>
      <c r="T1633" s="22" t="str">
        <f>IF(R1633&lt;&gt;"",VLOOKUP(P1633,Constants!$D$3:$E$10,2),"")</f>
        <v/>
      </c>
    </row>
    <row r="1634" spans="12:20" x14ac:dyDescent="0.25">
      <c r="L1634" s="10" t="str">
        <f t="shared" si="278"/>
        <v/>
      </c>
      <c r="M1634" s="10" t="str">
        <f t="shared" si="279"/>
        <v/>
      </c>
      <c r="N1634" s="11" t="str">
        <f t="shared" si="280"/>
        <v/>
      </c>
      <c r="O1634" s="10" t="str">
        <f t="shared" si="281"/>
        <v/>
      </c>
      <c r="P1634" s="12" t="str">
        <f t="shared" si="282"/>
        <v/>
      </c>
      <c r="Q1634" s="10" t="str">
        <f t="shared" si="283"/>
        <v/>
      </c>
      <c r="R1634" s="13" t="str">
        <f t="shared" si="284"/>
        <v/>
      </c>
      <c r="S1634" s="13" t="str">
        <f t="shared" si="285"/>
        <v/>
      </c>
      <c r="T1634" s="22" t="str">
        <f>IF(R1634&lt;&gt;"",VLOOKUP(P1634,Constants!$D$3:$E$10,2),"")</f>
        <v/>
      </c>
    </row>
    <row r="1635" spans="12:20" x14ac:dyDescent="0.25">
      <c r="L1635" s="10" t="str">
        <f t="shared" si="278"/>
        <v/>
      </c>
      <c r="M1635" s="10" t="str">
        <f t="shared" si="279"/>
        <v/>
      </c>
      <c r="N1635" s="11" t="str">
        <f t="shared" si="280"/>
        <v/>
      </c>
      <c r="O1635" s="10" t="str">
        <f t="shared" si="281"/>
        <v/>
      </c>
      <c r="P1635" s="12" t="str">
        <f t="shared" si="282"/>
        <v/>
      </c>
      <c r="Q1635" s="10" t="str">
        <f t="shared" si="283"/>
        <v/>
      </c>
      <c r="R1635" s="13" t="str">
        <f t="shared" si="284"/>
        <v/>
      </c>
      <c r="S1635" s="13" t="str">
        <f t="shared" si="285"/>
        <v/>
      </c>
      <c r="T1635" s="22" t="str">
        <f>IF(R1635&lt;&gt;"",VLOOKUP(P1635,Constants!$D$3:$E$10,2),"")</f>
        <v/>
      </c>
    </row>
    <row r="1636" spans="12:20" x14ac:dyDescent="0.25">
      <c r="L1636" s="10" t="str">
        <f t="shared" si="278"/>
        <v/>
      </c>
      <c r="M1636" s="10" t="str">
        <f t="shared" si="279"/>
        <v/>
      </c>
      <c r="N1636" s="11" t="str">
        <f t="shared" si="280"/>
        <v/>
      </c>
      <c r="O1636" s="10" t="str">
        <f t="shared" si="281"/>
        <v/>
      </c>
      <c r="P1636" s="12" t="str">
        <f t="shared" si="282"/>
        <v/>
      </c>
      <c r="Q1636" s="10" t="str">
        <f t="shared" si="283"/>
        <v/>
      </c>
      <c r="R1636" s="13" t="str">
        <f t="shared" si="284"/>
        <v/>
      </c>
      <c r="S1636" s="13" t="str">
        <f t="shared" si="285"/>
        <v/>
      </c>
      <c r="T1636" s="22" t="str">
        <f>IF(R1636&lt;&gt;"",VLOOKUP(P1636,Constants!$D$3:$E$10,2),"")</f>
        <v/>
      </c>
    </row>
    <row r="1637" spans="12:20" x14ac:dyDescent="0.25">
      <c r="L1637" s="10" t="str">
        <f t="shared" si="278"/>
        <v/>
      </c>
      <c r="M1637" s="10" t="str">
        <f t="shared" si="279"/>
        <v/>
      </c>
      <c r="N1637" s="11" t="str">
        <f t="shared" si="280"/>
        <v/>
      </c>
      <c r="O1637" s="10" t="str">
        <f t="shared" si="281"/>
        <v/>
      </c>
      <c r="P1637" s="12" t="str">
        <f t="shared" si="282"/>
        <v/>
      </c>
      <c r="Q1637" s="10" t="str">
        <f t="shared" si="283"/>
        <v/>
      </c>
      <c r="R1637" s="13" t="str">
        <f t="shared" si="284"/>
        <v/>
      </c>
      <c r="S1637" s="13" t="str">
        <f t="shared" si="285"/>
        <v/>
      </c>
      <c r="T1637" s="22" t="str">
        <f>IF(R1637&lt;&gt;"",VLOOKUP(P1637,Constants!$D$3:$E$10,2),"")</f>
        <v/>
      </c>
    </row>
    <row r="1638" spans="12:20" x14ac:dyDescent="0.25">
      <c r="L1638" s="10" t="str">
        <f t="shared" si="278"/>
        <v/>
      </c>
      <c r="M1638" s="10" t="str">
        <f t="shared" si="279"/>
        <v/>
      </c>
      <c r="N1638" s="11" t="str">
        <f t="shared" si="280"/>
        <v/>
      </c>
      <c r="O1638" s="10" t="str">
        <f t="shared" si="281"/>
        <v/>
      </c>
      <c r="P1638" s="12" t="str">
        <f t="shared" si="282"/>
        <v/>
      </c>
      <c r="Q1638" s="10" t="str">
        <f t="shared" si="283"/>
        <v/>
      </c>
      <c r="R1638" s="13" t="str">
        <f t="shared" si="284"/>
        <v/>
      </c>
      <c r="S1638" s="13" t="str">
        <f t="shared" si="285"/>
        <v/>
      </c>
      <c r="T1638" s="22" t="str">
        <f>IF(R1638&lt;&gt;"",VLOOKUP(P1638,Constants!$D$3:$E$10,2),"")</f>
        <v/>
      </c>
    </row>
    <row r="1639" spans="12:20" x14ac:dyDescent="0.25">
      <c r="L1639" s="10" t="str">
        <f t="shared" si="278"/>
        <v/>
      </c>
      <c r="M1639" s="10" t="str">
        <f t="shared" si="279"/>
        <v/>
      </c>
      <c r="N1639" s="11" t="str">
        <f t="shared" si="280"/>
        <v/>
      </c>
      <c r="O1639" s="10" t="str">
        <f t="shared" si="281"/>
        <v/>
      </c>
      <c r="P1639" s="12" t="str">
        <f t="shared" si="282"/>
        <v/>
      </c>
      <c r="Q1639" s="10" t="str">
        <f t="shared" si="283"/>
        <v/>
      </c>
      <c r="R1639" s="13" t="str">
        <f t="shared" si="284"/>
        <v/>
      </c>
      <c r="S1639" s="13" t="str">
        <f t="shared" si="285"/>
        <v/>
      </c>
      <c r="T1639" s="22" t="str">
        <f>IF(R1639&lt;&gt;"",VLOOKUP(P1639,Constants!$D$3:$E$10,2),"")</f>
        <v/>
      </c>
    </row>
    <row r="1640" spans="12:20" x14ac:dyDescent="0.25">
      <c r="L1640" s="10" t="str">
        <f t="shared" si="278"/>
        <v/>
      </c>
      <c r="M1640" s="10" t="str">
        <f t="shared" si="279"/>
        <v/>
      </c>
      <c r="N1640" s="11" t="str">
        <f t="shared" si="280"/>
        <v/>
      </c>
      <c r="O1640" s="10" t="str">
        <f t="shared" si="281"/>
        <v/>
      </c>
      <c r="P1640" s="12" t="str">
        <f t="shared" si="282"/>
        <v/>
      </c>
      <c r="Q1640" s="10" t="str">
        <f t="shared" si="283"/>
        <v/>
      </c>
      <c r="R1640" s="13" t="str">
        <f t="shared" si="284"/>
        <v/>
      </c>
      <c r="S1640" s="13" t="str">
        <f t="shared" si="285"/>
        <v/>
      </c>
      <c r="T1640" s="22" t="str">
        <f>IF(R1640&lt;&gt;"",VLOOKUP(P1640,Constants!$D$3:$E$10,2),"")</f>
        <v/>
      </c>
    </row>
    <row r="1641" spans="12:20" x14ac:dyDescent="0.25">
      <c r="L1641" s="10" t="str">
        <f t="shared" si="278"/>
        <v/>
      </c>
      <c r="M1641" s="10" t="str">
        <f t="shared" si="279"/>
        <v/>
      </c>
      <c r="N1641" s="11" t="str">
        <f t="shared" si="280"/>
        <v/>
      </c>
      <c r="O1641" s="10" t="str">
        <f t="shared" si="281"/>
        <v/>
      </c>
      <c r="P1641" s="12" t="str">
        <f t="shared" si="282"/>
        <v/>
      </c>
      <c r="Q1641" s="10" t="str">
        <f t="shared" si="283"/>
        <v/>
      </c>
      <c r="R1641" s="13" t="str">
        <f t="shared" si="284"/>
        <v/>
      </c>
      <c r="S1641" s="13" t="str">
        <f t="shared" si="285"/>
        <v/>
      </c>
      <c r="T1641" s="22" t="str">
        <f>IF(R1641&lt;&gt;"",VLOOKUP(P1641,Constants!$D$3:$E$10,2),"")</f>
        <v/>
      </c>
    </row>
    <row r="1642" spans="12:20" x14ac:dyDescent="0.25">
      <c r="L1642" s="10" t="str">
        <f t="shared" si="278"/>
        <v/>
      </c>
      <c r="M1642" s="10" t="str">
        <f t="shared" si="279"/>
        <v/>
      </c>
      <c r="N1642" s="11" t="str">
        <f t="shared" si="280"/>
        <v/>
      </c>
      <c r="O1642" s="10" t="str">
        <f t="shared" si="281"/>
        <v/>
      </c>
      <c r="P1642" s="12" t="str">
        <f t="shared" si="282"/>
        <v/>
      </c>
      <c r="Q1642" s="10" t="str">
        <f t="shared" si="283"/>
        <v/>
      </c>
      <c r="R1642" s="13" t="str">
        <f t="shared" si="284"/>
        <v/>
      </c>
      <c r="S1642" s="13" t="str">
        <f t="shared" si="285"/>
        <v/>
      </c>
      <c r="T1642" s="22" t="str">
        <f>IF(R1642&lt;&gt;"",VLOOKUP(P1642,Constants!$D$3:$E$10,2),"")</f>
        <v/>
      </c>
    </row>
    <row r="1643" spans="12:20" x14ac:dyDescent="0.25">
      <c r="L1643" s="10" t="str">
        <f t="shared" si="278"/>
        <v/>
      </c>
      <c r="M1643" s="10" t="str">
        <f t="shared" si="279"/>
        <v/>
      </c>
      <c r="N1643" s="11" t="str">
        <f t="shared" si="280"/>
        <v/>
      </c>
      <c r="O1643" s="10" t="str">
        <f t="shared" si="281"/>
        <v/>
      </c>
      <c r="P1643" s="12" t="str">
        <f t="shared" si="282"/>
        <v/>
      </c>
      <c r="Q1643" s="10" t="str">
        <f t="shared" si="283"/>
        <v/>
      </c>
      <c r="R1643" s="13" t="str">
        <f t="shared" si="284"/>
        <v/>
      </c>
      <c r="S1643" s="13" t="str">
        <f t="shared" si="285"/>
        <v/>
      </c>
      <c r="T1643" s="22" t="str">
        <f>IF(R1643&lt;&gt;"",VLOOKUP(P1643,Constants!$D$3:$E$10,2),"")</f>
        <v/>
      </c>
    </row>
    <row r="1644" spans="12:20" x14ac:dyDescent="0.25">
      <c r="L1644" s="10" t="str">
        <f t="shared" si="278"/>
        <v/>
      </c>
      <c r="M1644" s="10" t="str">
        <f t="shared" si="279"/>
        <v/>
      </c>
      <c r="N1644" s="11" t="str">
        <f t="shared" si="280"/>
        <v/>
      </c>
      <c r="O1644" s="10" t="str">
        <f t="shared" si="281"/>
        <v/>
      </c>
      <c r="P1644" s="12" t="str">
        <f t="shared" si="282"/>
        <v/>
      </c>
      <c r="Q1644" s="10" t="str">
        <f t="shared" si="283"/>
        <v/>
      </c>
      <c r="R1644" s="13" t="str">
        <f t="shared" si="284"/>
        <v/>
      </c>
      <c r="S1644" s="13" t="str">
        <f t="shared" si="285"/>
        <v/>
      </c>
      <c r="T1644" s="22" t="str">
        <f>IF(R1644&lt;&gt;"",VLOOKUP(P1644,Constants!$D$3:$E$10,2),"")</f>
        <v/>
      </c>
    </row>
    <row r="1645" spans="12:20" x14ac:dyDescent="0.25">
      <c r="L1645" s="10" t="str">
        <f t="shared" si="278"/>
        <v/>
      </c>
      <c r="M1645" s="10" t="str">
        <f t="shared" si="279"/>
        <v/>
      </c>
      <c r="N1645" s="11" t="str">
        <f t="shared" si="280"/>
        <v/>
      </c>
      <c r="O1645" s="10" t="str">
        <f t="shared" si="281"/>
        <v/>
      </c>
      <c r="P1645" s="12" t="str">
        <f t="shared" si="282"/>
        <v/>
      </c>
      <c r="Q1645" s="10" t="str">
        <f t="shared" si="283"/>
        <v/>
      </c>
      <c r="R1645" s="13" t="str">
        <f t="shared" si="284"/>
        <v/>
      </c>
      <c r="S1645" s="13" t="str">
        <f t="shared" si="285"/>
        <v/>
      </c>
      <c r="T1645" s="22" t="str">
        <f>IF(R1645&lt;&gt;"",VLOOKUP(P1645,Constants!$D$3:$E$10,2),"")</f>
        <v/>
      </c>
    </row>
    <row r="1646" spans="12:20" x14ac:dyDescent="0.25">
      <c r="L1646" s="10" t="str">
        <f t="shared" si="278"/>
        <v/>
      </c>
      <c r="M1646" s="10" t="str">
        <f t="shared" si="279"/>
        <v/>
      </c>
      <c r="N1646" s="11" t="str">
        <f t="shared" si="280"/>
        <v/>
      </c>
      <c r="O1646" s="10" t="str">
        <f t="shared" si="281"/>
        <v/>
      </c>
      <c r="P1646" s="12" t="str">
        <f t="shared" si="282"/>
        <v/>
      </c>
      <c r="Q1646" s="10" t="str">
        <f t="shared" si="283"/>
        <v/>
      </c>
      <c r="R1646" s="13" t="str">
        <f t="shared" si="284"/>
        <v/>
      </c>
      <c r="S1646" s="13" t="str">
        <f t="shared" si="285"/>
        <v/>
      </c>
      <c r="T1646" s="22" t="str">
        <f>IF(R1646&lt;&gt;"",VLOOKUP(P1646,Constants!$D$3:$E$10,2),"")</f>
        <v/>
      </c>
    </row>
  </sheetData>
  <sheetProtection sheet="1" objects="1" scenarios="1"/>
  <dataConsolidate/>
  <phoneticPr fontId="7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81AE1C-7C1E-48A8-82A0-CB40CC538DFA}">
          <x14:formula1>
            <xm:f>Constants!$H$3:$H$4</xm:f>
          </x14:formula1>
          <xm:sqref>J3:J33 J36:J1081</xm:sqref>
        </x14:dataValidation>
        <x14:dataValidation type="list" allowBlank="1" showInputMessage="1" showErrorMessage="1" xr:uid="{2BC62D84-7F18-41C1-9E68-7E63A0899384}">
          <x14:formula1>
            <xm:f>Constants!$C$3:$C$4</xm:f>
          </x14:formula1>
          <xm:sqref>H1:H33 H36:H1048576</xm:sqref>
        </x14:dataValidation>
        <x14:dataValidation type="list" allowBlank="1" showInputMessage="1" showErrorMessage="1" xr:uid="{B39776A6-6AB7-4CCA-B7BF-A8B3DECB094E}">
          <x14:formula1>
            <xm:f>Constants!$B$3:$B$5</xm:f>
          </x14:formula1>
          <xm:sqref>I1:I33 I36:I1048576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0DAF6-73E0-4CA0-9D52-B446F6B75587}">
  <sheetPr codeName="Full7"/>
  <dimension ref="B1:T1636"/>
  <sheetViews>
    <sheetView zoomScaleNormal="100" workbookViewId="0">
      <selection activeCell="G21" sqref="G21"/>
    </sheetView>
  </sheetViews>
  <sheetFormatPr defaultColWidth="11.5703125" defaultRowHeight="15" x14ac:dyDescent="0.25"/>
  <cols>
    <col min="2" max="2" width="20.7109375" customWidth="1"/>
    <col min="3" max="3" width="34.140625" customWidth="1"/>
    <col min="4" max="4" width="20.7109375" style="9" customWidth="1"/>
    <col min="5" max="7" width="20.7109375" customWidth="1"/>
    <col min="8" max="10" width="20.7109375" style="23" customWidth="1"/>
    <col min="11" max="11" width="20.7109375" style="7" customWidth="1"/>
    <col min="12" max="15" width="20.7109375" customWidth="1"/>
    <col min="16" max="16" width="20.7109375" style="40" customWidth="1"/>
    <col min="17" max="17" width="20.7109375" style="36" customWidth="1"/>
    <col min="18" max="19" width="20.7109375" customWidth="1"/>
    <col min="20" max="20" width="12.7109375" style="23" customWidth="1"/>
  </cols>
  <sheetData>
    <row r="1" spans="2:20" ht="30" x14ac:dyDescent="0.25">
      <c r="B1" s="24" t="s">
        <v>1</v>
      </c>
      <c r="C1" s="24" t="s">
        <v>5</v>
      </c>
      <c r="D1" s="28" t="s">
        <v>6</v>
      </c>
      <c r="E1" s="24" t="s">
        <v>7</v>
      </c>
      <c r="F1" s="24" t="s">
        <v>8</v>
      </c>
      <c r="G1" s="24" t="s">
        <v>189</v>
      </c>
      <c r="H1" s="24" t="s">
        <v>147</v>
      </c>
      <c r="I1" s="24" t="s">
        <v>148</v>
      </c>
      <c r="J1" s="24" t="s">
        <v>134</v>
      </c>
      <c r="K1" s="29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37" t="s">
        <v>15</v>
      </c>
      <c r="Q1" s="24" t="s">
        <v>206</v>
      </c>
      <c r="R1" s="24" t="s">
        <v>16</v>
      </c>
      <c r="S1" s="24" t="s">
        <v>17</v>
      </c>
      <c r="T1" s="24" t="s">
        <v>27</v>
      </c>
    </row>
    <row r="2" spans="2:20" s="5" customFormat="1" ht="20.100000000000001" customHeight="1" x14ac:dyDescent="0.25">
      <c r="B2" s="4"/>
      <c r="C2" s="4" t="s">
        <v>18</v>
      </c>
      <c r="D2" s="14"/>
      <c r="E2" s="4"/>
      <c r="F2" s="4"/>
      <c r="G2" s="4"/>
      <c r="H2" s="21"/>
      <c r="I2" s="21"/>
      <c r="J2" s="21"/>
      <c r="K2" s="6"/>
      <c r="L2" s="4"/>
      <c r="M2" s="4"/>
      <c r="N2" s="4"/>
      <c r="O2" s="4"/>
      <c r="P2" s="38"/>
      <c r="Q2" s="35"/>
      <c r="R2" s="4"/>
      <c r="S2" s="4"/>
      <c r="T2" s="21"/>
    </row>
    <row r="3" spans="2:20" x14ac:dyDescent="0.25">
      <c r="B3" s="59" t="s">
        <v>19</v>
      </c>
      <c r="C3" s="59"/>
      <c r="D3" s="60"/>
      <c r="E3" s="59"/>
      <c r="F3" s="59" t="str">
        <f>IF($D3&lt;&gt;"",1,"")</f>
        <v/>
      </c>
      <c r="G3" s="59"/>
      <c r="H3" s="61"/>
      <c r="I3" s="61"/>
      <c r="J3" s="61"/>
      <c r="K3" s="62"/>
      <c r="L3" s="10" t="str">
        <f t="shared" ref="L3" si="0">IF($D3&lt;&gt;"",$D3*$E3/1000,"")</f>
        <v/>
      </c>
      <c r="M3" s="10" t="str">
        <f t="shared" ref="M3" si="1">IF($D3&lt;&gt;"",$D3*$F3/1000,"")</f>
        <v/>
      </c>
      <c r="N3" s="11" t="str">
        <f t="shared" ref="N3" si="2">IF($L3&lt;&gt;"",SQRT($L3*$L3+$M3*$M3),"")</f>
        <v/>
      </c>
      <c r="O3" s="10" t="str">
        <f t="shared" ref="O3" si="3">IF(D3&lt;&gt;"",1000/(2*D3),"")</f>
        <v/>
      </c>
      <c r="P3" s="39" t="str">
        <f t="shared" ref="P3" si="4">IF($N3&lt;&gt;"",D3*SQRT(E3*E3+F3*F3)/16000,"")</f>
        <v/>
      </c>
      <c r="Q3" s="13" t="str">
        <f>IF(F3&lt;&gt;"",F3*E3/1000,"")</f>
        <v/>
      </c>
      <c r="R3" s="13" t="str">
        <f t="shared" ref="R3" si="5">IF(G3&lt;&gt;"",1000/G3,"")</f>
        <v/>
      </c>
      <c r="S3" s="13" t="str">
        <f t="shared" ref="S3" si="6">IF(R3&lt;&gt;"",Q3/R3*1000,"")</f>
        <v/>
      </c>
      <c r="T3" s="22" t="str">
        <f>IF(R3&lt;&gt;"",VLOOKUP(P3,Constants!$D$3:$E$10,2),"")</f>
        <v/>
      </c>
    </row>
    <row r="4" spans="2:20" x14ac:dyDescent="0.25">
      <c r="B4" s="59"/>
      <c r="C4" s="59"/>
      <c r="D4" s="60"/>
      <c r="E4" s="59"/>
      <c r="F4" s="59"/>
      <c r="G4" s="59"/>
      <c r="H4" s="61"/>
      <c r="I4" s="61"/>
      <c r="J4" s="61"/>
      <c r="K4" s="62"/>
    </row>
    <row r="5" spans="2:20" x14ac:dyDescent="0.25">
      <c r="B5" s="59"/>
      <c r="C5" s="59"/>
      <c r="D5" s="60"/>
      <c r="E5" s="59"/>
      <c r="F5" s="59"/>
      <c r="G5" s="59"/>
      <c r="H5" s="61"/>
      <c r="I5" s="61"/>
      <c r="J5" s="61"/>
      <c r="K5" s="62"/>
    </row>
    <row r="6" spans="2:20" s="5" customFormat="1" ht="20.100000000000001" customHeight="1" x14ac:dyDescent="0.25">
      <c r="B6" s="63"/>
      <c r="C6" s="63" t="s">
        <v>181</v>
      </c>
      <c r="D6" s="64"/>
      <c r="E6" s="63"/>
      <c r="F6" s="63"/>
      <c r="G6" s="63"/>
      <c r="H6" s="65"/>
      <c r="I6" s="65"/>
      <c r="J6" s="65"/>
      <c r="K6" s="66"/>
      <c r="L6" s="4"/>
      <c r="M6" s="4"/>
      <c r="N6" s="4"/>
      <c r="O6" s="4"/>
      <c r="P6" s="38"/>
      <c r="Q6" s="35"/>
      <c r="R6" s="4"/>
      <c r="S6" s="4"/>
      <c r="T6" s="21"/>
    </row>
    <row r="7" spans="2:20" x14ac:dyDescent="0.25">
      <c r="B7" s="59" t="s">
        <v>185</v>
      </c>
      <c r="C7" s="59" t="s">
        <v>186</v>
      </c>
      <c r="D7" s="60">
        <v>14</v>
      </c>
      <c r="E7" s="59">
        <v>2048</v>
      </c>
      <c r="F7" s="59">
        <v>2</v>
      </c>
      <c r="G7" s="59">
        <v>25</v>
      </c>
      <c r="H7" s="61" t="s">
        <v>149</v>
      </c>
      <c r="I7" s="61" t="s">
        <v>21</v>
      </c>
      <c r="J7" s="61" t="s">
        <v>135</v>
      </c>
      <c r="K7" s="62">
        <v>0.7</v>
      </c>
      <c r="L7" s="10">
        <f t="shared" ref="L7:L71" si="7">IF($D7&lt;&gt;"",$D7*$E7/1000,"")</f>
        <v>28.672000000000001</v>
      </c>
      <c r="M7" s="10">
        <f t="shared" ref="M7:M71" si="8">IF($D7&lt;&gt;"",$D7*$F7/1000,"")</f>
        <v>2.8000000000000001E-2</v>
      </c>
      <c r="N7" s="11">
        <f t="shared" ref="N7:N23" si="9">IF($L7&lt;&gt;"",SQRT($L7*$L7+$M7*$M7),"")</f>
        <v>28.672013671871742</v>
      </c>
      <c r="O7" s="10">
        <f t="shared" ref="O7:O23" si="10">IF(D7&lt;&gt;"",1000/(2*D7),"")</f>
        <v>35.714285714285715</v>
      </c>
      <c r="P7" s="39">
        <f t="shared" ref="P7:P23" si="11">IF($N7&lt;&gt;"",D7*SQRT(E7*E7+F7*F7)/16000,"")</f>
        <v>1.7920008544919839</v>
      </c>
      <c r="Q7" s="13">
        <f>IF(F7&lt;&gt;"",F7*E7/1000,"")</f>
        <v>4.0960000000000001</v>
      </c>
      <c r="R7" s="13">
        <f t="shared" ref="R7:R23" si="12">IF(G7&lt;&gt;"",1000/G7,"")</f>
        <v>40</v>
      </c>
      <c r="S7" s="13">
        <f t="shared" ref="S7:S70" si="13">IF(R7&lt;&gt;"",Q7/R7*1000,"")</f>
        <v>102.4</v>
      </c>
      <c r="T7" s="22" t="str">
        <f>IF(R7&lt;&gt;"",VLOOKUP(P7,Constants!$D$3:$E$10,2),"")</f>
        <v>4/3</v>
      </c>
    </row>
    <row r="8" spans="2:20" x14ac:dyDescent="0.25">
      <c r="B8" s="59" t="s">
        <v>188</v>
      </c>
      <c r="C8" s="59" t="s">
        <v>187</v>
      </c>
      <c r="D8" s="60">
        <v>14</v>
      </c>
      <c r="E8" s="59">
        <v>2048</v>
      </c>
      <c r="F8" s="59">
        <v>2</v>
      </c>
      <c r="G8" s="59">
        <v>50</v>
      </c>
      <c r="H8" s="61" t="s">
        <v>149</v>
      </c>
      <c r="I8" s="61" t="s">
        <v>23</v>
      </c>
      <c r="J8" s="61" t="s">
        <v>135</v>
      </c>
      <c r="K8" s="62">
        <v>0.7</v>
      </c>
      <c r="L8" s="10">
        <f t="shared" si="7"/>
        <v>28.672000000000001</v>
      </c>
      <c r="M8" s="10">
        <f t="shared" si="8"/>
        <v>2.8000000000000001E-2</v>
      </c>
      <c r="N8" s="11">
        <f t="shared" si="9"/>
        <v>28.672013671871742</v>
      </c>
      <c r="O8" s="10">
        <f t="shared" si="10"/>
        <v>35.714285714285715</v>
      </c>
      <c r="P8" s="39">
        <f t="shared" si="11"/>
        <v>1.7920008544919839</v>
      </c>
      <c r="Q8" s="13">
        <f t="shared" ref="Q8:Q71" si="14">IF(F8&lt;&gt;"",F8*E8/1000,"")</f>
        <v>4.0960000000000001</v>
      </c>
      <c r="R8" s="13">
        <f t="shared" si="12"/>
        <v>20</v>
      </c>
      <c r="S8" s="13">
        <f t="shared" si="13"/>
        <v>204.8</v>
      </c>
      <c r="T8" s="22" t="str">
        <f>IF(R8&lt;&gt;"",VLOOKUP(P8,Constants!$D$3:$E$10,2),"")</f>
        <v>4/3</v>
      </c>
    </row>
    <row r="9" spans="2:20" x14ac:dyDescent="0.25">
      <c r="B9" s="59" t="s">
        <v>191</v>
      </c>
      <c r="C9" s="59" t="s">
        <v>190</v>
      </c>
      <c r="D9" s="60">
        <v>7</v>
      </c>
      <c r="E9" s="59">
        <v>4096</v>
      </c>
      <c r="F9" s="59">
        <v>2</v>
      </c>
      <c r="G9" s="59">
        <v>12.5</v>
      </c>
      <c r="H9" s="61" t="s">
        <v>149</v>
      </c>
      <c r="I9" s="61" t="s">
        <v>21</v>
      </c>
      <c r="J9" s="61" t="s">
        <v>135</v>
      </c>
      <c r="K9" s="62">
        <v>0.7</v>
      </c>
      <c r="L9" s="10">
        <f t="shared" si="7"/>
        <v>28.672000000000001</v>
      </c>
      <c r="M9" s="10">
        <f t="shared" si="8"/>
        <v>1.4E-2</v>
      </c>
      <c r="N9" s="11">
        <f t="shared" si="9"/>
        <v>28.672003417968547</v>
      </c>
      <c r="O9" s="10">
        <f t="shared" si="10"/>
        <v>71.428571428571431</v>
      </c>
      <c r="P9" s="39">
        <f t="shared" si="11"/>
        <v>1.7920002136230342</v>
      </c>
      <c r="Q9" s="13">
        <f t="shared" si="14"/>
        <v>8.1920000000000002</v>
      </c>
      <c r="R9" s="13">
        <f t="shared" si="12"/>
        <v>80</v>
      </c>
      <c r="S9" s="13">
        <f t="shared" si="13"/>
        <v>102.4</v>
      </c>
      <c r="T9" s="22" t="str">
        <f>IF(R9&lt;&gt;"",VLOOKUP(P9,Constants!$D$3:$E$10,2),"")</f>
        <v>4/3</v>
      </c>
    </row>
    <row r="10" spans="2:20" x14ac:dyDescent="0.25">
      <c r="B10" s="59" t="s">
        <v>193</v>
      </c>
      <c r="C10" s="59" t="s">
        <v>192</v>
      </c>
      <c r="D10" s="60">
        <v>7</v>
      </c>
      <c r="E10" s="59">
        <v>4096</v>
      </c>
      <c r="F10" s="59">
        <v>2</v>
      </c>
      <c r="G10" s="59">
        <v>25</v>
      </c>
      <c r="H10" s="61" t="s">
        <v>149</v>
      </c>
      <c r="I10" s="61" t="s">
        <v>23</v>
      </c>
      <c r="J10" s="61" t="s">
        <v>135</v>
      </c>
      <c r="K10" s="62">
        <v>0.7</v>
      </c>
      <c r="L10" s="10">
        <f t="shared" si="7"/>
        <v>28.672000000000001</v>
      </c>
      <c r="M10" s="10">
        <f t="shared" si="8"/>
        <v>1.4E-2</v>
      </c>
      <c r="N10" s="11">
        <f t="shared" si="9"/>
        <v>28.672003417968547</v>
      </c>
      <c r="O10" s="10">
        <f t="shared" si="10"/>
        <v>71.428571428571431</v>
      </c>
      <c r="P10" s="39">
        <f t="shared" si="11"/>
        <v>1.7920002136230342</v>
      </c>
      <c r="Q10" s="13">
        <f t="shared" si="14"/>
        <v>8.1920000000000002</v>
      </c>
      <c r="R10" s="13">
        <f t="shared" si="12"/>
        <v>40</v>
      </c>
      <c r="S10" s="13">
        <f t="shared" si="13"/>
        <v>204.8</v>
      </c>
      <c r="T10" s="22" t="str">
        <f>IF(R10&lt;&gt;"",VLOOKUP(P10,Constants!$D$3:$E$10,2),"")</f>
        <v>4/3</v>
      </c>
    </row>
    <row r="11" spans="2:20" x14ac:dyDescent="0.25">
      <c r="B11" s="59" t="s">
        <v>195</v>
      </c>
      <c r="C11" s="59" t="s">
        <v>194</v>
      </c>
      <c r="D11" s="60">
        <v>3.5</v>
      </c>
      <c r="E11" s="59">
        <v>8192</v>
      </c>
      <c r="F11" s="59">
        <v>1</v>
      </c>
      <c r="G11" s="59">
        <v>25</v>
      </c>
      <c r="H11" s="61" t="s">
        <v>149</v>
      </c>
      <c r="I11" s="61" t="s">
        <v>23</v>
      </c>
      <c r="J11" s="61" t="s">
        <v>135</v>
      </c>
      <c r="K11" s="62">
        <v>0.7</v>
      </c>
      <c r="L11" s="10">
        <f t="shared" si="7"/>
        <v>28.672000000000001</v>
      </c>
      <c r="M11" s="10">
        <f t="shared" si="8"/>
        <v>3.5000000000000001E-3</v>
      </c>
      <c r="N11" s="11">
        <f t="shared" si="9"/>
        <v>28.672000213623047</v>
      </c>
      <c r="O11" s="10">
        <f t="shared" si="10"/>
        <v>142.85714285714286</v>
      </c>
      <c r="P11" s="39">
        <f t="shared" si="11"/>
        <v>1.7920000133514404</v>
      </c>
      <c r="Q11" s="13">
        <f t="shared" si="14"/>
        <v>8.1920000000000002</v>
      </c>
      <c r="R11" s="13">
        <f t="shared" si="12"/>
        <v>40</v>
      </c>
      <c r="S11" s="13">
        <f t="shared" si="13"/>
        <v>204.8</v>
      </c>
      <c r="T11" s="22" t="str">
        <f>IF(R11&lt;&gt;"",VLOOKUP(P11,Constants!$D$3:$E$10,2),"")</f>
        <v>4/3</v>
      </c>
    </row>
    <row r="12" spans="2:20" x14ac:dyDescent="0.25">
      <c r="B12" s="59"/>
      <c r="C12" s="59"/>
      <c r="D12" s="60"/>
      <c r="E12" s="59"/>
      <c r="F12" s="59" t="str">
        <f t="shared" ref="F12:F71" si="15">IF($D12&lt;&gt;"",1,"")</f>
        <v/>
      </c>
      <c r="G12" s="59"/>
      <c r="H12" s="61"/>
      <c r="I12" s="61"/>
      <c r="J12" s="61"/>
      <c r="K12" s="62"/>
      <c r="L12" s="10" t="str">
        <f t="shared" si="7"/>
        <v/>
      </c>
      <c r="M12" s="10" t="str">
        <f t="shared" si="8"/>
        <v/>
      </c>
      <c r="N12" s="11" t="str">
        <f t="shared" si="9"/>
        <v/>
      </c>
      <c r="O12" s="10" t="str">
        <f t="shared" si="10"/>
        <v/>
      </c>
      <c r="P12" s="39" t="str">
        <f t="shared" si="11"/>
        <v/>
      </c>
      <c r="Q12" s="13" t="str">
        <f t="shared" si="14"/>
        <v/>
      </c>
      <c r="R12" s="13" t="str">
        <f t="shared" si="12"/>
        <v/>
      </c>
      <c r="S12" s="13" t="str">
        <f t="shared" si="13"/>
        <v/>
      </c>
      <c r="T12" s="22" t="str">
        <f>IF(R12&lt;&gt;"",VLOOKUP(P12,Constants!$D$3:$E$10,2),"")</f>
        <v/>
      </c>
    </row>
    <row r="13" spans="2:20" x14ac:dyDescent="0.25">
      <c r="B13" s="59"/>
      <c r="C13" s="59"/>
      <c r="D13" s="60"/>
      <c r="E13" s="59"/>
      <c r="F13" s="59" t="str">
        <f t="shared" si="15"/>
        <v/>
      </c>
      <c r="G13" s="59"/>
      <c r="H13" s="61"/>
      <c r="I13" s="61"/>
      <c r="J13" s="61"/>
      <c r="K13" s="62"/>
      <c r="L13" s="10" t="str">
        <f t="shared" si="7"/>
        <v/>
      </c>
      <c r="M13" s="10" t="str">
        <f t="shared" si="8"/>
        <v/>
      </c>
      <c r="N13" s="11" t="str">
        <f t="shared" si="9"/>
        <v/>
      </c>
      <c r="O13" s="10" t="str">
        <f t="shared" si="10"/>
        <v/>
      </c>
      <c r="P13" s="39" t="str">
        <f t="shared" si="11"/>
        <v/>
      </c>
      <c r="Q13" s="13" t="str">
        <f t="shared" si="14"/>
        <v/>
      </c>
      <c r="R13" s="13" t="str">
        <f t="shared" si="12"/>
        <v/>
      </c>
      <c r="S13" s="13" t="str">
        <f t="shared" si="13"/>
        <v/>
      </c>
      <c r="T13" s="22" t="str">
        <f>IF(R13&lt;&gt;"",VLOOKUP(P13,Constants!$D$3:$E$10,2),"")</f>
        <v/>
      </c>
    </row>
    <row r="14" spans="2:20" x14ac:dyDescent="0.25">
      <c r="B14" s="59"/>
      <c r="C14" s="59"/>
      <c r="D14" s="60"/>
      <c r="E14" s="59"/>
      <c r="F14" s="59" t="str">
        <f t="shared" si="15"/>
        <v/>
      </c>
      <c r="G14" s="59"/>
      <c r="H14" s="61"/>
      <c r="I14" s="61"/>
      <c r="J14" s="61"/>
      <c r="K14" s="62"/>
      <c r="L14" s="10" t="str">
        <f t="shared" si="7"/>
        <v/>
      </c>
      <c r="M14" s="10" t="str">
        <f t="shared" si="8"/>
        <v/>
      </c>
      <c r="N14" s="11" t="str">
        <f t="shared" si="9"/>
        <v/>
      </c>
      <c r="O14" s="10" t="str">
        <f t="shared" si="10"/>
        <v/>
      </c>
      <c r="P14" s="39" t="str">
        <f t="shared" si="11"/>
        <v/>
      </c>
      <c r="Q14" s="13" t="str">
        <f t="shared" si="14"/>
        <v/>
      </c>
      <c r="R14" s="13" t="str">
        <f t="shared" si="12"/>
        <v/>
      </c>
      <c r="S14" s="13" t="str">
        <f t="shared" si="13"/>
        <v/>
      </c>
      <c r="T14" s="22" t="str">
        <f>IF(R14&lt;&gt;"",VLOOKUP(P14,Constants!$D$3:$E$10,2),"")</f>
        <v/>
      </c>
    </row>
    <row r="15" spans="2:20" s="5" customFormat="1" ht="20.100000000000001" customHeight="1" x14ac:dyDescent="0.25">
      <c r="B15" s="67"/>
      <c r="C15" s="67"/>
      <c r="D15" s="68"/>
      <c r="E15" s="67"/>
      <c r="F15" s="59" t="str">
        <f t="shared" si="15"/>
        <v/>
      </c>
      <c r="G15" s="67"/>
      <c r="H15" s="69"/>
      <c r="I15" s="69"/>
      <c r="J15" s="69"/>
      <c r="K15" s="70"/>
      <c r="L15" s="10" t="str">
        <f t="shared" si="7"/>
        <v/>
      </c>
      <c r="M15" s="10" t="str">
        <f t="shared" si="8"/>
        <v/>
      </c>
      <c r="N15" s="11" t="str">
        <f t="shared" si="9"/>
        <v/>
      </c>
      <c r="O15" s="10" t="str">
        <f t="shared" si="10"/>
        <v/>
      </c>
      <c r="P15" s="39" t="str">
        <f t="shared" si="11"/>
        <v/>
      </c>
      <c r="Q15" s="13" t="str">
        <f t="shared" si="14"/>
        <v/>
      </c>
      <c r="R15" s="13" t="str">
        <f t="shared" si="12"/>
        <v/>
      </c>
      <c r="S15" s="13" t="str">
        <f t="shared" si="13"/>
        <v/>
      </c>
      <c r="T15" s="22" t="str">
        <f>IF(R15&lt;&gt;"",VLOOKUP(P15,Constants!$D$3:$E$10,2),"")</f>
        <v/>
      </c>
    </row>
    <row r="16" spans="2:20" x14ac:dyDescent="0.25">
      <c r="B16" s="59"/>
      <c r="C16" s="59"/>
      <c r="D16" s="60"/>
      <c r="E16" s="59"/>
      <c r="F16" s="59" t="str">
        <f t="shared" si="15"/>
        <v/>
      </c>
      <c r="G16" s="59"/>
      <c r="H16" s="61"/>
      <c r="I16" s="61"/>
      <c r="J16" s="61"/>
      <c r="K16" s="62"/>
      <c r="L16" s="10" t="str">
        <f t="shared" si="7"/>
        <v/>
      </c>
      <c r="M16" s="10" t="str">
        <f t="shared" si="8"/>
        <v/>
      </c>
      <c r="N16" s="11" t="str">
        <f t="shared" si="9"/>
        <v/>
      </c>
      <c r="O16" s="10" t="str">
        <f t="shared" si="10"/>
        <v/>
      </c>
      <c r="P16" s="39" t="str">
        <f t="shared" si="11"/>
        <v/>
      </c>
      <c r="Q16" s="13" t="str">
        <f t="shared" si="14"/>
        <v/>
      </c>
      <c r="R16" s="13" t="str">
        <f t="shared" si="12"/>
        <v/>
      </c>
      <c r="S16" s="13" t="str">
        <f t="shared" si="13"/>
        <v/>
      </c>
      <c r="T16" s="22" t="str">
        <f>IF(R16&lt;&gt;"",VLOOKUP(P16,Constants!$D$3:$E$10,2),"")</f>
        <v/>
      </c>
    </row>
    <row r="17" spans="2:20" x14ac:dyDescent="0.25">
      <c r="B17" s="59"/>
      <c r="C17" s="59"/>
      <c r="D17" s="60"/>
      <c r="E17" s="59"/>
      <c r="F17" s="59" t="str">
        <f t="shared" si="15"/>
        <v/>
      </c>
      <c r="G17" s="59"/>
      <c r="H17" s="61"/>
      <c r="I17" s="61"/>
      <c r="J17" s="61"/>
      <c r="K17" s="62"/>
      <c r="L17" s="10" t="str">
        <f t="shared" si="7"/>
        <v/>
      </c>
      <c r="M17" s="10" t="str">
        <f t="shared" si="8"/>
        <v/>
      </c>
      <c r="N17" s="11" t="str">
        <f t="shared" si="9"/>
        <v/>
      </c>
      <c r="O17" s="10" t="str">
        <f t="shared" si="10"/>
        <v/>
      </c>
      <c r="P17" s="39" t="str">
        <f t="shared" si="11"/>
        <v/>
      </c>
      <c r="Q17" s="13" t="str">
        <f t="shared" si="14"/>
        <v/>
      </c>
      <c r="R17" s="13" t="str">
        <f t="shared" si="12"/>
        <v/>
      </c>
      <c r="S17" s="13" t="str">
        <f t="shared" si="13"/>
        <v/>
      </c>
      <c r="T17" s="22" t="str">
        <f>IF(R17&lt;&gt;"",VLOOKUP(P17,Constants!$D$3:$E$10,2),"")</f>
        <v/>
      </c>
    </row>
    <row r="18" spans="2:20" x14ac:dyDescent="0.25">
      <c r="B18" s="59"/>
      <c r="C18" s="59"/>
      <c r="D18" s="60"/>
      <c r="E18" s="59"/>
      <c r="F18" s="59" t="str">
        <f t="shared" si="15"/>
        <v/>
      </c>
      <c r="G18" s="59"/>
      <c r="H18" s="61"/>
      <c r="I18" s="61"/>
      <c r="J18" s="61"/>
      <c r="K18" s="62"/>
      <c r="L18" s="10" t="str">
        <f t="shared" si="7"/>
        <v/>
      </c>
      <c r="M18" s="10" t="str">
        <f t="shared" si="8"/>
        <v/>
      </c>
      <c r="N18" s="11" t="str">
        <f t="shared" si="9"/>
        <v/>
      </c>
      <c r="O18" s="10" t="str">
        <f t="shared" si="10"/>
        <v/>
      </c>
      <c r="P18" s="39" t="str">
        <f t="shared" si="11"/>
        <v/>
      </c>
      <c r="Q18" s="13" t="str">
        <f t="shared" si="14"/>
        <v/>
      </c>
      <c r="R18" s="13" t="str">
        <f t="shared" si="12"/>
        <v/>
      </c>
      <c r="S18" s="13" t="str">
        <f t="shared" si="13"/>
        <v/>
      </c>
      <c r="T18" s="22" t="str">
        <f>IF(R18&lt;&gt;"",VLOOKUP(P18,Constants!$D$3:$E$10,2),"")</f>
        <v/>
      </c>
    </row>
    <row r="19" spans="2:20" x14ac:dyDescent="0.25">
      <c r="B19" s="59"/>
      <c r="C19" s="59"/>
      <c r="D19" s="60"/>
      <c r="E19" s="59"/>
      <c r="F19" s="59" t="str">
        <f t="shared" si="15"/>
        <v/>
      </c>
      <c r="G19" s="59"/>
      <c r="H19" s="61"/>
      <c r="I19" s="61"/>
      <c r="J19" s="61"/>
      <c r="K19" s="62"/>
      <c r="L19" s="10" t="str">
        <f t="shared" si="7"/>
        <v/>
      </c>
      <c r="M19" s="10" t="str">
        <f t="shared" si="8"/>
        <v/>
      </c>
      <c r="N19" s="11" t="str">
        <f t="shared" si="9"/>
        <v/>
      </c>
      <c r="O19" s="10" t="str">
        <f t="shared" si="10"/>
        <v/>
      </c>
      <c r="P19" s="39" t="str">
        <f t="shared" si="11"/>
        <v/>
      </c>
      <c r="Q19" s="13" t="str">
        <f t="shared" si="14"/>
        <v/>
      </c>
      <c r="R19" s="13" t="str">
        <f t="shared" si="12"/>
        <v/>
      </c>
      <c r="S19" s="13" t="str">
        <f t="shared" si="13"/>
        <v/>
      </c>
      <c r="T19" s="22" t="str">
        <f>IF(R19&lt;&gt;"",VLOOKUP(P19,Constants!$D$3:$E$10,2),"")</f>
        <v/>
      </c>
    </row>
    <row r="20" spans="2:20" x14ac:dyDescent="0.25">
      <c r="B20" s="59"/>
      <c r="C20" s="59"/>
      <c r="D20" s="60"/>
      <c r="E20" s="59"/>
      <c r="F20" s="59" t="str">
        <f t="shared" si="15"/>
        <v/>
      </c>
      <c r="G20" s="59"/>
      <c r="H20" s="61"/>
      <c r="I20" s="61"/>
      <c r="J20" s="61"/>
      <c r="K20" s="62"/>
      <c r="L20" s="10" t="str">
        <f t="shared" si="7"/>
        <v/>
      </c>
      <c r="M20" s="10" t="str">
        <f t="shared" si="8"/>
        <v/>
      </c>
      <c r="N20" s="11" t="str">
        <f t="shared" si="9"/>
        <v/>
      </c>
      <c r="O20" s="10" t="str">
        <f t="shared" si="10"/>
        <v/>
      </c>
      <c r="P20" s="39" t="str">
        <f t="shared" si="11"/>
        <v/>
      </c>
      <c r="Q20" s="13" t="str">
        <f t="shared" si="14"/>
        <v/>
      </c>
      <c r="R20" s="13" t="str">
        <f t="shared" si="12"/>
        <v/>
      </c>
      <c r="S20" s="13" t="str">
        <f t="shared" si="13"/>
        <v/>
      </c>
      <c r="T20" s="22" t="str">
        <f>IF(R20&lt;&gt;"",VLOOKUP(P20,Constants!$D$3:$E$10,2),"")</f>
        <v/>
      </c>
    </row>
    <row r="21" spans="2:20" x14ac:dyDescent="0.25">
      <c r="B21" s="59"/>
      <c r="C21" s="59"/>
      <c r="D21" s="60"/>
      <c r="E21" s="59"/>
      <c r="F21" s="59" t="str">
        <f t="shared" si="15"/>
        <v/>
      </c>
      <c r="G21" s="59"/>
      <c r="H21" s="61"/>
      <c r="I21" s="61"/>
      <c r="J21" s="61"/>
      <c r="K21" s="62"/>
      <c r="L21" s="10" t="str">
        <f t="shared" si="7"/>
        <v/>
      </c>
      <c r="M21" s="10" t="str">
        <f t="shared" si="8"/>
        <v/>
      </c>
      <c r="N21" s="11" t="str">
        <f t="shared" si="9"/>
        <v/>
      </c>
      <c r="O21" s="10" t="str">
        <f t="shared" si="10"/>
        <v/>
      </c>
      <c r="P21" s="39" t="str">
        <f t="shared" si="11"/>
        <v/>
      </c>
      <c r="Q21" s="13" t="str">
        <f t="shared" si="14"/>
        <v/>
      </c>
      <c r="R21" s="13" t="str">
        <f t="shared" si="12"/>
        <v/>
      </c>
      <c r="S21" s="13" t="str">
        <f t="shared" si="13"/>
        <v/>
      </c>
      <c r="T21" s="22" t="str">
        <f>IF(R21&lt;&gt;"",VLOOKUP(P21,Constants!$D$3:$E$10,2),"")</f>
        <v/>
      </c>
    </row>
    <row r="22" spans="2:20" x14ac:dyDescent="0.25">
      <c r="B22" s="59"/>
      <c r="C22" s="59"/>
      <c r="D22" s="60"/>
      <c r="E22" s="59"/>
      <c r="F22" s="59" t="str">
        <f t="shared" si="15"/>
        <v/>
      </c>
      <c r="G22" s="59"/>
      <c r="H22" s="61"/>
      <c r="I22" s="61"/>
      <c r="J22" s="61"/>
      <c r="K22" s="62"/>
      <c r="L22" s="10" t="str">
        <f t="shared" si="7"/>
        <v/>
      </c>
      <c r="M22" s="10" t="str">
        <f t="shared" si="8"/>
        <v/>
      </c>
      <c r="N22" s="11" t="str">
        <f t="shared" si="9"/>
        <v/>
      </c>
      <c r="O22" s="10" t="str">
        <f t="shared" si="10"/>
        <v/>
      </c>
      <c r="P22" s="39" t="str">
        <f t="shared" si="11"/>
        <v/>
      </c>
      <c r="Q22" s="13" t="str">
        <f t="shared" si="14"/>
        <v/>
      </c>
      <c r="R22" s="13" t="str">
        <f t="shared" si="12"/>
        <v/>
      </c>
      <c r="S22" s="13" t="str">
        <f t="shared" si="13"/>
        <v/>
      </c>
      <c r="T22" s="22" t="str">
        <f>IF(R22&lt;&gt;"",VLOOKUP(P22,Constants!$D$3:$E$10,2),"")</f>
        <v/>
      </c>
    </row>
    <row r="23" spans="2:20" x14ac:dyDescent="0.25">
      <c r="B23" s="59"/>
      <c r="C23" s="59"/>
      <c r="D23" s="60"/>
      <c r="E23" s="59"/>
      <c r="F23" s="59" t="str">
        <f t="shared" si="15"/>
        <v/>
      </c>
      <c r="G23" s="59"/>
      <c r="H23" s="61"/>
      <c r="I23" s="61"/>
      <c r="J23" s="61"/>
      <c r="K23" s="62"/>
      <c r="L23" s="10" t="str">
        <f t="shared" si="7"/>
        <v/>
      </c>
      <c r="M23" s="10" t="str">
        <f t="shared" si="8"/>
        <v/>
      </c>
      <c r="N23" s="11" t="str">
        <f t="shared" si="9"/>
        <v/>
      </c>
      <c r="O23" s="10" t="str">
        <f t="shared" si="10"/>
        <v/>
      </c>
      <c r="P23" s="39" t="str">
        <f t="shared" si="11"/>
        <v/>
      </c>
      <c r="Q23" s="13" t="str">
        <f t="shared" si="14"/>
        <v/>
      </c>
      <c r="R23" s="13" t="str">
        <f t="shared" si="12"/>
        <v/>
      </c>
      <c r="S23" s="13" t="str">
        <f t="shared" si="13"/>
        <v/>
      </c>
      <c r="T23" s="22" t="str">
        <f>IF(R23&lt;&gt;"",VLOOKUP(P23,Constants!$D$3:$E$10,2),"")</f>
        <v/>
      </c>
    </row>
    <row r="24" spans="2:20" x14ac:dyDescent="0.25">
      <c r="B24" s="59"/>
      <c r="C24" s="59"/>
      <c r="D24" s="60"/>
      <c r="E24" s="59"/>
      <c r="F24" s="59" t="str">
        <f t="shared" si="15"/>
        <v/>
      </c>
      <c r="G24" s="59"/>
      <c r="H24" s="61"/>
      <c r="I24" s="61"/>
      <c r="J24" s="61"/>
      <c r="K24" s="62"/>
      <c r="L24" s="10" t="str">
        <f t="shared" si="7"/>
        <v/>
      </c>
      <c r="M24" s="10" t="str">
        <f t="shared" si="8"/>
        <v/>
      </c>
      <c r="N24" s="11" t="str">
        <f t="shared" ref="N24:N79" si="16">IF($L24&lt;&gt;"",SQRT($L24*$L24+$M24*$M24),"")</f>
        <v/>
      </c>
      <c r="O24" s="10" t="str">
        <f t="shared" ref="O24:O86" si="17">IF(D24&lt;&gt;"",1000/(2*D24),"")</f>
        <v/>
      </c>
      <c r="P24" s="39" t="str">
        <f t="shared" ref="P24:P86" si="18">IF($N24&lt;&gt;"",D24*SQRT(E24*E24+F24*F24)/16000,"")</f>
        <v/>
      </c>
      <c r="Q24" s="13" t="str">
        <f t="shared" si="14"/>
        <v/>
      </c>
      <c r="R24" s="13" t="str">
        <f t="shared" ref="R24:R86" si="19">IF(G24&lt;&gt;"",1000/G24,"")</f>
        <v/>
      </c>
      <c r="S24" s="13" t="str">
        <f t="shared" si="13"/>
        <v/>
      </c>
      <c r="T24" s="22" t="str">
        <f>IF(R24&lt;&gt;"",VLOOKUP(P24,Constants!$D$3:$E$10,2),"")</f>
        <v/>
      </c>
    </row>
    <row r="25" spans="2:20" x14ac:dyDescent="0.25">
      <c r="B25" s="59"/>
      <c r="C25" s="59"/>
      <c r="D25" s="60"/>
      <c r="E25" s="59"/>
      <c r="F25" s="59" t="str">
        <f t="shared" si="15"/>
        <v/>
      </c>
      <c r="G25" s="59"/>
      <c r="H25" s="61"/>
      <c r="I25" s="61"/>
      <c r="J25" s="61"/>
      <c r="K25" s="62"/>
      <c r="L25" s="10" t="str">
        <f t="shared" si="7"/>
        <v/>
      </c>
      <c r="M25" s="10" t="str">
        <f t="shared" si="8"/>
        <v/>
      </c>
      <c r="N25" s="11" t="str">
        <f t="shared" si="16"/>
        <v/>
      </c>
      <c r="O25" s="10" t="str">
        <f t="shared" si="17"/>
        <v/>
      </c>
      <c r="P25" s="39" t="str">
        <f t="shared" si="18"/>
        <v/>
      </c>
      <c r="Q25" s="13" t="str">
        <f t="shared" si="14"/>
        <v/>
      </c>
      <c r="R25" s="13" t="str">
        <f t="shared" si="19"/>
        <v/>
      </c>
      <c r="S25" s="13" t="str">
        <f t="shared" si="13"/>
        <v/>
      </c>
      <c r="T25" s="22" t="str">
        <f>IF(R25&lt;&gt;"",VLOOKUP(P25,Constants!$D$3:$E$10,2),"")</f>
        <v/>
      </c>
    </row>
    <row r="26" spans="2:20" x14ac:dyDescent="0.25">
      <c r="B26" s="59"/>
      <c r="C26" s="59"/>
      <c r="D26" s="60"/>
      <c r="E26" s="59"/>
      <c r="F26" s="59" t="str">
        <f t="shared" si="15"/>
        <v/>
      </c>
      <c r="G26" s="59"/>
      <c r="H26" s="61"/>
      <c r="I26" s="61"/>
      <c r="J26" s="61"/>
      <c r="K26" s="62"/>
      <c r="L26" s="10" t="str">
        <f t="shared" si="7"/>
        <v/>
      </c>
      <c r="M26" s="10" t="str">
        <f t="shared" si="8"/>
        <v/>
      </c>
      <c r="N26" s="11" t="str">
        <f t="shared" si="16"/>
        <v/>
      </c>
      <c r="O26" s="10" t="str">
        <f t="shared" si="17"/>
        <v/>
      </c>
      <c r="P26" s="39" t="str">
        <f t="shared" si="18"/>
        <v/>
      </c>
      <c r="Q26" s="13" t="str">
        <f t="shared" si="14"/>
        <v/>
      </c>
      <c r="R26" s="13" t="str">
        <f t="shared" si="19"/>
        <v/>
      </c>
      <c r="S26" s="13" t="str">
        <f t="shared" si="13"/>
        <v/>
      </c>
      <c r="T26" s="22" t="str">
        <f>IF(R26&lt;&gt;"",VLOOKUP(P26,Constants!$D$3:$E$10,2),"")</f>
        <v/>
      </c>
    </row>
    <row r="27" spans="2:20" x14ac:dyDescent="0.25">
      <c r="B27" s="59"/>
      <c r="C27" s="59"/>
      <c r="D27" s="60"/>
      <c r="E27" s="59"/>
      <c r="F27" s="59" t="str">
        <f t="shared" si="15"/>
        <v/>
      </c>
      <c r="G27" s="59"/>
      <c r="H27" s="61"/>
      <c r="I27" s="61"/>
      <c r="J27" s="61"/>
      <c r="K27" s="62"/>
      <c r="L27" s="10" t="str">
        <f t="shared" si="7"/>
        <v/>
      </c>
      <c r="M27" s="10" t="str">
        <f t="shared" si="8"/>
        <v/>
      </c>
      <c r="N27" s="11" t="str">
        <f t="shared" si="16"/>
        <v/>
      </c>
      <c r="O27" s="10" t="str">
        <f t="shared" si="17"/>
        <v/>
      </c>
      <c r="P27" s="39" t="str">
        <f t="shared" si="18"/>
        <v/>
      </c>
      <c r="Q27" s="13" t="str">
        <f t="shared" si="14"/>
        <v/>
      </c>
      <c r="R27" s="13" t="str">
        <f t="shared" si="19"/>
        <v/>
      </c>
      <c r="S27" s="13" t="str">
        <f t="shared" si="13"/>
        <v/>
      </c>
      <c r="T27" s="22" t="str">
        <f>IF(R27&lt;&gt;"",VLOOKUP(P27,Constants!$D$3:$E$10,2),"")</f>
        <v/>
      </c>
    </row>
    <row r="28" spans="2:20" x14ac:dyDescent="0.25">
      <c r="B28" s="59"/>
      <c r="C28" s="59"/>
      <c r="D28" s="60"/>
      <c r="E28" s="59"/>
      <c r="F28" s="59" t="str">
        <f t="shared" si="15"/>
        <v/>
      </c>
      <c r="G28" s="59"/>
      <c r="H28" s="61"/>
      <c r="I28" s="61"/>
      <c r="J28" s="61"/>
      <c r="K28" s="62"/>
      <c r="L28" s="10" t="str">
        <f t="shared" si="7"/>
        <v/>
      </c>
      <c r="M28" s="10" t="str">
        <f t="shared" si="8"/>
        <v/>
      </c>
      <c r="N28" s="11" t="str">
        <f t="shared" si="16"/>
        <v/>
      </c>
      <c r="O28" s="10" t="str">
        <f t="shared" si="17"/>
        <v/>
      </c>
      <c r="P28" s="39" t="str">
        <f t="shared" si="18"/>
        <v/>
      </c>
      <c r="Q28" s="13" t="str">
        <f t="shared" si="14"/>
        <v/>
      </c>
      <c r="R28" s="13" t="str">
        <f t="shared" si="19"/>
        <v/>
      </c>
      <c r="S28" s="13" t="str">
        <f t="shared" si="13"/>
        <v/>
      </c>
      <c r="T28" s="22" t="str">
        <f>IF(R28&lt;&gt;"",VLOOKUP(P28,Constants!$D$3:$E$10,2),"")</f>
        <v/>
      </c>
    </row>
    <row r="29" spans="2:20" x14ac:dyDescent="0.25">
      <c r="B29" s="59"/>
      <c r="C29" s="59"/>
      <c r="D29" s="60"/>
      <c r="E29" s="59"/>
      <c r="F29" s="59" t="str">
        <f t="shared" si="15"/>
        <v/>
      </c>
      <c r="G29" s="59"/>
      <c r="H29" s="61"/>
      <c r="I29" s="61"/>
      <c r="J29" s="61"/>
      <c r="K29" s="62"/>
      <c r="L29" s="10" t="str">
        <f t="shared" si="7"/>
        <v/>
      </c>
      <c r="M29" s="10" t="str">
        <f t="shared" si="8"/>
        <v/>
      </c>
      <c r="N29" s="11" t="str">
        <f t="shared" si="16"/>
        <v/>
      </c>
      <c r="O29" s="10" t="str">
        <f t="shared" si="17"/>
        <v/>
      </c>
      <c r="P29" s="39" t="str">
        <f t="shared" si="18"/>
        <v/>
      </c>
      <c r="Q29" s="13" t="str">
        <f t="shared" si="14"/>
        <v/>
      </c>
      <c r="R29" s="13" t="str">
        <f t="shared" si="19"/>
        <v/>
      </c>
      <c r="S29" s="13" t="str">
        <f t="shared" si="13"/>
        <v/>
      </c>
      <c r="T29" s="22" t="str">
        <f>IF(R29&lt;&gt;"",VLOOKUP(P29,Constants!$D$3:$E$10,2),"")</f>
        <v/>
      </c>
    </row>
    <row r="30" spans="2:20" x14ac:dyDescent="0.25">
      <c r="B30" s="59"/>
      <c r="C30" s="59"/>
      <c r="D30" s="60"/>
      <c r="E30" s="59"/>
      <c r="F30" s="59" t="str">
        <f t="shared" si="15"/>
        <v/>
      </c>
      <c r="G30" s="59"/>
      <c r="H30" s="61"/>
      <c r="I30" s="61"/>
      <c r="J30" s="61"/>
      <c r="K30" s="62"/>
      <c r="L30" s="10" t="str">
        <f t="shared" si="7"/>
        <v/>
      </c>
      <c r="M30" s="10" t="str">
        <f t="shared" si="8"/>
        <v/>
      </c>
      <c r="N30" s="11" t="str">
        <f t="shared" si="16"/>
        <v/>
      </c>
      <c r="O30" s="10" t="str">
        <f t="shared" si="17"/>
        <v/>
      </c>
      <c r="P30" s="39" t="str">
        <f t="shared" si="18"/>
        <v/>
      </c>
      <c r="Q30" s="13" t="str">
        <f t="shared" si="14"/>
        <v/>
      </c>
      <c r="R30" s="13" t="str">
        <f t="shared" si="19"/>
        <v/>
      </c>
      <c r="S30" s="13" t="str">
        <f t="shared" si="13"/>
        <v/>
      </c>
      <c r="T30" s="22" t="str">
        <f>IF(R30&lt;&gt;"",VLOOKUP(P30,Constants!$D$3:$E$10,2),"")</f>
        <v/>
      </c>
    </row>
    <row r="31" spans="2:20" x14ac:dyDescent="0.25">
      <c r="B31" s="59"/>
      <c r="C31" s="59"/>
      <c r="D31" s="60"/>
      <c r="E31" s="59"/>
      <c r="F31" s="59" t="str">
        <f t="shared" si="15"/>
        <v/>
      </c>
      <c r="G31" s="59"/>
      <c r="H31" s="61"/>
      <c r="I31" s="61"/>
      <c r="J31" s="61"/>
      <c r="K31" s="62"/>
      <c r="L31" s="10" t="str">
        <f t="shared" si="7"/>
        <v/>
      </c>
      <c r="M31" s="10" t="str">
        <f t="shared" si="8"/>
        <v/>
      </c>
      <c r="N31" s="11" t="str">
        <f t="shared" si="16"/>
        <v/>
      </c>
      <c r="O31" s="10" t="str">
        <f t="shared" si="17"/>
        <v/>
      </c>
      <c r="P31" s="39" t="str">
        <f t="shared" si="18"/>
        <v/>
      </c>
      <c r="Q31" s="13" t="str">
        <f t="shared" si="14"/>
        <v/>
      </c>
      <c r="R31" s="13" t="str">
        <f t="shared" si="19"/>
        <v/>
      </c>
      <c r="S31" s="13" t="str">
        <f t="shared" si="13"/>
        <v/>
      </c>
      <c r="T31" s="22" t="str">
        <f>IF(R31&lt;&gt;"",VLOOKUP(P31,Constants!$D$3:$E$10,2),"")</f>
        <v/>
      </c>
    </row>
    <row r="32" spans="2:20" x14ac:dyDescent="0.25">
      <c r="B32" s="59"/>
      <c r="C32" s="59"/>
      <c r="D32" s="60"/>
      <c r="E32" s="59"/>
      <c r="F32" s="59" t="str">
        <f t="shared" si="15"/>
        <v/>
      </c>
      <c r="G32" s="59"/>
      <c r="H32" s="61"/>
      <c r="I32" s="61"/>
      <c r="J32" s="61"/>
      <c r="K32" s="62"/>
      <c r="L32" s="10" t="str">
        <f t="shared" si="7"/>
        <v/>
      </c>
      <c r="M32" s="10" t="str">
        <f t="shared" si="8"/>
        <v/>
      </c>
      <c r="N32" s="11" t="str">
        <f t="shared" si="16"/>
        <v/>
      </c>
      <c r="O32" s="10" t="str">
        <f t="shared" si="17"/>
        <v/>
      </c>
      <c r="P32" s="39" t="str">
        <f t="shared" si="18"/>
        <v/>
      </c>
      <c r="Q32" s="13" t="str">
        <f t="shared" si="14"/>
        <v/>
      </c>
      <c r="R32" s="13" t="str">
        <f t="shared" si="19"/>
        <v/>
      </c>
      <c r="S32" s="13" t="str">
        <f t="shared" si="13"/>
        <v/>
      </c>
      <c r="T32" s="22" t="str">
        <f>IF(R32&lt;&gt;"",VLOOKUP(P32,Constants!$D$3:$E$10,2),"")</f>
        <v/>
      </c>
    </row>
    <row r="33" spans="2:20" x14ac:dyDescent="0.25">
      <c r="B33" s="59"/>
      <c r="C33" s="59"/>
      <c r="D33" s="60"/>
      <c r="E33" s="59"/>
      <c r="F33" s="59" t="str">
        <f t="shared" si="15"/>
        <v/>
      </c>
      <c r="G33" s="59"/>
      <c r="H33" s="61"/>
      <c r="I33" s="61"/>
      <c r="J33" s="61"/>
      <c r="K33" s="62"/>
      <c r="L33" s="10" t="str">
        <f t="shared" si="7"/>
        <v/>
      </c>
      <c r="M33" s="10" t="str">
        <f t="shared" si="8"/>
        <v/>
      </c>
      <c r="N33" s="11" t="str">
        <f t="shared" si="16"/>
        <v/>
      </c>
      <c r="O33" s="10" t="str">
        <f t="shared" si="17"/>
        <v/>
      </c>
      <c r="P33" s="39" t="str">
        <f t="shared" si="18"/>
        <v/>
      </c>
      <c r="Q33" s="13" t="str">
        <f t="shared" si="14"/>
        <v/>
      </c>
      <c r="R33" s="13" t="str">
        <f t="shared" si="19"/>
        <v/>
      </c>
      <c r="S33" s="13" t="str">
        <f t="shared" si="13"/>
        <v/>
      </c>
      <c r="T33" s="22" t="str">
        <f>IF(R33&lt;&gt;"",VLOOKUP(P33,Constants!$D$3:$E$10,2),"")</f>
        <v/>
      </c>
    </row>
    <row r="34" spans="2:20" x14ac:dyDescent="0.25">
      <c r="B34" s="59"/>
      <c r="C34" s="59"/>
      <c r="D34" s="60"/>
      <c r="E34" s="59"/>
      <c r="F34" s="59" t="str">
        <f t="shared" si="15"/>
        <v/>
      </c>
      <c r="G34" s="59"/>
      <c r="H34" s="61"/>
      <c r="I34" s="61"/>
      <c r="J34" s="61"/>
      <c r="K34" s="62"/>
      <c r="L34" s="10" t="str">
        <f t="shared" si="7"/>
        <v/>
      </c>
      <c r="M34" s="10" t="str">
        <f t="shared" si="8"/>
        <v/>
      </c>
      <c r="N34" s="11" t="str">
        <f t="shared" si="16"/>
        <v/>
      </c>
      <c r="O34" s="10" t="str">
        <f t="shared" si="17"/>
        <v/>
      </c>
      <c r="P34" s="39" t="str">
        <f t="shared" si="18"/>
        <v/>
      </c>
      <c r="Q34" s="13" t="str">
        <f t="shared" si="14"/>
        <v/>
      </c>
      <c r="R34" s="13" t="str">
        <f t="shared" si="19"/>
        <v/>
      </c>
      <c r="S34" s="13" t="str">
        <f t="shared" si="13"/>
        <v/>
      </c>
      <c r="T34" s="22" t="str">
        <f>IF(R34&lt;&gt;"",VLOOKUP(P34,Constants!$D$3:$E$10,2),"")</f>
        <v/>
      </c>
    </row>
    <row r="35" spans="2:20" x14ac:dyDescent="0.25">
      <c r="B35" s="59"/>
      <c r="C35" s="59"/>
      <c r="D35" s="60"/>
      <c r="E35" s="59"/>
      <c r="F35" s="59" t="str">
        <f t="shared" si="15"/>
        <v/>
      </c>
      <c r="G35" s="59"/>
      <c r="H35" s="61"/>
      <c r="I35" s="61"/>
      <c r="J35" s="61"/>
      <c r="K35" s="62"/>
      <c r="L35" s="10" t="str">
        <f t="shared" si="7"/>
        <v/>
      </c>
      <c r="M35" s="10" t="str">
        <f t="shared" si="8"/>
        <v/>
      </c>
      <c r="N35" s="11" t="str">
        <f t="shared" si="16"/>
        <v/>
      </c>
      <c r="O35" s="10" t="str">
        <f t="shared" si="17"/>
        <v/>
      </c>
      <c r="P35" s="39" t="str">
        <f t="shared" si="18"/>
        <v/>
      </c>
      <c r="Q35" s="13" t="str">
        <f t="shared" si="14"/>
        <v/>
      </c>
      <c r="R35" s="13" t="str">
        <f t="shared" si="19"/>
        <v/>
      </c>
      <c r="S35" s="13" t="str">
        <f t="shared" si="13"/>
        <v/>
      </c>
      <c r="T35" s="22" t="str">
        <f>IF(R35&lt;&gt;"",VLOOKUP(P35,Constants!$D$3:$E$10,2),"")</f>
        <v/>
      </c>
    </row>
    <row r="36" spans="2:20" x14ac:dyDescent="0.25">
      <c r="B36" s="59"/>
      <c r="C36" s="59"/>
      <c r="D36" s="60"/>
      <c r="E36" s="59"/>
      <c r="F36" s="59" t="str">
        <f t="shared" si="15"/>
        <v/>
      </c>
      <c r="G36" s="59"/>
      <c r="H36" s="61"/>
      <c r="I36" s="61"/>
      <c r="J36" s="61"/>
      <c r="K36" s="62"/>
      <c r="L36" s="10" t="str">
        <f t="shared" si="7"/>
        <v/>
      </c>
      <c r="M36" s="10" t="str">
        <f t="shared" si="8"/>
        <v/>
      </c>
      <c r="N36" s="11" t="str">
        <f t="shared" si="16"/>
        <v/>
      </c>
      <c r="O36" s="10" t="str">
        <f t="shared" si="17"/>
        <v/>
      </c>
      <c r="P36" s="39" t="str">
        <f t="shared" si="18"/>
        <v/>
      </c>
      <c r="Q36" s="13" t="str">
        <f t="shared" si="14"/>
        <v/>
      </c>
      <c r="R36" s="13" t="str">
        <f t="shared" si="19"/>
        <v/>
      </c>
      <c r="S36" s="13" t="str">
        <f t="shared" si="13"/>
        <v/>
      </c>
      <c r="T36" s="22" t="str">
        <f>IF(R36&lt;&gt;"",VLOOKUP(P36,Constants!$D$3:$E$10,2),"")</f>
        <v/>
      </c>
    </row>
    <row r="37" spans="2:20" x14ac:dyDescent="0.25">
      <c r="B37" s="59"/>
      <c r="C37" s="59"/>
      <c r="D37" s="60"/>
      <c r="E37" s="59"/>
      <c r="F37" s="59" t="str">
        <f t="shared" si="15"/>
        <v/>
      </c>
      <c r="G37" s="59"/>
      <c r="H37" s="61"/>
      <c r="I37" s="61"/>
      <c r="J37" s="61"/>
      <c r="K37" s="62"/>
      <c r="L37" s="10" t="str">
        <f t="shared" si="7"/>
        <v/>
      </c>
      <c r="M37" s="10" t="str">
        <f t="shared" si="8"/>
        <v/>
      </c>
      <c r="N37" s="11" t="str">
        <f t="shared" si="16"/>
        <v/>
      </c>
      <c r="O37" s="10" t="str">
        <f t="shared" si="17"/>
        <v/>
      </c>
      <c r="P37" s="39" t="str">
        <f t="shared" si="18"/>
        <v/>
      </c>
      <c r="Q37" s="13" t="str">
        <f t="shared" si="14"/>
        <v/>
      </c>
      <c r="R37" s="13" t="str">
        <f t="shared" si="19"/>
        <v/>
      </c>
      <c r="S37" s="13" t="str">
        <f t="shared" si="13"/>
        <v/>
      </c>
      <c r="T37" s="22" t="str">
        <f>IF(R37&lt;&gt;"",VLOOKUP(P37,Constants!$D$3:$E$10,2),"")</f>
        <v/>
      </c>
    </row>
    <row r="38" spans="2:20" x14ac:dyDescent="0.25">
      <c r="B38" s="59"/>
      <c r="C38" s="59"/>
      <c r="D38" s="60"/>
      <c r="E38" s="59"/>
      <c r="F38" s="59" t="str">
        <f t="shared" si="15"/>
        <v/>
      </c>
      <c r="G38" s="59"/>
      <c r="H38" s="61"/>
      <c r="I38" s="61"/>
      <c r="J38" s="61"/>
      <c r="K38" s="62"/>
      <c r="L38" s="10" t="str">
        <f t="shared" si="7"/>
        <v/>
      </c>
      <c r="M38" s="10" t="str">
        <f t="shared" si="8"/>
        <v/>
      </c>
      <c r="N38" s="11" t="str">
        <f t="shared" si="16"/>
        <v/>
      </c>
      <c r="O38" s="10" t="str">
        <f t="shared" si="17"/>
        <v/>
      </c>
      <c r="P38" s="39" t="str">
        <f t="shared" si="18"/>
        <v/>
      </c>
      <c r="Q38" s="13" t="str">
        <f t="shared" si="14"/>
        <v/>
      </c>
      <c r="R38" s="13" t="str">
        <f t="shared" si="19"/>
        <v/>
      </c>
      <c r="S38" s="13" t="str">
        <f t="shared" si="13"/>
        <v/>
      </c>
      <c r="T38" s="22" t="str">
        <f>IF(R38&lt;&gt;"",VLOOKUP(P38,Constants!$D$3:$E$10,2),"")</f>
        <v/>
      </c>
    </row>
    <row r="39" spans="2:20" x14ac:dyDescent="0.25">
      <c r="B39" s="59"/>
      <c r="C39" s="59"/>
      <c r="D39" s="60"/>
      <c r="E39" s="59"/>
      <c r="F39" s="59" t="str">
        <f t="shared" si="15"/>
        <v/>
      </c>
      <c r="G39" s="59"/>
      <c r="H39" s="61"/>
      <c r="I39" s="61"/>
      <c r="J39" s="61"/>
      <c r="K39" s="62"/>
      <c r="L39" s="10" t="str">
        <f t="shared" si="7"/>
        <v/>
      </c>
      <c r="M39" s="10" t="str">
        <f t="shared" si="8"/>
        <v/>
      </c>
      <c r="N39" s="11" t="str">
        <f t="shared" si="16"/>
        <v/>
      </c>
      <c r="O39" s="10" t="str">
        <f t="shared" si="17"/>
        <v/>
      </c>
      <c r="P39" s="39" t="str">
        <f t="shared" si="18"/>
        <v/>
      </c>
      <c r="Q39" s="13" t="str">
        <f t="shared" si="14"/>
        <v/>
      </c>
      <c r="R39" s="13" t="str">
        <f t="shared" si="19"/>
        <v/>
      </c>
      <c r="S39" s="13" t="str">
        <f t="shared" si="13"/>
        <v/>
      </c>
      <c r="T39" s="22" t="str">
        <f>IF(R39&lt;&gt;"",VLOOKUP(P39,Constants!$D$3:$E$10,2),"")</f>
        <v/>
      </c>
    </row>
    <row r="40" spans="2:20" x14ac:dyDescent="0.25">
      <c r="B40" s="59"/>
      <c r="C40" s="59"/>
      <c r="D40" s="60"/>
      <c r="E40" s="59"/>
      <c r="F40" s="59" t="str">
        <f t="shared" si="15"/>
        <v/>
      </c>
      <c r="G40" s="59"/>
      <c r="H40" s="61"/>
      <c r="I40" s="61"/>
      <c r="J40" s="61"/>
      <c r="K40" s="62"/>
      <c r="L40" s="10" t="str">
        <f t="shared" si="7"/>
        <v/>
      </c>
      <c r="M40" s="10" t="str">
        <f t="shared" si="8"/>
        <v/>
      </c>
      <c r="N40" s="11" t="str">
        <f t="shared" si="16"/>
        <v/>
      </c>
      <c r="O40" s="10" t="str">
        <f t="shared" si="17"/>
        <v/>
      </c>
      <c r="P40" s="39" t="str">
        <f t="shared" si="18"/>
        <v/>
      </c>
      <c r="Q40" s="13" t="str">
        <f t="shared" si="14"/>
        <v/>
      </c>
      <c r="R40" s="13" t="str">
        <f t="shared" si="19"/>
        <v/>
      </c>
      <c r="S40" s="13" t="str">
        <f t="shared" si="13"/>
        <v/>
      </c>
      <c r="T40" s="22" t="str">
        <f>IF(R40&lt;&gt;"",VLOOKUP(P40,Constants!$D$3:$E$10,2),"")</f>
        <v/>
      </c>
    </row>
    <row r="41" spans="2:20" x14ac:dyDescent="0.25">
      <c r="B41" s="59"/>
      <c r="C41" s="59"/>
      <c r="D41" s="60"/>
      <c r="E41" s="59"/>
      <c r="F41" s="59" t="str">
        <f t="shared" si="15"/>
        <v/>
      </c>
      <c r="G41" s="59"/>
      <c r="H41" s="61"/>
      <c r="I41" s="61"/>
      <c r="J41" s="61"/>
      <c r="K41" s="62"/>
      <c r="L41" s="10" t="str">
        <f t="shared" si="7"/>
        <v/>
      </c>
      <c r="M41" s="10" t="str">
        <f t="shared" si="8"/>
        <v/>
      </c>
      <c r="N41" s="11" t="str">
        <f t="shared" si="16"/>
        <v/>
      </c>
      <c r="O41" s="10" t="str">
        <f t="shared" si="17"/>
        <v/>
      </c>
      <c r="P41" s="39" t="str">
        <f t="shared" si="18"/>
        <v/>
      </c>
      <c r="Q41" s="13" t="str">
        <f t="shared" si="14"/>
        <v/>
      </c>
      <c r="R41" s="13" t="str">
        <f t="shared" si="19"/>
        <v/>
      </c>
      <c r="S41" s="13" t="str">
        <f t="shared" si="13"/>
        <v/>
      </c>
      <c r="T41" s="22" t="str">
        <f>IF(R41&lt;&gt;"",VLOOKUP(P41,Constants!$D$3:$E$10,2),"")</f>
        <v/>
      </c>
    </row>
    <row r="42" spans="2:20" x14ac:dyDescent="0.25">
      <c r="B42" s="59"/>
      <c r="C42" s="59"/>
      <c r="D42" s="60"/>
      <c r="E42" s="59"/>
      <c r="F42" s="59" t="str">
        <f t="shared" si="15"/>
        <v/>
      </c>
      <c r="G42" s="59"/>
      <c r="H42" s="61"/>
      <c r="I42" s="61"/>
      <c r="J42" s="61"/>
      <c r="K42" s="62"/>
      <c r="L42" s="10" t="str">
        <f t="shared" si="7"/>
        <v/>
      </c>
      <c r="M42" s="10" t="str">
        <f t="shared" si="8"/>
        <v/>
      </c>
      <c r="N42" s="11" t="str">
        <f t="shared" si="16"/>
        <v/>
      </c>
      <c r="O42" s="10" t="str">
        <f t="shared" si="17"/>
        <v/>
      </c>
      <c r="P42" s="39" t="str">
        <f t="shared" si="18"/>
        <v/>
      </c>
      <c r="Q42" s="13" t="str">
        <f t="shared" si="14"/>
        <v/>
      </c>
      <c r="R42" s="13" t="str">
        <f t="shared" si="19"/>
        <v/>
      </c>
      <c r="S42" s="13" t="str">
        <f t="shared" si="13"/>
        <v/>
      </c>
      <c r="T42" s="22" t="str">
        <f>IF(R42&lt;&gt;"",VLOOKUP(P42,Constants!$D$3:$E$10,2),"")</f>
        <v/>
      </c>
    </row>
    <row r="43" spans="2:20" x14ac:dyDescent="0.25">
      <c r="B43" s="59"/>
      <c r="C43" s="59"/>
      <c r="D43" s="60"/>
      <c r="E43" s="59"/>
      <c r="F43" s="59" t="str">
        <f t="shared" si="15"/>
        <v/>
      </c>
      <c r="G43" s="59"/>
      <c r="H43" s="61"/>
      <c r="I43" s="61"/>
      <c r="J43" s="61"/>
      <c r="K43" s="62"/>
      <c r="L43" s="10" t="str">
        <f t="shared" si="7"/>
        <v/>
      </c>
      <c r="M43" s="10" t="str">
        <f t="shared" si="8"/>
        <v/>
      </c>
      <c r="N43" s="11" t="str">
        <f t="shared" si="16"/>
        <v/>
      </c>
      <c r="O43" s="10" t="str">
        <f t="shared" si="17"/>
        <v/>
      </c>
      <c r="P43" s="39" t="str">
        <f t="shared" si="18"/>
        <v/>
      </c>
      <c r="Q43" s="13" t="str">
        <f t="shared" si="14"/>
        <v/>
      </c>
      <c r="R43" s="13" t="str">
        <f t="shared" si="19"/>
        <v/>
      </c>
      <c r="S43" s="13" t="str">
        <f t="shared" si="13"/>
        <v/>
      </c>
      <c r="T43" s="22" t="str">
        <f>IF(R43&lt;&gt;"",VLOOKUP(P43,Constants!$D$3:$E$10,2),"")</f>
        <v/>
      </c>
    </row>
    <row r="44" spans="2:20" x14ac:dyDescent="0.25">
      <c r="B44" s="59"/>
      <c r="C44" s="59"/>
      <c r="D44" s="60"/>
      <c r="E44" s="59"/>
      <c r="F44" s="59" t="str">
        <f t="shared" si="15"/>
        <v/>
      </c>
      <c r="G44" s="59"/>
      <c r="H44" s="61"/>
      <c r="I44" s="61"/>
      <c r="J44" s="61"/>
      <c r="K44" s="62"/>
      <c r="L44" s="10" t="str">
        <f t="shared" si="7"/>
        <v/>
      </c>
      <c r="M44" s="10" t="str">
        <f t="shared" si="8"/>
        <v/>
      </c>
      <c r="N44" s="11" t="str">
        <f t="shared" si="16"/>
        <v/>
      </c>
      <c r="O44" s="10" t="str">
        <f t="shared" si="17"/>
        <v/>
      </c>
      <c r="P44" s="39" t="str">
        <f t="shared" si="18"/>
        <v/>
      </c>
      <c r="Q44" s="13" t="str">
        <f t="shared" si="14"/>
        <v/>
      </c>
      <c r="R44" s="13" t="str">
        <f t="shared" si="19"/>
        <v/>
      </c>
      <c r="S44" s="13" t="str">
        <f t="shared" si="13"/>
        <v/>
      </c>
      <c r="T44" s="22" t="str">
        <f>IF(R44&lt;&gt;"",VLOOKUP(P44,Constants!$D$3:$E$10,2),"")</f>
        <v/>
      </c>
    </row>
    <row r="45" spans="2:20" x14ac:dyDescent="0.25">
      <c r="B45" s="59"/>
      <c r="C45" s="59"/>
      <c r="D45" s="60"/>
      <c r="E45" s="59"/>
      <c r="F45" s="59" t="str">
        <f t="shared" si="15"/>
        <v/>
      </c>
      <c r="G45" s="59"/>
      <c r="H45" s="61"/>
      <c r="I45" s="61"/>
      <c r="J45" s="61"/>
      <c r="K45" s="62"/>
      <c r="L45" s="10" t="str">
        <f t="shared" si="7"/>
        <v/>
      </c>
      <c r="M45" s="10" t="str">
        <f t="shared" si="8"/>
        <v/>
      </c>
      <c r="N45" s="11" t="str">
        <f t="shared" si="16"/>
        <v/>
      </c>
      <c r="O45" s="10" t="str">
        <f t="shared" si="17"/>
        <v/>
      </c>
      <c r="P45" s="39" t="str">
        <f t="shared" si="18"/>
        <v/>
      </c>
      <c r="Q45" s="13" t="str">
        <f t="shared" si="14"/>
        <v/>
      </c>
      <c r="R45" s="13" t="str">
        <f t="shared" si="19"/>
        <v/>
      </c>
      <c r="S45" s="13" t="str">
        <f t="shared" si="13"/>
        <v/>
      </c>
      <c r="T45" s="22" t="str">
        <f>IF(R45&lt;&gt;"",VLOOKUP(P45,Constants!$D$3:$E$10,2),"")</f>
        <v/>
      </c>
    </row>
    <row r="46" spans="2:20" x14ac:dyDescent="0.25">
      <c r="B46" s="59"/>
      <c r="C46" s="59"/>
      <c r="D46" s="60"/>
      <c r="E46" s="59"/>
      <c r="F46" s="59" t="str">
        <f t="shared" si="15"/>
        <v/>
      </c>
      <c r="G46" s="59"/>
      <c r="H46" s="61"/>
      <c r="I46" s="61"/>
      <c r="J46" s="61"/>
      <c r="K46" s="62"/>
      <c r="L46" s="10" t="str">
        <f t="shared" si="7"/>
        <v/>
      </c>
      <c r="M46" s="10" t="str">
        <f t="shared" si="8"/>
        <v/>
      </c>
      <c r="N46" s="11" t="str">
        <f t="shared" si="16"/>
        <v/>
      </c>
      <c r="O46" s="10" t="str">
        <f t="shared" si="17"/>
        <v/>
      </c>
      <c r="P46" s="39" t="str">
        <f t="shared" si="18"/>
        <v/>
      </c>
      <c r="Q46" s="13" t="str">
        <f t="shared" si="14"/>
        <v/>
      </c>
      <c r="R46" s="13" t="str">
        <f t="shared" si="19"/>
        <v/>
      </c>
      <c r="S46" s="13" t="str">
        <f t="shared" si="13"/>
        <v/>
      </c>
      <c r="T46" s="22" t="str">
        <f>IF(R46&lt;&gt;"",VLOOKUP(P46,Constants!$D$3:$E$10,2),"")</f>
        <v/>
      </c>
    </row>
    <row r="47" spans="2:20" x14ac:dyDescent="0.25">
      <c r="B47" s="59"/>
      <c r="C47" s="59"/>
      <c r="D47" s="60"/>
      <c r="E47" s="59"/>
      <c r="F47" s="59" t="str">
        <f t="shared" si="15"/>
        <v/>
      </c>
      <c r="G47" s="59"/>
      <c r="H47" s="61"/>
      <c r="I47" s="61"/>
      <c r="J47" s="61"/>
      <c r="K47" s="62"/>
      <c r="L47" s="10" t="str">
        <f t="shared" si="7"/>
        <v/>
      </c>
      <c r="M47" s="10" t="str">
        <f t="shared" si="8"/>
        <v/>
      </c>
      <c r="N47" s="11" t="str">
        <f t="shared" si="16"/>
        <v/>
      </c>
      <c r="O47" s="10" t="str">
        <f t="shared" si="17"/>
        <v/>
      </c>
      <c r="P47" s="39" t="str">
        <f t="shared" si="18"/>
        <v/>
      </c>
      <c r="Q47" s="13" t="str">
        <f t="shared" si="14"/>
        <v/>
      </c>
      <c r="R47" s="13" t="str">
        <f t="shared" si="19"/>
        <v/>
      </c>
      <c r="S47" s="13" t="str">
        <f t="shared" si="13"/>
        <v/>
      </c>
      <c r="T47" s="22" t="str">
        <f>IF(R47&lt;&gt;"",VLOOKUP(P47,Constants!$D$3:$E$10,2),"")</f>
        <v/>
      </c>
    </row>
    <row r="48" spans="2:20" x14ac:dyDescent="0.25">
      <c r="B48" s="59"/>
      <c r="C48" s="59"/>
      <c r="D48" s="60"/>
      <c r="E48" s="59"/>
      <c r="F48" s="59" t="str">
        <f t="shared" si="15"/>
        <v/>
      </c>
      <c r="G48" s="59"/>
      <c r="H48" s="61"/>
      <c r="I48" s="61"/>
      <c r="J48" s="61"/>
      <c r="K48" s="62"/>
      <c r="L48" s="10" t="str">
        <f t="shared" si="7"/>
        <v/>
      </c>
      <c r="M48" s="10" t="str">
        <f t="shared" si="8"/>
        <v/>
      </c>
      <c r="N48" s="11" t="str">
        <f t="shared" si="16"/>
        <v/>
      </c>
      <c r="O48" s="10" t="str">
        <f t="shared" si="17"/>
        <v/>
      </c>
      <c r="P48" s="39" t="str">
        <f t="shared" si="18"/>
        <v/>
      </c>
      <c r="Q48" s="13" t="str">
        <f t="shared" si="14"/>
        <v/>
      </c>
      <c r="R48" s="13" t="str">
        <f t="shared" si="19"/>
        <v/>
      </c>
      <c r="S48" s="13" t="str">
        <f t="shared" si="13"/>
        <v/>
      </c>
      <c r="T48" s="22" t="str">
        <f>IF(R48&lt;&gt;"",VLOOKUP(P48,Constants!$D$3:$E$10,2),"")</f>
        <v/>
      </c>
    </row>
    <row r="49" spans="2:20" x14ac:dyDescent="0.25">
      <c r="B49" s="59"/>
      <c r="C49" s="59"/>
      <c r="D49" s="60"/>
      <c r="E49" s="59"/>
      <c r="F49" s="59" t="str">
        <f t="shared" si="15"/>
        <v/>
      </c>
      <c r="G49" s="59"/>
      <c r="H49" s="61"/>
      <c r="I49" s="61"/>
      <c r="J49" s="61"/>
      <c r="K49" s="62"/>
      <c r="L49" s="10" t="str">
        <f t="shared" si="7"/>
        <v/>
      </c>
      <c r="M49" s="10" t="str">
        <f t="shared" si="8"/>
        <v/>
      </c>
      <c r="N49" s="11" t="str">
        <f t="shared" si="16"/>
        <v/>
      </c>
      <c r="O49" s="10" t="str">
        <f t="shared" si="17"/>
        <v/>
      </c>
      <c r="P49" s="39" t="str">
        <f t="shared" si="18"/>
        <v/>
      </c>
      <c r="Q49" s="13" t="str">
        <f t="shared" si="14"/>
        <v/>
      </c>
      <c r="R49" s="13" t="str">
        <f t="shared" si="19"/>
        <v/>
      </c>
      <c r="S49" s="13" t="str">
        <f t="shared" si="13"/>
        <v/>
      </c>
      <c r="T49" s="22" t="str">
        <f>IF(R49&lt;&gt;"",VLOOKUP(P49,Constants!$D$3:$E$10,2),"")</f>
        <v/>
      </c>
    </row>
    <row r="50" spans="2:20" x14ac:dyDescent="0.25">
      <c r="B50" s="59"/>
      <c r="C50" s="59"/>
      <c r="D50" s="60"/>
      <c r="E50" s="59"/>
      <c r="F50" s="59" t="str">
        <f t="shared" si="15"/>
        <v/>
      </c>
      <c r="G50" s="59"/>
      <c r="H50" s="61"/>
      <c r="I50" s="61"/>
      <c r="J50" s="61"/>
      <c r="K50" s="62"/>
      <c r="L50" s="10" t="str">
        <f t="shared" si="7"/>
        <v/>
      </c>
      <c r="M50" s="10" t="str">
        <f t="shared" si="8"/>
        <v/>
      </c>
      <c r="N50" s="11" t="str">
        <f t="shared" si="16"/>
        <v/>
      </c>
      <c r="O50" s="10" t="str">
        <f t="shared" si="17"/>
        <v/>
      </c>
      <c r="P50" s="39" t="str">
        <f t="shared" si="18"/>
        <v/>
      </c>
      <c r="Q50" s="13" t="str">
        <f t="shared" si="14"/>
        <v/>
      </c>
      <c r="R50" s="13" t="str">
        <f t="shared" si="19"/>
        <v/>
      </c>
      <c r="S50" s="13" t="str">
        <f t="shared" si="13"/>
        <v/>
      </c>
      <c r="T50" s="22" t="str">
        <f>IF(R50&lt;&gt;"",VLOOKUP(P50,Constants!$D$3:$E$10,2),"")</f>
        <v/>
      </c>
    </row>
    <row r="51" spans="2:20" x14ac:dyDescent="0.25">
      <c r="B51" s="59"/>
      <c r="C51" s="59"/>
      <c r="D51" s="60"/>
      <c r="E51" s="59"/>
      <c r="F51" s="59" t="str">
        <f t="shared" si="15"/>
        <v/>
      </c>
      <c r="G51" s="59"/>
      <c r="H51" s="61"/>
      <c r="I51" s="61"/>
      <c r="J51" s="61"/>
      <c r="K51" s="62"/>
      <c r="L51" s="10" t="str">
        <f t="shared" si="7"/>
        <v/>
      </c>
      <c r="M51" s="10" t="str">
        <f t="shared" si="8"/>
        <v/>
      </c>
      <c r="N51" s="11" t="str">
        <f t="shared" si="16"/>
        <v/>
      </c>
      <c r="O51" s="10" t="str">
        <f t="shared" si="17"/>
        <v/>
      </c>
      <c r="P51" s="39" t="str">
        <f t="shared" si="18"/>
        <v/>
      </c>
      <c r="Q51" s="13" t="str">
        <f t="shared" si="14"/>
        <v/>
      </c>
      <c r="R51" s="13" t="str">
        <f t="shared" si="19"/>
        <v/>
      </c>
      <c r="S51" s="13" t="str">
        <f t="shared" si="13"/>
        <v/>
      </c>
      <c r="T51" s="22" t="str">
        <f>IF(R51&lt;&gt;"",VLOOKUP(P51,Constants!$D$3:$E$10,2),"")</f>
        <v/>
      </c>
    </row>
    <row r="52" spans="2:20" x14ac:dyDescent="0.25">
      <c r="B52" s="59"/>
      <c r="C52" s="59"/>
      <c r="D52" s="60"/>
      <c r="E52" s="59"/>
      <c r="F52" s="59" t="str">
        <f t="shared" si="15"/>
        <v/>
      </c>
      <c r="G52" s="59"/>
      <c r="H52" s="61"/>
      <c r="I52" s="61"/>
      <c r="J52" s="61"/>
      <c r="K52" s="62"/>
      <c r="L52" s="10" t="str">
        <f t="shared" si="7"/>
        <v/>
      </c>
      <c r="M52" s="10" t="str">
        <f t="shared" si="8"/>
        <v/>
      </c>
      <c r="N52" s="11" t="str">
        <f t="shared" si="16"/>
        <v/>
      </c>
      <c r="O52" s="10" t="str">
        <f t="shared" si="17"/>
        <v/>
      </c>
      <c r="P52" s="39" t="str">
        <f t="shared" si="18"/>
        <v/>
      </c>
      <c r="Q52" s="13" t="str">
        <f t="shared" si="14"/>
        <v/>
      </c>
      <c r="R52" s="13" t="str">
        <f t="shared" si="19"/>
        <v/>
      </c>
      <c r="S52" s="13" t="str">
        <f t="shared" si="13"/>
        <v/>
      </c>
      <c r="T52" s="22" t="str">
        <f>IF(R52&lt;&gt;"",VLOOKUP(P52,Constants!$D$3:$E$10,2),"")</f>
        <v/>
      </c>
    </row>
    <row r="53" spans="2:20" x14ac:dyDescent="0.25">
      <c r="B53" s="59"/>
      <c r="C53" s="59"/>
      <c r="D53" s="60"/>
      <c r="E53" s="59"/>
      <c r="F53" s="59" t="str">
        <f t="shared" si="15"/>
        <v/>
      </c>
      <c r="G53" s="59"/>
      <c r="H53" s="61"/>
      <c r="I53" s="61"/>
      <c r="J53" s="61"/>
      <c r="K53" s="62"/>
      <c r="L53" s="10" t="str">
        <f t="shared" si="7"/>
        <v/>
      </c>
      <c r="M53" s="10" t="str">
        <f t="shared" si="8"/>
        <v/>
      </c>
      <c r="N53" s="11" t="str">
        <f t="shared" si="16"/>
        <v/>
      </c>
      <c r="O53" s="10" t="str">
        <f t="shared" si="17"/>
        <v/>
      </c>
      <c r="P53" s="39" t="str">
        <f t="shared" si="18"/>
        <v/>
      </c>
      <c r="Q53" s="13" t="str">
        <f t="shared" si="14"/>
        <v/>
      </c>
      <c r="R53" s="13" t="str">
        <f t="shared" si="19"/>
        <v/>
      </c>
      <c r="S53" s="13" t="str">
        <f t="shared" si="13"/>
        <v/>
      </c>
      <c r="T53" s="22" t="str">
        <f>IF(R53&lt;&gt;"",VLOOKUP(P53,Constants!$D$3:$E$10,2),"")</f>
        <v/>
      </c>
    </row>
    <row r="54" spans="2:20" x14ac:dyDescent="0.25">
      <c r="B54" s="59"/>
      <c r="C54" s="59"/>
      <c r="D54" s="60"/>
      <c r="E54" s="59"/>
      <c r="F54" s="59" t="str">
        <f t="shared" si="15"/>
        <v/>
      </c>
      <c r="G54" s="59"/>
      <c r="H54" s="61"/>
      <c r="I54" s="61"/>
      <c r="J54" s="61"/>
      <c r="K54" s="62"/>
      <c r="L54" s="10" t="str">
        <f t="shared" si="7"/>
        <v/>
      </c>
      <c r="M54" s="10" t="str">
        <f t="shared" si="8"/>
        <v/>
      </c>
      <c r="N54" s="11" t="str">
        <f t="shared" si="16"/>
        <v/>
      </c>
      <c r="O54" s="10" t="str">
        <f t="shared" si="17"/>
        <v/>
      </c>
      <c r="P54" s="39" t="str">
        <f t="shared" si="18"/>
        <v/>
      </c>
      <c r="Q54" s="13" t="str">
        <f t="shared" si="14"/>
        <v/>
      </c>
      <c r="R54" s="13" t="str">
        <f t="shared" si="19"/>
        <v/>
      </c>
      <c r="S54" s="13" t="str">
        <f t="shared" si="13"/>
        <v/>
      </c>
      <c r="T54" s="22" t="str">
        <f>IF(R54&lt;&gt;"",VLOOKUP(P54,Constants!$D$3:$E$10,2),"")</f>
        <v/>
      </c>
    </row>
    <row r="55" spans="2:20" x14ac:dyDescent="0.25">
      <c r="B55" s="59"/>
      <c r="C55" s="59"/>
      <c r="D55" s="60"/>
      <c r="E55" s="59"/>
      <c r="F55" s="59" t="str">
        <f t="shared" si="15"/>
        <v/>
      </c>
      <c r="G55" s="59"/>
      <c r="H55" s="61"/>
      <c r="I55" s="61"/>
      <c r="J55" s="61"/>
      <c r="K55" s="62"/>
      <c r="L55" s="10" t="str">
        <f t="shared" si="7"/>
        <v/>
      </c>
      <c r="M55" s="10" t="str">
        <f t="shared" si="8"/>
        <v/>
      </c>
      <c r="N55" s="11" t="str">
        <f t="shared" si="16"/>
        <v/>
      </c>
      <c r="O55" s="10" t="str">
        <f t="shared" si="17"/>
        <v/>
      </c>
      <c r="P55" s="39" t="str">
        <f t="shared" si="18"/>
        <v/>
      </c>
      <c r="Q55" s="13" t="str">
        <f t="shared" si="14"/>
        <v/>
      </c>
      <c r="R55" s="13" t="str">
        <f t="shared" si="19"/>
        <v/>
      </c>
      <c r="S55" s="13" t="str">
        <f t="shared" si="13"/>
        <v/>
      </c>
      <c r="T55" s="22" t="str">
        <f>IF(R55&lt;&gt;"",VLOOKUP(P55,Constants!$D$3:$E$10,2),"")</f>
        <v/>
      </c>
    </row>
    <row r="56" spans="2:20" x14ac:dyDescent="0.25">
      <c r="B56" s="59"/>
      <c r="C56" s="59"/>
      <c r="D56" s="60"/>
      <c r="E56" s="59"/>
      <c r="F56" s="59" t="str">
        <f t="shared" si="15"/>
        <v/>
      </c>
      <c r="G56" s="59"/>
      <c r="H56" s="61"/>
      <c r="I56" s="61"/>
      <c r="J56" s="61"/>
      <c r="K56" s="62"/>
      <c r="L56" s="10" t="str">
        <f t="shared" si="7"/>
        <v/>
      </c>
      <c r="M56" s="10" t="str">
        <f t="shared" si="8"/>
        <v/>
      </c>
      <c r="N56" s="11" t="str">
        <f t="shared" si="16"/>
        <v/>
      </c>
      <c r="O56" s="10" t="str">
        <f t="shared" si="17"/>
        <v/>
      </c>
      <c r="P56" s="39" t="str">
        <f t="shared" si="18"/>
        <v/>
      </c>
      <c r="Q56" s="13" t="str">
        <f t="shared" si="14"/>
        <v/>
      </c>
      <c r="R56" s="13" t="str">
        <f t="shared" si="19"/>
        <v/>
      </c>
      <c r="S56" s="13" t="str">
        <f t="shared" si="13"/>
        <v/>
      </c>
      <c r="T56" s="22" t="str">
        <f>IF(R56&lt;&gt;"",VLOOKUP(P56,Constants!$D$3:$E$10,2),"")</f>
        <v/>
      </c>
    </row>
    <row r="57" spans="2:20" x14ac:dyDescent="0.25">
      <c r="B57" s="59"/>
      <c r="C57" s="59"/>
      <c r="D57" s="60"/>
      <c r="E57" s="59"/>
      <c r="F57" s="59" t="str">
        <f t="shared" si="15"/>
        <v/>
      </c>
      <c r="G57" s="59"/>
      <c r="H57" s="61"/>
      <c r="I57" s="61"/>
      <c r="J57" s="61"/>
      <c r="K57" s="62"/>
      <c r="L57" s="10" t="str">
        <f t="shared" si="7"/>
        <v/>
      </c>
      <c r="M57" s="10" t="str">
        <f t="shared" si="8"/>
        <v/>
      </c>
      <c r="N57" s="11" t="str">
        <f t="shared" si="16"/>
        <v/>
      </c>
      <c r="O57" s="10" t="str">
        <f t="shared" si="17"/>
        <v/>
      </c>
      <c r="P57" s="39" t="str">
        <f t="shared" si="18"/>
        <v/>
      </c>
      <c r="Q57" s="13" t="str">
        <f t="shared" si="14"/>
        <v/>
      </c>
      <c r="R57" s="13" t="str">
        <f t="shared" si="19"/>
        <v/>
      </c>
      <c r="S57" s="13" t="str">
        <f t="shared" si="13"/>
        <v/>
      </c>
      <c r="T57" s="22" t="str">
        <f>IF(R57&lt;&gt;"",VLOOKUP(P57,Constants!$D$3:$E$10,2),"")</f>
        <v/>
      </c>
    </row>
    <row r="58" spans="2:20" x14ac:dyDescent="0.25">
      <c r="B58" s="59"/>
      <c r="C58" s="59"/>
      <c r="D58" s="60"/>
      <c r="E58" s="59"/>
      <c r="F58" s="59" t="str">
        <f t="shared" si="15"/>
        <v/>
      </c>
      <c r="G58" s="59"/>
      <c r="H58" s="61"/>
      <c r="I58" s="61"/>
      <c r="J58" s="61"/>
      <c r="K58" s="62"/>
      <c r="L58" s="10" t="str">
        <f t="shared" si="7"/>
        <v/>
      </c>
      <c r="M58" s="10" t="str">
        <f t="shared" si="8"/>
        <v/>
      </c>
      <c r="N58" s="11" t="str">
        <f t="shared" si="16"/>
        <v/>
      </c>
      <c r="O58" s="10" t="str">
        <f t="shared" si="17"/>
        <v/>
      </c>
      <c r="P58" s="39" t="str">
        <f t="shared" si="18"/>
        <v/>
      </c>
      <c r="Q58" s="13" t="str">
        <f t="shared" si="14"/>
        <v/>
      </c>
      <c r="R58" s="13" t="str">
        <f t="shared" si="19"/>
        <v/>
      </c>
      <c r="S58" s="13" t="str">
        <f t="shared" si="13"/>
        <v/>
      </c>
      <c r="T58" s="22" t="str">
        <f>IF(R58&lt;&gt;"",VLOOKUP(P58,Constants!$D$3:$E$10,2),"")</f>
        <v/>
      </c>
    </row>
    <row r="59" spans="2:20" x14ac:dyDescent="0.25">
      <c r="B59" s="59"/>
      <c r="C59" s="59"/>
      <c r="D59" s="60"/>
      <c r="E59" s="59"/>
      <c r="F59" s="59" t="str">
        <f t="shared" si="15"/>
        <v/>
      </c>
      <c r="G59" s="59"/>
      <c r="H59" s="61"/>
      <c r="I59" s="61"/>
      <c r="J59" s="61"/>
      <c r="K59" s="62"/>
      <c r="L59" s="10" t="str">
        <f t="shared" si="7"/>
        <v/>
      </c>
      <c r="M59" s="10" t="str">
        <f t="shared" si="8"/>
        <v/>
      </c>
      <c r="N59" s="11" t="str">
        <f t="shared" si="16"/>
        <v/>
      </c>
      <c r="O59" s="10" t="str">
        <f t="shared" si="17"/>
        <v/>
      </c>
      <c r="P59" s="39" t="str">
        <f t="shared" si="18"/>
        <v/>
      </c>
      <c r="Q59" s="13" t="str">
        <f t="shared" si="14"/>
        <v/>
      </c>
      <c r="R59" s="13" t="str">
        <f t="shared" si="19"/>
        <v/>
      </c>
      <c r="S59" s="13" t="str">
        <f t="shared" si="13"/>
        <v/>
      </c>
      <c r="T59" s="22" t="str">
        <f>IF(R59&lt;&gt;"",VLOOKUP(P59,Constants!$D$3:$E$10,2),"")</f>
        <v/>
      </c>
    </row>
    <row r="60" spans="2:20" x14ac:dyDescent="0.25">
      <c r="B60" s="59"/>
      <c r="C60" s="59"/>
      <c r="D60" s="60"/>
      <c r="E60" s="59"/>
      <c r="F60" s="59" t="str">
        <f t="shared" si="15"/>
        <v/>
      </c>
      <c r="G60" s="59"/>
      <c r="H60" s="61"/>
      <c r="I60" s="61"/>
      <c r="J60" s="61"/>
      <c r="K60" s="62"/>
      <c r="L60" s="10" t="str">
        <f t="shared" si="7"/>
        <v/>
      </c>
      <c r="M60" s="10" t="str">
        <f t="shared" si="8"/>
        <v/>
      </c>
      <c r="N60" s="11" t="str">
        <f t="shared" si="16"/>
        <v/>
      </c>
      <c r="O60" s="10" t="str">
        <f t="shared" si="17"/>
        <v/>
      </c>
      <c r="P60" s="39" t="str">
        <f t="shared" si="18"/>
        <v/>
      </c>
      <c r="Q60" s="13" t="str">
        <f t="shared" si="14"/>
        <v/>
      </c>
      <c r="R60" s="13" t="str">
        <f t="shared" si="19"/>
        <v/>
      </c>
      <c r="S60" s="13" t="str">
        <f t="shared" si="13"/>
        <v/>
      </c>
      <c r="T60" s="22" t="str">
        <f>IF(R60&lt;&gt;"",VLOOKUP(P60,Constants!$D$3:$E$10,2),"")</f>
        <v/>
      </c>
    </row>
    <row r="61" spans="2:20" x14ac:dyDescent="0.25">
      <c r="B61" s="59"/>
      <c r="C61" s="59"/>
      <c r="D61" s="60"/>
      <c r="E61" s="59"/>
      <c r="F61" s="59" t="str">
        <f t="shared" si="15"/>
        <v/>
      </c>
      <c r="G61" s="59"/>
      <c r="H61" s="61"/>
      <c r="I61" s="61"/>
      <c r="J61" s="61"/>
      <c r="K61" s="62"/>
      <c r="L61" s="10" t="str">
        <f t="shared" si="7"/>
        <v/>
      </c>
      <c r="M61" s="10" t="str">
        <f t="shared" si="8"/>
        <v/>
      </c>
      <c r="N61" s="11" t="str">
        <f t="shared" si="16"/>
        <v/>
      </c>
      <c r="O61" s="10" t="str">
        <f t="shared" si="17"/>
        <v/>
      </c>
      <c r="P61" s="39" t="str">
        <f t="shared" si="18"/>
        <v/>
      </c>
      <c r="Q61" s="13" t="str">
        <f t="shared" si="14"/>
        <v/>
      </c>
      <c r="R61" s="13" t="str">
        <f t="shared" si="19"/>
        <v/>
      </c>
      <c r="S61" s="13" t="str">
        <f t="shared" si="13"/>
        <v/>
      </c>
      <c r="T61" s="22" t="str">
        <f>IF(R61&lt;&gt;"",VLOOKUP(P61,Constants!$D$3:$E$10,2),"")</f>
        <v/>
      </c>
    </row>
    <row r="62" spans="2:20" x14ac:dyDescent="0.25">
      <c r="B62" s="59"/>
      <c r="C62" s="59"/>
      <c r="D62" s="60"/>
      <c r="E62" s="59"/>
      <c r="F62" s="59" t="str">
        <f t="shared" si="15"/>
        <v/>
      </c>
      <c r="G62" s="59"/>
      <c r="H62" s="61"/>
      <c r="I62" s="61"/>
      <c r="J62" s="61"/>
      <c r="K62" s="62"/>
      <c r="L62" s="10" t="str">
        <f t="shared" si="7"/>
        <v/>
      </c>
      <c r="M62" s="10" t="str">
        <f t="shared" si="8"/>
        <v/>
      </c>
      <c r="N62" s="11" t="str">
        <f t="shared" si="16"/>
        <v/>
      </c>
      <c r="O62" s="10" t="str">
        <f t="shared" si="17"/>
        <v/>
      </c>
      <c r="P62" s="39" t="str">
        <f t="shared" si="18"/>
        <v/>
      </c>
      <c r="Q62" s="13" t="str">
        <f t="shared" si="14"/>
        <v/>
      </c>
      <c r="R62" s="13" t="str">
        <f t="shared" si="19"/>
        <v/>
      </c>
      <c r="S62" s="13" t="str">
        <f t="shared" si="13"/>
        <v/>
      </c>
      <c r="T62" s="22" t="str">
        <f>IF(R62&lt;&gt;"",VLOOKUP(P62,Constants!$D$3:$E$10,2),"")</f>
        <v/>
      </c>
    </row>
    <row r="63" spans="2:20" x14ac:dyDescent="0.25">
      <c r="B63" s="59"/>
      <c r="C63" s="59"/>
      <c r="D63" s="60"/>
      <c r="E63" s="59"/>
      <c r="F63" s="59" t="str">
        <f t="shared" si="15"/>
        <v/>
      </c>
      <c r="G63" s="59"/>
      <c r="H63" s="61"/>
      <c r="I63" s="61"/>
      <c r="J63" s="61"/>
      <c r="K63" s="62"/>
      <c r="L63" s="10" t="str">
        <f t="shared" si="7"/>
        <v/>
      </c>
      <c r="M63" s="10" t="str">
        <f t="shared" si="8"/>
        <v/>
      </c>
      <c r="N63" s="11" t="str">
        <f t="shared" si="16"/>
        <v/>
      </c>
      <c r="O63" s="10" t="str">
        <f t="shared" si="17"/>
        <v/>
      </c>
      <c r="P63" s="39" t="str">
        <f t="shared" si="18"/>
        <v/>
      </c>
      <c r="Q63" s="13" t="str">
        <f t="shared" si="14"/>
        <v/>
      </c>
      <c r="R63" s="13" t="str">
        <f t="shared" si="19"/>
        <v/>
      </c>
      <c r="S63" s="13" t="str">
        <f t="shared" si="13"/>
        <v/>
      </c>
      <c r="T63" s="22" t="str">
        <f>IF(R63&lt;&gt;"",VLOOKUP(P63,Constants!$D$3:$E$10,2),"")</f>
        <v/>
      </c>
    </row>
    <row r="64" spans="2:20" x14ac:dyDescent="0.25">
      <c r="B64" s="59"/>
      <c r="C64" s="59"/>
      <c r="D64" s="60"/>
      <c r="E64" s="59"/>
      <c r="F64" s="59" t="str">
        <f t="shared" si="15"/>
        <v/>
      </c>
      <c r="G64" s="59"/>
      <c r="H64" s="61"/>
      <c r="I64" s="61"/>
      <c r="J64" s="61"/>
      <c r="K64" s="62"/>
      <c r="L64" s="10" t="str">
        <f t="shared" si="7"/>
        <v/>
      </c>
      <c r="M64" s="10" t="str">
        <f t="shared" si="8"/>
        <v/>
      </c>
      <c r="N64" s="11" t="str">
        <f t="shared" si="16"/>
        <v/>
      </c>
      <c r="O64" s="10" t="str">
        <f t="shared" si="17"/>
        <v/>
      </c>
      <c r="P64" s="39" t="str">
        <f t="shared" si="18"/>
        <v/>
      </c>
      <c r="Q64" s="13" t="str">
        <f t="shared" si="14"/>
        <v/>
      </c>
      <c r="R64" s="13" t="str">
        <f t="shared" si="19"/>
        <v/>
      </c>
      <c r="S64" s="13" t="str">
        <f t="shared" si="13"/>
        <v/>
      </c>
      <c r="T64" s="22" t="str">
        <f>IF(R64&lt;&gt;"",VLOOKUP(P64,Constants!$D$3:$E$10,2),"")</f>
        <v/>
      </c>
    </row>
    <row r="65" spans="2:20" x14ac:dyDescent="0.25">
      <c r="B65" s="59"/>
      <c r="C65" s="59"/>
      <c r="D65" s="60"/>
      <c r="E65" s="59"/>
      <c r="F65" s="59" t="str">
        <f t="shared" si="15"/>
        <v/>
      </c>
      <c r="G65" s="59"/>
      <c r="H65" s="61"/>
      <c r="I65" s="61"/>
      <c r="J65" s="61"/>
      <c r="K65" s="62"/>
      <c r="L65" s="10" t="str">
        <f t="shared" si="7"/>
        <v/>
      </c>
      <c r="M65" s="10" t="str">
        <f t="shared" si="8"/>
        <v/>
      </c>
      <c r="N65" s="11" t="str">
        <f t="shared" si="16"/>
        <v/>
      </c>
      <c r="O65" s="10" t="str">
        <f t="shared" si="17"/>
        <v/>
      </c>
      <c r="P65" s="39" t="str">
        <f t="shared" si="18"/>
        <v/>
      </c>
      <c r="Q65" s="13" t="str">
        <f t="shared" si="14"/>
        <v/>
      </c>
      <c r="R65" s="13" t="str">
        <f t="shared" si="19"/>
        <v/>
      </c>
      <c r="S65" s="13" t="str">
        <f t="shared" si="13"/>
        <v/>
      </c>
      <c r="T65" s="22" t="str">
        <f>IF(R65&lt;&gt;"",VLOOKUP(P65,Constants!$D$3:$E$10,2),"")</f>
        <v/>
      </c>
    </row>
    <row r="66" spans="2:20" x14ac:dyDescent="0.25">
      <c r="B66" s="59"/>
      <c r="C66" s="59"/>
      <c r="D66" s="60"/>
      <c r="E66" s="59"/>
      <c r="F66" s="59" t="str">
        <f t="shared" si="15"/>
        <v/>
      </c>
      <c r="G66" s="59"/>
      <c r="H66" s="61"/>
      <c r="I66" s="61"/>
      <c r="J66" s="61"/>
      <c r="K66" s="62"/>
      <c r="L66" s="10" t="str">
        <f t="shared" si="7"/>
        <v/>
      </c>
      <c r="M66" s="10" t="str">
        <f t="shared" si="8"/>
        <v/>
      </c>
      <c r="N66" s="11" t="str">
        <f t="shared" si="16"/>
        <v/>
      </c>
      <c r="O66" s="10" t="str">
        <f t="shared" si="17"/>
        <v/>
      </c>
      <c r="P66" s="39" t="str">
        <f t="shared" si="18"/>
        <v/>
      </c>
      <c r="Q66" s="13" t="str">
        <f t="shared" si="14"/>
        <v/>
      </c>
      <c r="R66" s="13" t="str">
        <f t="shared" si="19"/>
        <v/>
      </c>
      <c r="S66" s="13" t="str">
        <f t="shared" si="13"/>
        <v/>
      </c>
      <c r="T66" s="22" t="str">
        <f>IF(R66&lt;&gt;"",VLOOKUP(P66,Constants!$D$3:$E$10,2),"")</f>
        <v/>
      </c>
    </row>
    <row r="67" spans="2:20" x14ac:dyDescent="0.25">
      <c r="B67" s="59"/>
      <c r="C67" s="59"/>
      <c r="D67" s="60"/>
      <c r="E67" s="59"/>
      <c r="F67" s="59" t="str">
        <f t="shared" si="15"/>
        <v/>
      </c>
      <c r="G67" s="59"/>
      <c r="H67" s="61"/>
      <c r="I67" s="61"/>
      <c r="J67" s="61"/>
      <c r="K67" s="62"/>
      <c r="L67" s="10" t="str">
        <f t="shared" si="7"/>
        <v/>
      </c>
      <c r="M67" s="10" t="str">
        <f t="shared" si="8"/>
        <v/>
      </c>
      <c r="N67" s="11" t="str">
        <f t="shared" si="16"/>
        <v/>
      </c>
      <c r="O67" s="10" t="str">
        <f t="shared" si="17"/>
        <v/>
      </c>
      <c r="P67" s="39" t="str">
        <f t="shared" si="18"/>
        <v/>
      </c>
      <c r="Q67" s="13" t="str">
        <f t="shared" si="14"/>
        <v/>
      </c>
      <c r="R67" s="13" t="str">
        <f t="shared" si="19"/>
        <v/>
      </c>
      <c r="S67" s="13" t="str">
        <f t="shared" si="13"/>
        <v/>
      </c>
      <c r="T67" s="22" t="str">
        <f>IF(R67&lt;&gt;"",VLOOKUP(P67,Constants!$D$3:$E$10,2),"")</f>
        <v/>
      </c>
    </row>
    <row r="68" spans="2:20" x14ac:dyDescent="0.25">
      <c r="B68" s="59"/>
      <c r="C68" s="59"/>
      <c r="D68" s="60"/>
      <c r="E68" s="59"/>
      <c r="F68" s="59" t="str">
        <f t="shared" si="15"/>
        <v/>
      </c>
      <c r="G68" s="59"/>
      <c r="H68" s="61"/>
      <c r="I68" s="61"/>
      <c r="J68" s="61"/>
      <c r="K68" s="62"/>
      <c r="L68" s="10" t="str">
        <f t="shared" si="7"/>
        <v/>
      </c>
      <c r="M68" s="10" t="str">
        <f t="shared" si="8"/>
        <v/>
      </c>
      <c r="N68" s="11" t="str">
        <f t="shared" si="16"/>
        <v/>
      </c>
      <c r="O68" s="10" t="str">
        <f t="shared" si="17"/>
        <v/>
      </c>
      <c r="P68" s="39" t="str">
        <f t="shared" si="18"/>
        <v/>
      </c>
      <c r="Q68" s="13" t="str">
        <f t="shared" si="14"/>
        <v/>
      </c>
      <c r="R68" s="13" t="str">
        <f t="shared" si="19"/>
        <v/>
      </c>
      <c r="S68" s="13" t="str">
        <f t="shared" si="13"/>
        <v/>
      </c>
      <c r="T68" s="22" t="str">
        <f>IF(R68&lt;&gt;"",VLOOKUP(P68,Constants!$D$3:$E$10,2),"")</f>
        <v/>
      </c>
    </row>
    <row r="69" spans="2:20" x14ac:dyDescent="0.25">
      <c r="B69" s="59"/>
      <c r="C69" s="59"/>
      <c r="D69" s="60"/>
      <c r="E69" s="59"/>
      <c r="F69" s="59" t="str">
        <f t="shared" si="15"/>
        <v/>
      </c>
      <c r="G69" s="59"/>
      <c r="H69" s="61"/>
      <c r="I69" s="61"/>
      <c r="J69" s="61"/>
      <c r="K69" s="62"/>
      <c r="L69" s="10" t="str">
        <f t="shared" si="7"/>
        <v/>
      </c>
      <c r="M69" s="10" t="str">
        <f t="shared" si="8"/>
        <v/>
      </c>
      <c r="N69" s="11" t="str">
        <f t="shared" si="16"/>
        <v/>
      </c>
      <c r="O69" s="10" t="str">
        <f t="shared" si="17"/>
        <v/>
      </c>
      <c r="P69" s="39" t="str">
        <f t="shared" si="18"/>
        <v/>
      </c>
      <c r="Q69" s="13" t="str">
        <f t="shared" si="14"/>
        <v/>
      </c>
      <c r="R69" s="13" t="str">
        <f t="shared" si="19"/>
        <v/>
      </c>
      <c r="S69" s="13" t="str">
        <f t="shared" si="13"/>
        <v/>
      </c>
      <c r="T69" s="22" t="str">
        <f>IF(R69&lt;&gt;"",VLOOKUP(P69,Constants!$D$3:$E$10,2),"")</f>
        <v/>
      </c>
    </row>
    <row r="70" spans="2:20" x14ac:dyDescent="0.25">
      <c r="B70" s="59"/>
      <c r="C70" s="59"/>
      <c r="D70" s="60"/>
      <c r="E70" s="59"/>
      <c r="F70" s="59" t="str">
        <f t="shared" si="15"/>
        <v/>
      </c>
      <c r="G70" s="59"/>
      <c r="H70" s="61"/>
      <c r="I70" s="61"/>
      <c r="J70" s="61"/>
      <c r="K70" s="62"/>
      <c r="L70" s="10" t="str">
        <f t="shared" si="7"/>
        <v/>
      </c>
      <c r="M70" s="10" t="str">
        <f t="shared" si="8"/>
        <v/>
      </c>
      <c r="N70" s="11" t="str">
        <f t="shared" si="16"/>
        <v/>
      </c>
      <c r="O70" s="10" t="str">
        <f t="shared" si="17"/>
        <v/>
      </c>
      <c r="P70" s="39" t="str">
        <f t="shared" si="18"/>
        <v/>
      </c>
      <c r="Q70" s="13" t="str">
        <f t="shared" si="14"/>
        <v/>
      </c>
      <c r="R70" s="13" t="str">
        <f t="shared" si="19"/>
        <v/>
      </c>
      <c r="S70" s="13" t="str">
        <f t="shared" si="13"/>
        <v/>
      </c>
      <c r="T70" s="22" t="str">
        <f>IF(R70&lt;&gt;"",VLOOKUP(P70,Constants!$D$3:$E$10,2),"")</f>
        <v/>
      </c>
    </row>
    <row r="71" spans="2:20" x14ac:dyDescent="0.25">
      <c r="B71" s="59"/>
      <c r="C71" s="59"/>
      <c r="D71" s="60"/>
      <c r="E71" s="59"/>
      <c r="F71" s="59" t="str">
        <f t="shared" si="15"/>
        <v/>
      </c>
      <c r="G71" s="59"/>
      <c r="H71" s="61"/>
      <c r="I71" s="61"/>
      <c r="J71" s="61"/>
      <c r="K71" s="62"/>
      <c r="L71" s="10" t="str">
        <f t="shared" si="7"/>
        <v/>
      </c>
      <c r="M71" s="10" t="str">
        <f t="shared" si="8"/>
        <v/>
      </c>
      <c r="N71" s="11" t="str">
        <f t="shared" si="16"/>
        <v/>
      </c>
      <c r="O71" s="10" t="str">
        <f t="shared" si="17"/>
        <v/>
      </c>
      <c r="P71" s="39" t="str">
        <f t="shared" si="18"/>
        <v/>
      </c>
      <c r="Q71" s="13" t="str">
        <f t="shared" si="14"/>
        <v/>
      </c>
      <c r="R71" s="13" t="str">
        <f t="shared" si="19"/>
        <v/>
      </c>
      <c r="S71" s="13" t="str">
        <f t="shared" ref="S71:S135" si="20">IF(R71&lt;&gt;"",Q71/R71*1000,"")</f>
        <v/>
      </c>
      <c r="T71" s="22" t="str">
        <f>IF(R71&lt;&gt;"",VLOOKUP(P71,Constants!$D$3:$E$10,2),"")</f>
        <v/>
      </c>
    </row>
    <row r="72" spans="2:20" x14ac:dyDescent="0.25">
      <c r="B72" s="59"/>
      <c r="C72" s="59"/>
      <c r="D72" s="60"/>
      <c r="E72" s="59"/>
      <c r="F72" s="59" t="str">
        <f t="shared" ref="F72:F135" si="21">IF($D72&lt;&gt;"",1,"")</f>
        <v/>
      </c>
      <c r="G72" s="59"/>
      <c r="H72" s="61"/>
      <c r="I72" s="61"/>
      <c r="J72" s="61"/>
      <c r="K72" s="62"/>
      <c r="L72" s="10" t="str">
        <f t="shared" ref="L72:L135" si="22">IF($D72&lt;&gt;"",$D72*$E72/1000,"")</f>
        <v/>
      </c>
      <c r="M72" s="10" t="str">
        <f t="shared" ref="M72:M135" si="23">IF($D72&lt;&gt;"",$D72*$F72/1000,"")</f>
        <v/>
      </c>
      <c r="N72" s="11" t="str">
        <f t="shared" si="16"/>
        <v/>
      </c>
      <c r="O72" s="10" t="str">
        <f t="shared" si="17"/>
        <v/>
      </c>
      <c r="P72" s="39" t="str">
        <f t="shared" si="18"/>
        <v/>
      </c>
      <c r="Q72" s="13" t="str">
        <f t="shared" ref="Q72:Q135" si="24">IF(F72&lt;&gt;"",F72*E72/1000,"")</f>
        <v/>
      </c>
      <c r="R72" s="13" t="str">
        <f t="shared" si="19"/>
        <v/>
      </c>
      <c r="S72" s="13" t="str">
        <f t="shared" si="20"/>
        <v/>
      </c>
      <c r="T72" s="22" t="str">
        <f>IF(R72&lt;&gt;"",VLOOKUP(P72,Constants!$D$3:$E$10,2),"")</f>
        <v/>
      </c>
    </row>
    <row r="73" spans="2:20" x14ac:dyDescent="0.25">
      <c r="B73" s="59"/>
      <c r="C73" s="59"/>
      <c r="D73" s="60"/>
      <c r="E73" s="59"/>
      <c r="F73" s="59" t="str">
        <f t="shared" si="21"/>
        <v/>
      </c>
      <c r="G73" s="59"/>
      <c r="H73" s="61"/>
      <c r="I73" s="61"/>
      <c r="J73" s="61"/>
      <c r="K73" s="62"/>
      <c r="L73" s="10" t="str">
        <f t="shared" si="22"/>
        <v/>
      </c>
      <c r="M73" s="10" t="str">
        <f t="shared" si="23"/>
        <v/>
      </c>
      <c r="N73" s="11" t="str">
        <f t="shared" si="16"/>
        <v/>
      </c>
      <c r="O73" s="10" t="str">
        <f t="shared" si="17"/>
        <v/>
      </c>
      <c r="P73" s="39" t="str">
        <f t="shared" si="18"/>
        <v/>
      </c>
      <c r="Q73" s="13" t="str">
        <f t="shared" si="24"/>
        <v/>
      </c>
      <c r="R73" s="13" t="str">
        <f t="shared" si="19"/>
        <v/>
      </c>
      <c r="S73" s="13" t="str">
        <f t="shared" si="20"/>
        <v/>
      </c>
      <c r="T73" s="22" t="str">
        <f>IF(R73&lt;&gt;"",VLOOKUP(P73,Constants!$D$3:$E$10,2),"")</f>
        <v/>
      </c>
    </row>
    <row r="74" spans="2:20" x14ac:dyDescent="0.25">
      <c r="B74" s="59"/>
      <c r="C74" s="59"/>
      <c r="D74" s="60"/>
      <c r="E74" s="59"/>
      <c r="F74" s="59" t="str">
        <f t="shared" si="21"/>
        <v/>
      </c>
      <c r="G74" s="59"/>
      <c r="H74" s="61"/>
      <c r="I74" s="61"/>
      <c r="J74" s="61"/>
      <c r="K74" s="62"/>
      <c r="L74" s="10" t="str">
        <f t="shared" si="22"/>
        <v/>
      </c>
      <c r="M74" s="10" t="str">
        <f t="shared" si="23"/>
        <v/>
      </c>
      <c r="N74" s="11" t="str">
        <f t="shared" si="16"/>
        <v/>
      </c>
      <c r="O74" s="10" t="str">
        <f t="shared" si="17"/>
        <v/>
      </c>
      <c r="P74" s="39" t="str">
        <f t="shared" si="18"/>
        <v/>
      </c>
      <c r="Q74" s="13" t="str">
        <f t="shared" si="24"/>
        <v/>
      </c>
      <c r="R74" s="13" t="str">
        <f t="shared" si="19"/>
        <v/>
      </c>
      <c r="S74" s="13" t="str">
        <f t="shared" si="20"/>
        <v/>
      </c>
      <c r="T74" s="22" t="str">
        <f>IF(R74&lt;&gt;"",VLOOKUP(P74,Constants!$D$3:$E$10,2),"")</f>
        <v/>
      </c>
    </row>
    <row r="75" spans="2:20" x14ac:dyDescent="0.25">
      <c r="B75" s="59"/>
      <c r="C75" s="59"/>
      <c r="D75" s="60"/>
      <c r="E75" s="59"/>
      <c r="F75" s="59" t="str">
        <f t="shared" si="21"/>
        <v/>
      </c>
      <c r="G75" s="59"/>
      <c r="H75" s="61"/>
      <c r="I75" s="61"/>
      <c r="J75" s="61"/>
      <c r="K75" s="62"/>
      <c r="L75" s="10" t="str">
        <f t="shared" si="22"/>
        <v/>
      </c>
      <c r="M75" s="10" t="str">
        <f t="shared" si="23"/>
        <v/>
      </c>
      <c r="N75" s="11" t="str">
        <f t="shared" si="16"/>
        <v/>
      </c>
      <c r="O75" s="10" t="str">
        <f t="shared" si="17"/>
        <v/>
      </c>
      <c r="P75" s="39" t="str">
        <f t="shared" si="18"/>
        <v/>
      </c>
      <c r="Q75" s="13" t="str">
        <f t="shared" si="24"/>
        <v/>
      </c>
      <c r="R75" s="13" t="str">
        <f t="shared" si="19"/>
        <v/>
      </c>
      <c r="S75" s="13" t="str">
        <f t="shared" si="20"/>
        <v/>
      </c>
      <c r="T75" s="22" t="str">
        <f>IF(R75&lt;&gt;"",VLOOKUP(P75,Constants!$D$3:$E$10,2),"")</f>
        <v/>
      </c>
    </row>
    <row r="76" spans="2:20" x14ac:dyDescent="0.25">
      <c r="B76" s="59"/>
      <c r="C76" s="59"/>
      <c r="D76" s="60"/>
      <c r="E76" s="59"/>
      <c r="F76" s="59" t="str">
        <f t="shared" si="21"/>
        <v/>
      </c>
      <c r="G76" s="59"/>
      <c r="H76" s="61"/>
      <c r="I76" s="61"/>
      <c r="J76" s="61"/>
      <c r="K76" s="62"/>
      <c r="L76" s="10" t="str">
        <f t="shared" si="22"/>
        <v/>
      </c>
      <c r="M76" s="10" t="str">
        <f t="shared" si="23"/>
        <v/>
      </c>
      <c r="N76" s="11" t="str">
        <f t="shared" si="16"/>
        <v/>
      </c>
      <c r="O76" s="10" t="str">
        <f t="shared" si="17"/>
        <v/>
      </c>
      <c r="P76" s="39" t="str">
        <f t="shared" si="18"/>
        <v/>
      </c>
      <c r="Q76" s="13" t="str">
        <f t="shared" si="24"/>
        <v/>
      </c>
      <c r="R76" s="13" t="str">
        <f t="shared" si="19"/>
        <v/>
      </c>
      <c r="S76" s="13" t="str">
        <f t="shared" si="20"/>
        <v/>
      </c>
      <c r="T76" s="22" t="str">
        <f>IF(R76&lt;&gt;"",VLOOKUP(P76,Constants!$D$3:$E$10,2),"")</f>
        <v/>
      </c>
    </row>
    <row r="77" spans="2:20" x14ac:dyDescent="0.25">
      <c r="B77" s="59"/>
      <c r="C77" s="59"/>
      <c r="D77" s="60"/>
      <c r="E77" s="59"/>
      <c r="F77" s="59" t="str">
        <f t="shared" si="21"/>
        <v/>
      </c>
      <c r="G77" s="59"/>
      <c r="H77" s="61"/>
      <c r="I77" s="61"/>
      <c r="J77" s="61"/>
      <c r="K77" s="62"/>
      <c r="L77" s="10" t="str">
        <f t="shared" si="22"/>
        <v/>
      </c>
      <c r="M77" s="10" t="str">
        <f t="shared" si="23"/>
        <v/>
      </c>
      <c r="N77" s="11" t="str">
        <f t="shared" si="16"/>
        <v/>
      </c>
      <c r="O77" s="10" t="str">
        <f t="shared" si="17"/>
        <v/>
      </c>
      <c r="P77" s="39" t="str">
        <f t="shared" si="18"/>
        <v/>
      </c>
      <c r="Q77" s="13" t="str">
        <f t="shared" si="24"/>
        <v/>
      </c>
      <c r="R77" s="13" t="str">
        <f t="shared" si="19"/>
        <v/>
      </c>
      <c r="S77" s="13" t="str">
        <f t="shared" si="20"/>
        <v/>
      </c>
      <c r="T77" s="22" t="str">
        <f>IF(R77&lt;&gt;"",VLOOKUP(P77,Constants!$D$3:$E$10,2),"")</f>
        <v/>
      </c>
    </row>
    <row r="78" spans="2:20" x14ac:dyDescent="0.25">
      <c r="B78" s="59"/>
      <c r="C78" s="59"/>
      <c r="D78" s="60"/>
      <c r="E78" s="59"/>
      <c r="F78" s="59" t="str">
        <f t="shared" si="21"/>
        <v/>
      </c>
      <c r="G78" s="59"/>
      <c r="H78" s="61"/>
      <c r="I78" s="61"/>
      <c r="J78" s="61"/>
      <c r="K78" s="62"/>
      <c r="L78" s="10" t="str">
        <f t="shared" si="22"/>
        <v/>
      </c>
      <c r="M78" s="10" t="str">
        <f t="shared" si="23"/>
        <v/>
      </c>
      <c r="N78" s="11" t="str">
        <f t="shared" si="16"/>
        <v/>
      </c>
      <c r="O78" s="10" t="str">
        <f t="shared" si="17"/>
        <v/>
      </c>
      <c r="P78" s="39" t="str">
        <f t="shared" si="18"/>
        <v/>
      </c>
      <c r="Q78" s="13" t="str">
        <f t="shared" si="24"/>
        <v/>
      </c>
      <c r="R78" s="13" t="str">
        <f t="shared" si="19"/>
        <v/>
      </c>
      <c r="S78" s="13" t="str">
        <f t="shared" si="20"/>
        <v/>
      </c>
      <c r="T78" s="22" t="str">
        <f>IF(R78&lt;&gt;"",VLOOKUP(P78,Constants!$D$3:$E$10,2),"")</f>
        <v/>
      </c>
    </row>
    <row r="79" spans="2:20" x14ac:dyDescent="0.25">
      <c r="B79" s="59"/>
      <c r="C79" s="59"/>
      <c r="D79" s="60"/>
      <c r="E79" s="59"/>
      <c r="F79" s="59" t="str">
        <f t="shared" si="21"/>
        <v/>
      </c>
      <c r="G79" s="59"/>
      <c r="H79" s="61"/>
      <c r="I79" s="61"/>
      <c r="J79" s="61"/>
      <c r="K79" s="62"/>
      <c r="L79" s="10" t="str">
        <f t="shared" si="22"/>
        <v/>
      </c>
      <c r="M79" s="10" t="str">
        <f t="shared" si="23"/>
        <v/>
      </c>
      <c r="N79" s="11" t="str">
        <f t="shared" si="16"/>
        <v/>
      </c>
      <c r="O79" s="10" t="str">
        <f t="shared" si="17"/>
        <v/>
      </c>
      <c r="P79" s="39" t="str">
        <f t="shared" si="18"/>
        <v/>
      </c>
      <c r="Q79" s="13" t="str">
        <f t="shared" si="24"/>
        <v/>
      </c>
      <c r="R79" s="13" t="str">
        <f t="shared" si="19"/>
        <v/>
      </c>
      <c r="S79" s="13" t="str">
        <f t="shared" si="20"/>
        <v/>
      </c>
      <c r="T79" s="22" t="str">
        <f>IF(R79&lt;&gt;"",VLOOKUP(P79,Constants!$D$3:$E$10,2),"")</f>
        <v/>
      </c>
    </row>
    <row r="80" spans="2:20" x14ac:dyDescent="0.25">
      <c r="B80" s="59"/>
      <c r="C80" s="59"/>
      <c r="D80" s="60"/>
      <c r="E80" s="59"/>
      <c r="F80" s="59" t="str">
        <f t="shared" si="21"/>
        <v/>
      </c>
      <c r="G80" s="59"/>
      <c r="H80" s="61"/>
      <c r="I80" s="61"/>
      <c r="J80" s="61"/>
      <c r="K80" s="62"/>
      <c r="L80" s="10" t="str">
        <f t="shared" si="22"/>
        <v/>
      </c>
      <c r="M80" s="10" t="str">
        <f t="shared" si="23"/>
        <v/>
      </c>
      <c r="N80" s="11" t="str">
        <f t="shared" ref="N80:N143" si="25">IF($L80&lt;&gt;"",SQRT($L80*$L80+$M80*$M80),"")</f>
        <v/>
      </c>
      <c r="O80" s="10" t="str">
        <f t="shared" si="17"/>
        <v/>
      </c>
      <c r="P80" s="39" t="str">
        <f t="shared" si="18"/>
        <v/>
      </c>
      <c r="Q80" s="13" t="str">
        <f t="shared" si="24"/>
        <v/>
      </c>
      <c r="R80" s="13" t="str">
        <f t="shared" si="19"/>
        <v/>
      </c>
      <c r="S80" s="13" t="str">
        <f t="shared" si="20"/>
        <v/>
      </c>
      <c r="T80" s="22" t="str">
        <f>IF(R80&lt;&gt;"",VLOOKUP(P80,Constants!$D$3:$E$10,2),"")</f>
        <v/>
      </c>
    </row>
    <row r="81" spans="2:20" x14ac:dyDescent="0.25">
      <c r="B81" s="59"/>
      <c r="C81" s="59"/>
      <c r="D81" s="60"/>
      <c r="E81" s="59"/>
      <c r="F81" s="59" t="str">
        <f t="shared" si="21"/>
        <v/>
      </c>
      <c r="G81" s="59"/>
      <c r="H81" s="61"/>
      <c r="I81" s="61"/>
      <c r="J81" s="61"/>
      <c r="K81" s="62"/>
      <c r="L81" s="10" t="str">
        <f t="shared" si="22"/>
        <v/>
      </c>
      <c r="M81" s="10" t="str">
        <f t="shared" si="23"/>
        <v/>
      </c>
      <c r="N81" s="11" t="str">
        <f t="shared" si="25"/>
        <v/>
      </c>
      <c r="O81" s="10" t="str">
        <f t="shared" si="17"/>
        <v/>
      </c>
      <c r="P81" s="39" t="str">
        <f t="shared" si="18"/>
        <v/>
      </c>
      <c r="Q81" s="13" t="str">
        <f t="shared" si="24"/>
        <v/>
      </c>
      <c r="R81" s="13" t="str">
        <f t="shared" si="19"/>
        <v/>
      </c>
      <c r="S81" s="13" t="str">
        <f t="shared" si="20"/>
        <v/>
      </c>
      <c r="T81" s="22" t="str">
        <f>IF(R81&lt;&gt;"",VLOOKUP(P81,Constants!$D$3:$E$10,2),"")</f>
        <v/>
      </c>
    </row>
    <row r="82" spans="2:20" x14ac:dyDescent="0.25">
      <c r="B82" s="59"/>
      <c r="C82" s="59"/>
      <c r="D82" s="60"/>
      <c r="E82" s="59"/>
      <c r="F82" s="59" t="str">
        <f t="shared" si="21"/>
        <v/>
      </c>
      <c r="G82" s="59"/>
      <c r="H82" s="61"/>
      <c r="I82" s="61"/>
      <c r="J82" s="61"/>
      <c r="K82" s="62"/>
      <c r="L82" s="10" t="str">
        <f t="shared" si="22"/>
        <v/>
      </c>
      <c r="M82" s="10" t="str">
        <f t="shared" si="23"/>
        <v/>
      </c>
      <c r="N82" s="11" t="str">
        <f t="shared" si="25"/>
        <v/>
      </c>
      <c r="O82" s="10" t="str">
        <f t="shared" si="17"/>
        <v/>
      </c>
      <c r="P82" s="39" t="str">
        <f t="shared" si="18"/>
        <v/>
      </c>
      <c r="Q82" s="13" t="str">
        <f t="shared" si="24"/>
        <v/>
      </c>
      <c r="R82" s="13" t="str">
        <f t="shared" si="19"/>
        <v/>
      </c>
      <c r="S82" s="13" t="str">
        <f t="shared" si="20"/>
        <v/>
      </c>
      <c r="T82" s="22" t="str">
        <f>IF(R82&lt;&gt;"",VLOOKUP(P82,Constants!$D$3:$E$10,2),"")</f>
        <v/>
      </c>
    </row>
    <row r="83" spans="2:20" x14ac:dyDescent="0.25">
      <c r="B83" s="59"/>
      <c r="C83" s="59"/>
      <c r="D83" s="60"/>
      <c r="E83" s="59"/>
      <c r="F83" s="59" t="str">
        <f t="shared" si="21"/>
        <v/>
      </c>
      <c r="G83" s="59"/>
      <c r="H83" s="61"/>
      <c r="I83" s="61"/>
      <c r="J83" s="61"/>
      <c r="K83" s="62"/>
      <c r="L83" s="10" t="str">
        <f t="shared" si="22"/>
        <v/>
      </c>
      <c r="M83" s="10" t="str">
        <f t="shared" si="23"/>
        <v/>
      </c>
      <c r="N83" s="11" t="str">
        <f t="shared" si="25"/>
        <v/>
      </c>
      <c r="O83" s="10" t="str">
        <f t="shared" si="17"/>
        <v/>
      </c>
      <c r="P83" s="39" t="str">
        <f t="shared" si="18"/>
        <v/>
      </c>
      <c r="Q83" s="13" t="str">
        <f t="shared" si="24"/>
        <v/>
      </c>
      <c r="R83" s="13" t="str">
        <f t="shared" si="19"/>
        <v/>
      </c>
      <c r="S83" s="13" t="str">
        <f t="shared" si="20"/>
        <v/>
      </c>
      <c r="T83" s="22" t="str">
        <f>IF(R83&lt;&gt;"",VLOOKUP(P83,Constants!$D$3:$E$10,2),"")</f>
        <v/>
      </c>
    </row>
    <row r="84" spans="2:20" x14ac:dyDescent="0.25">
      <c r="B84" s="59"/>
      <c r="C84" s="59"/>
      <c r="D84" s="60"/>
      <c r="E84" s="59"/>
      <c r="F84" s="59" t="str">
        <f t="shared" si="21"/>
        <v/>
      </c>
      <c r="G84" s="59"/>
      <c r="H84" s="61"/>
      <c r="I84" s="61"/>
      <c r="J84" s="61"/>
      <c r="K84" s="62"/>
      <c r="L84" s="10" t="str">
        <f t="shared" si="22"/>
        <v/>
      </c>
      <c r="M84" s="10" t="str">
        <f t="shared" si="23"/>
        <v/>
      </c>
      <c r="N84" s="11" t="str">
        <f t="shared" si="25"/>
        <v/>
      </c>
      <c r="O84" s="10" t="str">
        <f t="shared" si="17"/>
        <v/>
      </c>
      <c r="P84" s="39" t="str">
        <f t="shared" si="18"/>
        <v/>
      </c>
      <c r="Q84" s="13" t="str">
        <f t="shared" si="24"/>
        <v/>
      </c>
      <c r="R84" s="13" t="str">
        <f t="shared" si="19"/>
        <v/>
      </c>
      <c r="S84" s="13" t="str">
        <f t="shared" si="20"/>
        <v/>
      </c>
      <c r="T84" s="22" t="str">
        <f>IF(R84&lt;&gt;"",VLOOKUP(P84,Constants!$D$3:$E$10,2),"")</f>
        <v/>
      </c>
    </row>
    <row r="85" spans="2:20" x14ac:dyDescent="0.25">
      <c r="B85" s="59"/>
      <c r="C85" s="59"/>
      <c r="D85" s="60"/>
      <c r="E85" s="59"/>
      <c r="F85" s="59" t="str">
        <f t="shared" si="21"/>
        <v/>
      </c>
      <c r="G85" s="59"/>
      <c r="H85" s="61"/>
      <c r="I85" s="61"/>
      <c r="J85" s="61"/>
      <c r="K85" s="62"/>
      <c r="L85" s="10" t="str">
        <f t="shared" si="22"/>
        <v/>
      </c>
      <c r="M85" s="10" t="str">
        <f t="shared" si="23"/>
        <v/>
      </c>
      <c r="N85" s="11" t="str">
        <f t="shared" si="25"/>
        <v/>
      </c>
      <c r="O85" s="10" t="str">
        <f t="shared" si="17"/>
        <v/>
      </c>
      <c r="P85" s="39" t="str">
        <f t="shared" si="18"/>
        <v/>
      </c>
      <c r="Q85" s="13" t="str">
        <f t="shared" si="24"/>
        <v/>
      </c>
      <c r="R85" s="13" t="str">
        <f t="shared" si="19"/>
        <v/>
      </c>
      <c r="S85" s="13" t="str">
        <f t="shared" si="20"/>
        <v/>
      </c>
      <c r="T85" s="22" t="str">
        <f>IF(R85&lt;&gt;"",VLOOKUP(P85,Constants!$D$3:$E$10,2),"")</f>
        <v/>
      </c>
    </row>
    <row r="86" spans="2:20" x14ac:dyDescent="0.25">
      <c r="B86" s="59"/>
      <c r="C86" s="59"/>
      <c r="D86" s="60"/>
      <c r="E86" s="59"/>
      <c r="F86" s="59" t="str">
        <f t="shared" si="21"/>
        <v/>
      </c>
      <c r="G86" s="59"/>
      <c r="H86" s="61"/>
      <c r="I86" s="61"/>
      <c r="J86" s="61"/>
      <c r="K86" s="62"/>
      <c r="L86" s="10" t="str">
        <f t="shared" si="22"/>
        <v/>
      </c>
      <c r="M86" s="10" t="str">
        <f t="shared" si="23"/>
        <v/>
      </c>
      <c r="N86" s="11" t="str">
        <f t="shared" si="25"/>
        <v/>
      </c>
      <c r="O86" s="10" t="str">
        <f t="shared" si="17"/>
        <v/>
      </c>
      <c r="P86" s="39" t="str">
        <f t="shared" si="18"/>
        <v/>
      </c>
      <c r="Q86" s="13" t="str">
        <f t="shared" si="24"/>
        <v/>
      </c>
      <c r="R86" s="13" t="str">
        <f t="shared" si="19"/>
        <v/>
      </c>
      <c r="S86" s="13" t="str">
        <f t="shared" si="20"/>
        <v/>
      </c>
      <c r="T86" s="22" t="str">
        <f>IF(R86&lt;&gt;"",VLOOKUP(P86,Constants!$D$3:$E$10,2),"")</f>
        <v/>
      </c>
    </row>
    <row r="87" spans="2:20" x14ac:dyDescent="0.25">
      <c r="B87" s="59"/>
      <c r="C87" s="59"/>
      <c r="D87" s="60"/>
      <c r="E87" s="59"/>
      <c r="F87" s="59" t="str">
        <f t="shared" si="21"/>
        <v/>
      </c>
      <c r="G87" s="59"/>
      <c r="H87" s="61"/>
      <c r="I87" s="61"/>
      <c r="J87" s="61"/>
      <c r="K87" s="62"/>
      <c r="L87" s="10" t="str">
        <f t="shared" si="22"/>
        <v/>
      </c>
      <c r="M87" s="10" t="str">
        <f t="shared" si="23"/>
        <v/>
      </c>
      <c r="N87" s="11" t="str">
        <f t="shared" si="25"/>
        <v/>
      </c>
      <c r="O87" s="10" t="str">
        <f t="shared" ref="O87:O150" si="26">IF(D87&lt;&gt;"",1000/(2*D87),"")</f>
        <v/>
      </c>
      <c r="P87" s="39" t="str">
        <f t="shared" ref="P87:P150" si="27">IF($N87&lt;&gt;"",D87*SQRT(E87*E87+F87*F87)/16000,"")</f>
        <v/>
      </c>
      <c r="Q87" s="13" t="str">
        <f t="shared" si="24"/>
        <v/>
      </c>
      <c r="R87" s="13" t="str">
        <f t="shared" ref="R87:R150" si="28">IF(G87&lt;&gt;"",1000/G87,"")</f>
        <v/>
      </c>
      <c r="S87" s="13" t="str">
        <f t="shared" si="20"/>
        <v/>
      </c>
      <c r="T87" s="22" t="str">
        <f>IF(R87&lt;&gt;"",VLOOKUP(P87,Constants!$D$3:$E$10,2),"")</f>
        <v/>
      </c>
    </row>
    <row r="88" spans="2:20" x14ac:dyDescent="0.25">
      <c r="B88" s="59"/>
      <c r="C88" s="59"/>
      <c r="D88" s="60"/>
      <c r="E88" s="59"/>
      <c r="F88" s="59" t="str">
        <f t="shared" si="21"/>
        <v/>
      </c>
      <c r="G88" s="59"/>
      <c r="H88" s="61"/>
      <c r="I88" s="61"/>
      <c r="J88" s="61"/>
      <c r="K88" s="62"/>
      <c r="L88" s="10" t="str">
        <f t="shared" si="22"/>
        <v/>
      </c>
      <c r="M88" s="10" t="str">
        <f t="shared" si="23"/>
        <v/>
      </c>
      <c r="N88" s="11" t="str">
        <f t="shared" si="25"/>
        <v/>
      </c>
      <c r="O88" s="10" t="str">
        <f t="shared" si="26"/>
        <v/>
      </c>
      <c r="P88" s="39" t="str">
        <f t="shared" si="27"/>
        <v/>
      </c>
      <c r="Q88" s="13" t="str">
        <f t="shared" si="24"/>
        <v/>
      </c>
      <c r="R88" s="13" t="str">
        <f t="shared" si="28"/>
        <v/>
      </c>
      <c r="S88" s="13" t="str">
        <f t="shared" si="20"/>
        <v/>
      </c>
      <c r="T88" s="22" t="str">
        <f>IF(R88&lt;&gt;"",VLOOKUP(P88,Constants!$D$3:$E$10,2),"")</f>
        <v/>
      </c>
    </row>
    <row r="89" spans="2:20" x14ac:dyDescent="0.25">
      <c r="B89" s="59"/>
      <c r="C89" s="59"/>
      <c r="D89" s="60"/>
      <c r="E89" s="59"/>
      <c r="F89" s="59" t="str">
        <f t="shared" si="21"/>
        <v/>
      </c>
      <c r="G89" s="59"/>
      <c r="H89" s="61"/>
      <c r="I89" s="61"/>
      <c r="J89" s="61"/>
      <c r="K89" s="62"/>
      <c r="L89" s="10" t="str">
        <f t="shared" si="22"/>
        <v/>
      </c>
      <c r="M89" s="10" t="str">
        <f t="shared" si="23"/>
        <v/>
      </c>
      <c r="N89" s="11" t="str">
        <f t="shared" si="25"/>
        <v/>
      </c>
      <c r="O89" s="10" t="str">
        <f t="shared" si="26"/>
        <v/>
      </c>
      <c r="P89" s="39" t="str">
        <f t="shared" si="27"/>
        <v/>
      </c>
      <c r="Q89" s="13" t="str">
        <f t="shared" si="24"/>
        <v/>
      </c>
      <c r="R89" s="13" t="str">
        <f t="shared" si="28"/>
        <v/>
      </c>
      <c r="S89" s="13" t="str">
        <f t="shared" si="20"/>
        <v/>
      </c>
      <c r="T89" s="22" t="str">
        <f>IF(R89&lt;&gt;"",VLOOKUP(P89,Constants!$D$3:$E$10,2),"")</f>
        <v/>
      </c>
    </row>
    <row r="90" spans="2:20" x14ac:dyDescent="0.25">
      <c r="B90" s="59"/>
      <c r="C90" s="59"/>
      <c r="D90" s="60"/>
      <c r="E90" s="59"/>
      <c r="F90" s="59" t="str">
        <f t="shared" si="21"/>
        <v/>
      </c>
      <c r="G90" s="59"/>
      <c r="H90" s="61"/>
      <c r="I90" s="61"/>
      <c r="J90" s="61"/>
      <c r="K90" s="62"/>
      <c r="L90" s="10" t="str">
        <f t="shared" si="22"/>
        <v/>
      </c>
      <c r="M90" s="10" t="str">
        <f t="shared" si="23"/>
        <v/>
      </c>
      <c r="N90" s="11" t="str">
        <f t="shared" si="25"/>
        <v/>
      </c>
      <c r="O90" s="10" t="str">
        <f t="shared" si="26"/>
        <v/>
      </c>
      <c r="P90" s="39" t="str">
        <f t="shared" si="27"/>
        <v/>
      </c>
      <c r="Q90" s="13" t="str">
        <f t="shared" si="24"/>
        <v/>
      </c>
      <c r="R90" s="13" t="str">
        <f t="shared" si="28"/>
        <v/>
      </c>
      <c r="S90" s="13" t="str">
        <f t="shared" si="20"/>
        <v/>
      </c>
      <c r="T90" s="22" t="str">
        <f>IF(R90&lt;&gt;"",VLOOKUP(P90,Constants!$D$3:$E$10,2),"")</f>
        <v/>
      </c>
    </row>
    <row r="91" spans="2:20" x14ac:dyDescent="0.25">
      <c r="B91" s="59"/>
      <c r="C91" s="59"/>
      <c r="D91" s="60"/>
      <c r="E91" s="59"/>
      <c r="F91" s="59" t="str">
        <f t="shared" si="21"/>
        <v/>
      </c>
      <c r="G91" s="59"/>
      <c r="H91" s="61"/>
      <c r="I91" s="61"/>
      <c r="J91" s="61"/>
      <c r="K91" s="62"/>
      <c r="L91" s="10" t="str">
        <f t="shared" si="22"/>
        <v/>
      </c>
      <c r="M91" s="10" t="str">
        <f t="shared" si="23"/>
        <v/>
      </c>
      <c r="N91" s="11" t="str">
        <f t="shared" si="25"/>
        <v/>
      </c>
      <c r="O91" s="10" t="str">
        <f t="shared" si="26"/>
        <v/>
      </c>
      <c r="P91" s="39" t="str">
        <f t="shared" si="27"/>
        <v/>
      </c>
      <c r="Q91" s="13" t="str">
        <f t="shared" si="24"/>
        <v/>
      </c>
      <c r="R91" s="13" t="str">
        <f t="shared" si="28"/>
        <v/>
      </c>
      <c r="S91" s="13" t="str">
        <f t="shared" si="20"/>
        <v/>
      </c>
      <c r="T91" s="22" t="str">
        <f>IF(R91&lt;&gt;"",VLOOKUP(P91,Constants!$D$3:$E$10,2),"")</f>
        <v/>
      </c>
    </row>
    <row r="92" spans="2:20" x14ac:dyDescent="0.25">
      <c r="B92" s="59"/>
      <c r="C92" s="59"/>
      <c r="D92" s="60"/>
      <c r="E92" s="59"/>
      <c r="F92" s="59" t="str">
        <f t="shared" si="21"/>
        <v/>
      </c>
      <c r="G92" s="59"/>
      <c r="H92" s="61"/>
      <c r="I92" s="61"/>
      <c r="J92" s="61"/>
      <c r="K92" s="62"/>
      <c r="L92" s="10" t="str">
        <f t="shared" si="22"/>
        <v/>
      </c>
      <c r="M92" s="10" t="str">
        <f t="shared" si="23"/>
        <v/>
      </c>
      <c r="N92" s="11" t="str">
        <f t="shared" si="25"/>
        <v/>
      </c>
      <c r="O92" s="10" t="str">
        <f t="shared" si="26"/>
        <v/>
      </c>
      <c r="P92" s="39" t="str">
        <f t="shared" si="27"/>
        <v/>
      </c>
      <c r="Q92" s="13" t="str">
        <f t="shared" si="24"/>
        <v/>
      </c>
      <c r="R92" s="13" t="str">
        <f t="shared" si="28"/>
        <v/>
      </c>
      <c r="S92" s="13" t="str">
        <f t="shared" si="20"/>
        <v/>
      </c>
      <c r="T92" s="22" t="str">
        <f>IF(R92&lt;&gt;"",VLOOKUP(P92,Constants!$D$3:$E$10,2),"")</f>
        <v/>
      </c>
    </row>
    <row r="93" spans="2:20" x14ac:dyDescent="0.25">
      <c r="B93" s="59"/>
      <c r="C93" s="59"/>
      <c r="D93" s="60"/>
      <c r="E93" s="59"/>
      <c r="F93" s="59" t="str">
        <f t="shared" si="21"/>
        <v/>
      </c>
      <c r="G93" s="59"/>
      <c r="H93" s="61"/>
      <c r="I93" s="61"/>
      <c r="J93" s="61"/>
      <c r="K93" s="62"/>
      <c r="L93" s="10" t="str">
        <f t="shared" si="22"/>
        <v/>
      </c>
      <c r="M93" s="10" t="str">
        <f t="shared" si="23"/>
        <v/>
      </c>
      <c r="N93" s="11" t="str">
        <f t="shared" si="25"/>
        <v/>
      </c>
      <c r="O93" s="10" t="str">
        <f t="shared" si="26"/>
        <v/>
      </c>
      <c r="P93" s="39" t="str">
        <f t="shared" si="27"/>
        <v/>
      </c>
      <c r="Q93" s="13" t="str">
        <f t="shared" si="24"/>
        <v/>
      </c>
      <c r="R93" s="13" t="str">
        <f t="shared" si="28"/>
        <v/>
      </c>
      <c r="S93" s="13" t="str">
        <f t="shared" si="20"/>
        <v/>
      </c>
      <c r="T93" s="22" t="str">
        <f>IF(R93&lt;&gt;"",VLOOKUP(P93,Constants!$D$3:$E$10,2),"")</f>
        <v/>
      </c>
    </row>
    <row r="94" spans="2:20" x14ac:dyDescent="0.25">
      <c r="B94" s="59"/>
      <c r="C94" s="59"/>
      <c r="D94" s="60"/>
      <c r="E94" s="59"/>
      <c r="F94" s="59" t="str">
        <f t="shared" si="21"/>
        <v/>
      </c>
      <c r="G94" s="59"/>
      <c r="H94" s="61"/>
      <c r="I94" s="61"/>
      <c r="J94" s="61"/>
      <c r="K94" s="62"/>
      <c r="L94" s="10" t="str">
        <f t="shared" si="22"/>
        <v/>
      </c>
      <c r="M94" s="10" t="str">
        <f t="shared" si="23"/>
        <v/>
      </c>
      <c r="N94" s="11" t="str">
        <f t="shared" si="25"/>
        <v/>
      </c>
      <c r="O94" s="10" t="str">
        <f t="shared" si="26"/>
        <v/>
      </c>
      <c r="P94" s="39" t="str">
        <f t="shared" si="27"/>
        <v/>
      </c>
      <c r="Q94" s="13" t="str">
        <f t="shared" si="24"/>
        <v/>
      </c>
      <c r="R94" s="13" t="str">
        <f t="shared" si="28"/>
        <v/>
      </c>
      <c r="S94" s="13" t="str">
        <f t="shared" si="20"/>
        <v/>
      </c>
      <c r="T94" s="22" t="str">
        <f>IF(R94&lt;&gt;"",VLOOKUP(P94,Constants!$D$3:$E$10,2),"")</f>
        <v/>
      </c>
    </row>
    <row r="95" spans="2:20" x14ac:dyDescent="0.25">
      <c r="B95" s="59"/>
      <c r="C95" s="59"/>
      <c r="D95" s="60"/>
      <c r="E95" s="59"/>
      <c r="F95" s="59" t="str">
        <f t="shared" si="21"/>
        <v/>
      </c>
      <c r="G95" s="59"/>
      <c r="H95" s="61"/>
      <c r="I95" s="61"/>
      <c r="J95" s="61"/>
      <c r="K95" s="62"/>
      <c r="L95" s="10" t="str">
        <f t="shared" si="22"/>
        <v/>
      </c>
      <c r="M95" s="10" t="str">
        <f t="shared" si="23"/>
        <v/>
      </c>
      <c r="N95" s="11" t="str">
        <f t="shared" si="25"/>
        <v/>
      </c>
      <c r="O95" s="10" t="str">
        <f t="shared" si="26"/>
        <v/>
      </c>
      <c r="P95" s="39" t="str">
        <f t="shared" si="27"/>
        <v/>
      </c>
      <c r="Q95" s="13" t="str">
        <f t="shared" si="24"/>
        <v/>
      </c>
      <c r="R95" s="13" t="str">
        <f t="shared" si="28"/>
        <v/>
      </c>
      <c r="S95" s="13" t="str">
        <f t="shared" si="20"/>
        <v/>
      </c>
      <c r="T95" s="22" t="str">
        <f>IF(R95&lt;&gt;"",VLOOKUP(P95,Constants!$D$3:$E$10,2),"")</f>
        <v/>
      </c>
    </row>
    <row r="96" spans="2:20" x14ac:dyDescent="0.25">
      <c r="B96" s="59"/>
      <c r="C96" s="59"/>
      <c r="D96" s="60"/>
      <c r="E96" s="59"/>
      <c r="F96" s="59" t="str">
        <f t="shared" si="21"/>
        <v/>
      </c>
      <c r="G96" s="59"/>
      <c r="H96" s="61"/>
      <c r="I96" s="61"/>
      <c r="J96" s="61"/>
      <c r="K96" s="62"/>
      <c r="L96" s="10" t="str">
        <f t="shared" si="22"/>
        <v/>
      </c>
      <c r="M96" s="10" t="str">
        <f t="shared" si="23"/>
        <v/>
      </c>
      <c r="N96" s="11" t="str">
        <f t="shared" si="25"/>
        <v/>
      </c>
      <c r="O96" s="10" t="str">
        <f t="shared" si="26"/>
        <v/>
      </c>
      <c r="P96" s="39" t="str">
        <f t="shared" si="27"/>
        <v/>
      </c>
      <c r="Q96" s="13" t="str">
        <f t="shared" si="24"/>
        <v/>
      </c>
      <c r="R96" s="13" t="str">
        <f t="shared" si="28"/>
        <v/>
      </c>
      <c r="S96" s="13" t="str">
        <f t="shared" si="20"/>
        <v/>
      </c>
      <c r="T96" s="22" t="str">
        <f>IF(R96&lt;&gt;"",VLOOKUP(P96,Constants!$D$3:$E$10,2),"")</f>
        <v/>
      </c>
    </row>
    <row r="97" spans="2:20" x14ac:dyDescent="0.25">
      <c r="B97" s="59"/>
      <c r="C97" s="59"/>
      <c r="D97" s="60"/>
      <c r="E97" s="59"/>
      <c r="F97" s="59" t="str">
        <f t="shared" si="21"/>
        <v/>
      </c>
      <c r="G97" s="59"/>
      <c r="H97" s="61"/>
      <c r="I97" s="61"/>
      <c r="J97" s="61"/>
      <c r="K97" s="62"/>
      <c r="L97" s="10" t="str">
        <f t="shared" si="22"/>
        <v/>
      </c>
      <c r="M97" s="10" t="str">
        <f t="shared" si="23"/>
        <v/>
      </c>
      <c r="N97" s="11" t="str">
        <f t="shared" si="25"/>
        <v/>
      </c>
      <c r="O97" s="10" t="str">
        <f t="shared" si="26"/>
        <v/>
      </c>
      <c r="P97" s="39" t="str">
        <f t="shared" si="27"/>
        <v/>
      </c>
      <c r="Q97" s="13" t="str">
        <f t="shared" si="24"/>
        <v/>
      </c>
      <c r="R97" s="13" t="str">
        <f t="shared" si="28"/>
        <v/>
      </c>
      <c r="S97" s="13" t="str">
        <f t="shared" si="20"/>
        <v/>
      </c>
      <c r="T97" s="22" t="str">
        <f>IF(R97&lt;&gt;"",VLOOKUP(P97,Constants!$D$3:$E$10,2),"")</f>
        <v/>
      </c>
    </row>
    <row r="98" spans="2:20" x14ac:dyDescent="0.25">
      <c r="B98" s="59"/>
      <c r="C98" s="59"/>
      <c r="D98" s="60"/>
      <c r="E98" s="59"/>
      <c r="F98" s="59" t="str">
        <f t="shared" si="21"/>
        <v/>
      </c>
      <c r="G98" s="59"/>
      <c r="H98" s="61"/>
      <c r="I98" s="61"/>
      <c r="J98" s="61"/>
      <c r="K98" s="62"/>
      <c r="L98" s="10" t="str">
        <f t="shared" si="22"/>
        <v/>
      </c>
      <c r="M98" s="10" t="str">
        <f t="shared" si="23"/>
        <v/>
      </c>
      <c r="N98" s="11" t="str">
        <f t="shared" si="25"/>
        <v/>
      </c>
      <c r="O98" s="10" t="str">
        <f t="shared" si="26"/>
        <v/>
      </c>
      <c r="P98" s="39" t="str">
        <f t="shared" si="27"/>
        <v/>
      </c>
      <c r="Q98" s="13" t="str">
        <f t="shared" si="24"/>
        <v/>
      </c>
      <c r="R98" s="13" t="str">
        <f t="shared" si="28"/>
        <v/>
      </c>
      <c r="S98" s="13" t="str">
        <f t="shared" si="20"/>
        <v/>
      </c>
      <c r="T98" s="22" t="str">
        <f>IF(R98&lt;&gt;"",VLOOKUP(P98,Constants!$D$3:$E$10,2),"")</f>
        <v/>
      </c>
    </row>
    <row r="99" spans="2:20" x14ac:dyDescent="0.25">
      <c r="B99" s="59"/>
      <c r="C99" s="59"/>
      <c r="D99" s="60"/>
      <c r="E99" s="59"/>
      <c r="F99" s="59" t="str">
        <f t="shared" si="21"/>
        <v/>
      </c>
      <c r="G99" s="59"/>
      <c r="H99" s="61"/>
      <c r="I99" s="61"/>
      <c r="J99" s="61"/>
      <c r="K99" s="62"/>
      <c r="L99" s="10" t="str">
        <f t="shared" si="22"/>
        <v/>
      </c>
      <c r="M99" s="10" t="str">
        <f t="shared" si="23"/>
        <v/>
      </c>
      <c r="N99" s="11" t="str">
        <f t="shared" si="25"/>
        <v/>
      </c>
      <c r="O99" s="10" t="str">
        <f t="shared" si="26"/>
        <v/>
      </c>
      <c r="P99" s="39" t="str">
        <f t="shared" si="27"/>
        <v/>
      </c>
      <c r="Q99" s="13" t="str">
        <f t="shared" si="24"/>
        <v/>
      </c>
      <c r="R99" s="13" t="str">
        <f t="shared" si="28"/>
        <v/>
      </c>
      <c r="S99" s="13" t="str">
        <f t="shared" si="20"/>
        <v/>
      </c>
      <c r="T99" s="22" t="str">
        <f>IF(R99&lt;&gt;"",VLOOKUP(P99,Constants!$D$3:$E$10,2),"")</f>
        <v/>
      </c>
    </row>
    <row r="100" spans="2:20" x14ac:dyDescent="0.25">
      <c r="B100" s="59"/>
      <c r="C100" s="59"/>
      <c r="D100" s="60"/>
      <c r="E100" s="59"/>
      <c r="F100" s="59" t="str">
        <f t="shared" si="21"/>
        <v/>
      </c>
      <c r="G100" s="59"/>
      <c r="H100" s="61"/>
      <c r="I100" s="61"/>
      <c r="J100" s="61"/>
      <c r="K100" s="62"/>
      <c r="L100" s="10" t="str">
        <f t="shared" si="22"/>
        <v/>
      </c>
      <c r="M100" s="10" t="str">
        <f t="shared" si="23"/>
        <v/>
      </c>
      <c r="N100" s="11" t="str">
        <f t="shared" si="25"/>
        <v/>
      </c>
      <c r="O100" s="10" t="str">
        <f t="shared" si="26"/>
        <v/>
      </c>
      <c r="P100" s="39" t="str">
        <f t="shared" si="27"/>
        <v/>
      </c>
      <c r="Q100" s="13" t="str">
        <f t="shared" si="24"/>
        <v/>
      </c>
      <c r="R100" s="13" t="str">
        <f t="shared" si="28"/>
        <v/>
      </c>
      <c r="S100" s="13" t="str">
        <f t="shared" si="20"/>
        <v/>
      </c>
      <c r="T100" s="22" t="str">
        <f>IF(R100&lt;&gt;"",VLOOKUP(P100,Constants!$D$3:$E$10,2),"")</f>
        <v/>
      </c>
    </row>
    <row r="101" spans="2:20" x14ac:dyDescent="0.25">
      <c r="B101" s="59"/>
      <c r="C101" s="59"/>
      <c r="D101" s="60"/>
      <c r="E101" s="59"/>
      <c r="F101" s="59" t="str">
        <f t="shared" si="21"/>
        <v/>
      </c>
      <c r="G101" s="59"/>
      <c r="H101" s="61"/>
      <c r="I101" s="61"/>
      <c r="J101" s="61"/>
      <c r="K101" s="62"/>
      <c r="L101" s="10" t="str">
        <f t="shared" si="22"/>
        <v/>
      </c>
      <c r="M101" s="10" t="str">
        <f t="shared" si="23"/>
        <v/>
      </c>
      <c r="N101" s="11" t="str">
        <f t="shared" si="25"/>
        <v/>
      </c>
      <c r="O101" s="10" t="str">
        <f t="shared" si="26"/>
        <v/>
      </c>
      <c r="P101" s="39" t="str">
        <f t="shared" si="27"/>
        <v/>
      </c>
      <c r="Q101" s="13" t="str">
        <f t="shared" si="24"/>
        <v/>
      </c>
      <c r="R101" s="13" t="str">
        <f t="shared" si="28"/>
        <v/>
      </c>
      <c r="S101" s="13" t="str">
        <f t="shared" si="20"/>
        <v/>
      </c>
      <c r="T101" s="22" t="str">
        <f>IF(R101&lt;&gt;"",VLOOKUP(P101,Constants!$D$3:$E$10,2),"")</f>
        <v/>
      </c>
    </row>
    <row r="102" spans="2:20" x14ac:dyDescent="0.25">
      <c r="B102" s="59"/>
      <c r="C102" s="59"/>
      <c r="D102" s="60"/>
      <c r="E102" s="59"/>
      <c r="F102" s="59" t="str">
        <f t="shared" si="21"/>
        <v/>
      </c>
      <c r="G102" s="59"/>
      <c r="H102" s="61"/>
      <c r="I102" s="61"/>
      <c r="J102" s="61"/>
      <c r="K102" s="62"/>
      <c r="L102" s="10" t="str">
        <f t="shared" si="22"/>
        <v/>
      </c>
      <c r="M102" s="10" t="str">
        <f t="shared" si="23"/>
        <v/>
      </c>
      <c r="N102" s="11" t="str">
        <f t="shared" si="25"/>
        <v/>
      </c>
      <c r="O102" s="10" t="str">
        <f t="shared" si="26"/>
        <v/>
      </c>
      <c r="P102" s="39" t="str">
        <f t="shared" si="27"/>
        <v/>
      </c>
      <c r="Q102" s="13" t="str">
        <f t="shared" si="24"/>
        <v/>
      </c>
      <c r="R102" s="13" t="str">
        <f t="shared" si="28"/>
        <v/>
      </c>
      <c r="S102" s="13" t="str">
        <f t="shared" si="20"/>
        <v/>
      </c>
      <c r="T102" s="22" t="str">
        <f>IF(R102&lt;&gt;"",VLOOKUP(P102,Constants!$D$3:$E$10,2),"")</f>
        <v/>
      </c>
    </row>
    <row r="103" spans="2:20" x14ac:dyDescent="0.25">
      <c r="B103" s="59"/>
      <c r="C103" s="59"/>
      <c r="D103" s="60"/>
      <c r="E103" s="59"/>
      <c r="F103" s="59" t="str">
        <f t="shared" si="21"/>
        <v/>
      </c>
      <c r="G103" s="59"/>
      <c r="H103" s="61"/>
      <c r="I103" s="61"/>
      <c r="J103" s="61"/>
      <c r="K103" s="62"/>
      <c r="L103" s="10" t="str">
        <f t="shared" si="22"/>
        <v/>
      </c>
      <c r="M103" s="10" t="str">
        <f t="shared" si="23"/>
        <v/>
      </c>
      <c r="N103" s="11" t="str">
        <f t="shared" si="25"/>
        <v/>
      </c>
      <c r="O103" s="10" t="str">
        <f t="shared" si="26"/>
        <v/>
      </c>
      <c r="P103" s="39" t="str">
        <f t="shared" si="27"/>
        <v/>
      </c>
      <c r="Q103" s="13" t="str">
        <f t="shared" si="24"/>
        <v/>
      </c>
      <c r="R103" s="13" t="str">
        <f t="shared" si="28"/>
        <v/>
      </c>
      <c r="S103" s="13" t="str">
        <f t="shared" si="20"/>
        <v/>
      </c>
      <c r="T103" s="22" t="str">
        <f>IF(R103&lt;&gt;"",VLOOKUP(P103,Constants!$D$3:$E$10,2),"")</f>
        <v/>
      </c>
    </row>
    <row r="104" spans="2:20" x14ac:dyDescent="0.25">
      <c r="B104" s="59"/>
      <c r="C104" s="59"/>
      <c r="D104" s="60"/>
      <c r="E104" s="59"/>
      <c r="F104" s="59" t="str">
        <f t="shared" si="21"/>
        <v/>
      </c>
      <c r="G104" s="59"/>
      <c r="H104" s="61"/>
      <c r="I104" s="61"/>
      <c r="J104" s="61"/>
      <c r="K104" s="62"/>
      <c r="L104" s="10" t="str">
        <f t="shared" si="22"/>
        <v/>
      </c>
      <c r="M104" s="10" t="str">
        <f t="shared" si="23"/>
        <v/>
      </c>
      <c r="N104" s="11" t="str">
        <f t="shared" si="25"/>
        <v/>
      </c>
      <c r="O104" s="10" t="str">
        <f t="shared" si="26"/>
        <v/>
      </c>
      <c r="P104" s="39" t="str">
        <f t="shared" si="27"/>
        <v/>
      </c>
      <c r="Q104" s="13" t="str">
        <f t="shared" si="24"/>
        <v/>
      </c>
      <c r="R104" s="13" t="str">
        <f t="shared" si="28"/>
        <v/>
      </c>
      <c r="S104" s="13" t="str">
        <f t="shared" si="20"/>
        <v/>
      </c>
      <c r="T104" s="22" t="str">
        <f>IF(R104&lt;&gt;"",VLOOKUP(P104,Constants!$D$3:$E$10,2),"")</f>
        <v/>
      </c>
    </row>
    <row r="105" spans="2:20" x14ac:dyDescent="0.25">
      <c r="B105" s="59"/>
      <c r="C105" s="59"/>
      <c r="D105" s="60"/>
      <c r="E105" s="59"/>
      <c r="F105" s="59" t="str">
        <f t="shared" si="21"/>
        <v/>
      </c>
      <c r="G105" s="59"/>
      <c r="H105" s="61"/>
      <c r="I105" s="61"/>
      <c r="J105" s="61"/>
      <c r="K105" s="62"/>
      <c r="L105" s="10" t="str">
        <f t="shared" si="22"/>
        <v/>
      </c>
      <c r="M105" s="10" t="str">
        <f t="shared" si="23"/>
        <v/>
      </c>
      <c r="N105" s="11" t="str">
        <f t="shared" si="25"/>
        <v/>
      </c>
      <c r="O105" s="10" t="str">
        <f t="shared" si="26"/>
        <v/>
      </c>
      <c r="P105" s="39" t="str">
        <f t="shared" si="27"/>
        <v/>
      </c>
      <c r="Q105" s="13" t="str">
        <f t="shared" si="24"/>
        <v/>
      </c>
      <c r="R105" s="13" t="str">
        <f t="shared" si="28"/>
        <v/>
      </c>
      <c r="S105" s="13" t="str">
        <f t="shared" si="20"/>
        <v/>
      </c>
      <c r="T105" s="22" t="str">
        <f>IF(R105&lt;&gt;"",VLOOKUP(P105,Constants!$D$3:$E$10,2),"")</f>
        <v/>
      </c>
    </row>
    <row r="106" spans="2:20" x14ac:dyDescent="0.25">
      <c r="B106" s="59"/>
      <c r="C106" s="59"/>
      <c r="D106" s="60"/>
      <c r="E106" s="59"/>
      <c r="F106" s="59" t="str">
        <f t="shared" si="21"/>
        <v/>
      </c>
      <c r="G106" s="59"/>
      <c r="H106" s="61"/>
      <c r="I106" s="61"/>
      <c r="J106" s="61"/>
      <c r="K106" s="62"/>
      <c r="L106" s="10" t="str">
        <f t="shared" si="22"/>
        <v/>
      </c>
      <c r="M106" s="10" t="str">
        <f t="shared" si="23"/>
        <v/>
      </c>
      <c r="N106" s="11" t="str">
        <f t="shared" si="25"/>
        <v/>
      </c>
      <c r="O106" s="10" t="str">
        <f t="shared" si="26"/>
        <v/>
      </c>
      <c r="P106" s="39" t="str">
        <f t="shared" si="27"/>
        <v/>
      </c>
      <c r="Q106" s="13" t="str">
        <f t="shared" si="24"/>
        <v/>
      </c>
      <c r="R106" s="13" t="str">
        <f t="shared" si="28"/>
        <v/>
      </c>
      <c r="S106" s="13" t="str">
        <f t="shared" si="20"/>
        <v/>
      </c>
      <c r="T106" s="22" t="str">
        <f>IF(R106&lt;&gt;"",VLOOKUP(P106,Constants!$D$3:$E$10,2),"")</f>
        <v/>
      </c>
    </row>
    <row r="107" spans="2:20" x14ac:dyDescent="0.25">
      <c r="B107" s="59"/>
      <c r="C107" s="59"/>
      <c r="D107" s="60"/>
      <c r="E107" s="59"/>
      <c r="F107" s="59" t="str">
        <f t="shared" si="21"/>
        <v/>
      </c>
      <c r="G107" s="59"/>
      <c r="H107" s="61"/>
      <c r="I107" s="61"/>
      <c r="J107" s="61"/>
      <c r="K107" s="62"/>
      <c r="L107" s="10" t="str">
        <f t="shared" si="22"/>
        <v/>
      </c>
      <c r="M107" s="10" t="str">
        <f t="shared" si="23"/>
        <v/>
      </c>
      <c r="N107" s="11" t="str">
        <f t="shared" si="25"/>
        <v/>
      </c>
      <c r="O107" s="10" t="str">
        <f t="shared" si="26"/>
        <v/>
      </c>
      <c r="P107" s="39" t="str">
        <f t="shared" si="27"/>
        <v/>
      </c>
      <c r="Q107" s="13" t="str">
        <f t="shared" si="24"/>
        <v/>
      </c>
      <c r="R107" s="13" t="str">
        <f t="shared" si="28"/>
        <v/>
      </c>
      <c r="S107" s="13" t="str">
        <f t="shared" si="20"/>
        <v/>
      </c>
      <c r="T107" s="22" t="str">
        <f>IF(R107&lt;&gt;"",VLOOKUP(P107,Constants!$D$3:$E$10,2),"")</f>
        <v/>
      </c>
    </row>
    <row r="108" spans="2:20" x14ac:dyDescent="0.25">
      <c r="B108" s="59"/>
      <c r="C108" s="59"/>
      <c r="D108" s="60"/>
      <c r="E108" s="59"/>
      <c r="F108" s="59" t="str">
        <f t="shared" si="21"/>
        <v/>
      </c>
      <c r="G108" s="59"/>
      <c r="H108" s="61"/>
      <c r="I108" s="61"/>
      <c r="J108" s="61"/>
      <c r="K108" s="62"/>
      <c r="L108" s="10" t="str">
        <f t="shared" si="22"/>
        <v/>
      </c>
      <c r="M108" s="10" t="str">
        <f t="shared" si="23"/>
        <v/>
      </c>
      <c r="N108" s="11" t="str">
        <f t="shared" si="25"/>
        <v/>
      </c>
      <c r="O108" s="10" t="str">
        <f t="shared" si="26"/>
        <v/>
      </c>
      <c r="P108" s="39" t="str">
        <f t="shared" si="27"/>
        <v/>
      </c>
      <c r="Q108" s="13" t="str">
        <f t="shared" si="24"/>
        <v/>
      </c>
      <c r="R108" s="13" t="str">
        <f t="shared" si="28"/>
        <v/>
      </c>
      <c r="S108" s="13" t="str">
        <f t="shared" si="20"/>
        <v/>
      </c>
      <c r="T108" s="22" t="str">
        <f>IF(R108&lt;&gt;"",VLOOKUP(P108,Constants!$D$3:$E$10,2),"")</f>
        <v/>
      </c>
    </row>
    <row r="109" spans="2:20" x14ac:dyDescent="0.25">
      <c r="B109" s="59"/>
      <c r="C109" s="59"/>
      <c r="D109" s="60"/>
      <c r="E109" s="59"/>
      <c r="F109" s="59" t="str">
        <f t="shared" si="21"/>
        <v/>
      </c>
      <c r="G109" s="59"/>
      <c r="H109" s="61"/>
      <c r="I109" s="61"/>
      <c r="J109" s="61"/>
      <c r="K109" s="62"/>
      <c r="L109" s="10" t="str">
        <f t="shared" si="22"/>
        <v/>
      </c>
      <c r="M109" s="10" t="str">
        <f t="shared" si="23"/>
        <v/>
      </c>
      <c r="N109" s="11" t="str">
        <f t="shared" si="25"/>
        <v/>
      </c>
      <c r="O109" s="10" t="str">
        <f t="shared" si="26"/>
        <v/>
      </c>
      <c r="P109" s="39" t="str">
        <f t="shared" si="27"/>
        <v/>
      </c>
      <c r="Q109" s="13" t="str">
        <f t="shared" si="24"/>
        <v/>
      </c>
      <c r="R109" s="13" t="str">
        <f t="shared" si="28"/>
        <v/>
      </c>
      <c r="S109" s="13" t="str">
        <f t="shared" si="20"/>
        <v/>
      </c>
      <c r="T109" s="22" t="str">
        <f>IF(R109&lt;&gt;"",VLOOKUP(P109,Constants!$D$3:$E$10,2),"")</f>
        <v/>
      </c>
    </row>
    <row r="110" spans="2:20" x14ac:dyDescent="0.25">
      <c r="B110" s="59"/>
      <c r="C110" s="59"/>
      <c r="D110" s="60"/>
      <c r="E110" s="59"/>
      <c r="F110" s="59" t="str">
        <f t="shared" si="21"/>
        <v/>
      </c>
      <c r="G110" s="59"/>
      <c r="H110" s="61"/>
      <c r="I110" s="61"/>
      <c r="J110" s="61"/>
      <c r="K110" s="62"/>
      <c r="L110" s="10" t="str">
        <f t="shared" si="22"/>
        <v/>
      </c>
      <c r="M110" s="10" t="str">
        <f t="shared" si="23"/>
        <v/>
      </c>
      <c r="N110" s="11" t="str">
        <f t="shared" si="25"/>
        <v/>
      </c>
      <c r="O110" s="10" t="str">
        <f t="shared" si="26"/>
        <v/>
      </c>
      <c r="P110" s="39" t="str">
        <f t="shared" si="27"/>
        <v/>
      </c>
      <c r="Q110" s="13" t="str">
        <f t="shared" si="24"/>
        <v/>
      </c>
      <c r="R110" s="13" t="str">
        <f t="shared" si="28"/>
        <v/>
      </c>
      <c r="S110" s="13" t="str">
        <f t="shared" si="20"/>
        <v/>
      </c>
      <c r="T110" s="22" t="str">
        <f>IF(R110&lt;&gt;"",VLOOKUP(P110,Constants!$D$3:$E$10,2),"")</f>
        <v/>
      </c>
    </row>
    <row r="111" spans="2:20" x14ac:dyDescent="0.25">
      <c r="B111" s="59"/>
      <c r="C111" s="59"/>
      <c r="D111" s="60"/>
      <c r="E111" s="59"/>
      <c r="F111" s="59" t="str">
        <f t="shared" si="21"/>
        <v/>
      </c>
      <c r="G111" s="59"/>
      <c r="H111" s="61"/>
      <c r="I111" s="61"/>
      <c r="J111" s="61"/>
      <c r="K111" s="62"/>
      <c r="L111" s="10" t="str">
        <f t="shared" si="22"/>
        <v/>
      </c>
      <c r="M111" s="10" t="str">
        <f t="shared" si="23"/>
        <v/>
      </c>
      <c r="N111" s="11" t="str">
        <f t="shared" si="25"/>
        <v/>
      </c>
      <c r="O111" s="10" t="str">
        <f t="shared" si="26"/>
        <v/>
      </c>
      <c r="P111" s="39" t="str">
        <f t="shared" si="27"/>
        <v/>
      </c>
      <c r="Q111" s="13" t="str">
        <f t="shared" si="24"/>
        <v/>
      </c>
      <c r="R111" s="13" t="str">
        <f t="shared" si="28"/>
        <v/>
      </c>
      <c r="S111" s="13" t="str">
        <f t="shared" si="20"/>
        <v/>
      </c>
      <c r="T111" s="22" t="str">
        <f>IF(R111&lt;&gt;"",VLOOKUP(P111,Constants!$D$3:$E$10,2),"")</f>
        <v/>
      </c>
    </row>
    <row r="112" spans="2:20" x14ac:dyDescent="0.25">
      <c r="B112" s="59"/>
      <c r="C112" s="59"/>
      <c r="D112" s="60"/>
      <c r="E112" s="59"/>
      <c r="F112" s="59" t="str">
        <f t="shared" si="21"/>
        <v/>
      </c>
      <c r="G112" s="59"/>
      <c r="H112" s="61"/>
      <c r="I112" s="61"/>
      <c r="J112" s="61"/>
      <c r="K112" s="62"/>
      <c r="L112" s="10" t="str">
        <f t="shared" si="22"/>
        <v/>
      </c>
      <c r="M112" s="10" t="str">
        <f t="shared" si="23"/>
        <v/>
      </c>
      <c r="N112" s="11" t="str">
        <f t="shared" si="25"/>
        <v/>
      </c>
      <c r="O112" s="10" t="str">
        <f t="shared" si="26"/>
        <v/>
      </c>
      <c r="P112" s="39" t="str">
        <f t="shared" si="27"/>
        <v/>
      </c>
      <c r="Q112" s="13" t="str">
        <f t="shared" si="24"/>
        <v/>
      </c>
      <c r="R112" s="13" t="str">
        <f t="shared" si="28"/>
        <v/>
      </c>
      <c r="S112" s="13" t="str">
        <f t="shared" si="20"/>
        <v/>
      </c>
      <c r="T112" s="22" t="str">
        <f>IF(R112&lt;&gt;"",VLOOKUP(P112,Constants!$D$3:$E$10,2),"")</f>
        <v/>
      </c>
    </row>
    <row r="113" spans="2:20" x14ac:dyDescent="0.25">
      <c r="B113" s="59"/>
      <c r="C113" s="59"/>
      <c r="D113" s="60"/>
      <c r="E113" s="59"/>
      <c r="F113" s="59" t="str">
        <f t="shared" si="21"/>
        <v/>
      </c>
      <c r="G113" s="59"/>
      <c r="H113" s="61"/>
      <c r="I113" s="61"/>
      <c r="J113" s="61"/>
      <c r="K113" s="62"/>
      <c r="L113" s="10" t="str">
        <f t="shared" si="22"/>
        <v/>
      </c>
      <c r="M113" s="10" t="str">
        <f t="shared" si="23"/>
        <v/>
      </c>
      <c r="N113" s="11" t="str">
        <f t="shared" si="25"/>
        <v/>
      </c>
      <c r="O113" s="10" t="str">
        <f t="shared" si="26"/>
        <v/>
      </c>
      <c r="P113" s="39" t="str">
        <f t="shared" si="27"/>
        <v/>
      </c>
      <c r="Q113" s="13" t="str">
        <f t="shared" si="24"/>
        <v/>
      </c>
      <c r="R113" s="13" t="str">
        <f t="shared" si="28"/>
        <v/>
      </c>
      <c r="S113" s="13" t="str">
        <f t="shared" si="20"/>
        <v/>
      </c>
      <c r="T113" s="22" t="str">
        <f>IF(R113&lt;&gt;"",VLOOKUP(P113,Constants!$D$3:$E$10,2),"")</f>
        <v/>
      </c>
    </row>
    <row r="114" spans="2:20" x14ac:dyDescent="0.25">
      <c r="B114" s="59"/>
      <c r="C114" s="59"/>
      <c r="D114" s="60"/>
      <c r="E114" s="59"/>
      <c r="F114" s="59" t="str">
        <f t="shared" si="21"/>
        <v/>
      </c>
      <c r="G114" s="59"/>
      <c r="H114" s="61"/>
      <c r="I114" s="61"/>
      <c r="J114" s="61"/>
      <c r="K114" s="62"/>
      <c r="L114" s="10" t="str">
        <f t="shared" si="22"/>
        <v/>
      </c>
      <c r="M114" s="10" t="str">
        <f t="shared" si="23"/>
        <v/>
      </c>
      <c r="N114" s="11" t="str">
        <f t="shared" si="25"/>
        <v/>
      </c>
      <c r="O114" s="10" t="str">
        <f t="shared" si="26"/>
        <v/>
      </c>
      <c r="P114" s="39" t="str">
        <f t="shared" si="27"/>
        <v/>
      </c>
      <c r="Q114" s="13" t="str">
        <f t="shared" si="24"/>
        <v/>
      </c>
      <c r="R114" s="13" t="str">
        <f t="shared" si="28"/>
        <v/>
      </c>
      <c r="S114" s="13" t="str">
        <f t="shared" si="20"/>
        <v/>
      </c>
      <c r="T114" s="22" t="str">
        <f>IF(R114&lt;&gt;"",VLOOKUP(P114,Constants!$D$3:$E$10,2),"")</f>
        <v/>
      </c>
    </row>
    <row r="115" spans="2:20" x14ac:dyDescent="0.25">
      <c r="B115" s="59"/>
      <c r="C115" s="59"/>
      <c r="D115" s="60"/>
      <c r="E115" s="59"/>
      <c r="F115" s="59" t="str">
        <f t="shared" si="21"/>
        <v/>
      </c>
      <c r="G115" s="59"/>
      <c r="H115" s="61"/>
      <c r="I115" s="61"/>
      <c r="J115" s="61"/>
      <c r="K115" s="62"/>
      <c r="L115" s="10" t="str">
        <f t="shared" si="22"/>
        <v/>
      </c>
      <c r="M115" s="10" t="str">
        <f t="shared" si="23"/>
        <v/>
      </c>
      <c r="N115" s="11" t="str">
        <f t="shared" si="25"/>
        <v/>
      </c>
      <c r="O115" s="10" t="str">
        <f t="shared" si="26"/>
        <v/>
      </c>
      <c r="P115" s="39" t="str">
        <f t="shared" si="27"/>
        <v/>
      </c>
      <c r="Q115" s="13" t="str">
        <f t="shared" si="24"/>
        <v/>
      </c>
      <c r="R115" s="13" t="str">
        <f t="shared" si="28"/>
        <v/>
      </c>
      <c r="S115" s="13" t="str">
        <f t="shared" si="20"/>
        <v/>
      </c>
      <c r="T115" s="22" t="str">
        <f>IF(R115&lt;&gt;"",VLOOKUP(P115,Constants!$D$3:$E$10,2),"")</f>
        <v/>
      </c>
    </row>
    <row r="116" spans="2:20" x14ac:dyDescent="0.25">
      <c r="B116" s="59"/>
      <c r="C116" s="59"/>
      <c r="D116" s="60"/>
      <c r="E116" s="59"/>
      <c r="F116" s="59" t="str">
        <f t="shared" si="21"/>
        <v/>
      </c>
      <c r="G116" s="59"/>
      <c r="H116" s="61"/>
      <c r="I116" s="61"/>
      <c r="J116" s="61"/>
      <c r="K116" s="62"/>
      <c r="L116" s="10" t="str">
        <f t="shared" si="22"/>
        <v/>
      </c>
      <c r="M116" s="10" t="str">
        <f t="shared" si="23"/>
        <v/>
      </c>
      <c r="N116" s="11" t="str">
        <f t="shared" si="25"/>
        <v/>
      </c>
      <c r="O116" s="10" t="str">
        <f t="shared" si="26"/>
        <v/>
      </c>
      <c r="P116" s="39" t="str">
        <f t="shared" si="27"/>
        <v/>
      </c>
      <c r="Q116" s="13" t="str">
        <f t="shared" si="24"/>
        <v/>
      </c>
      <c r="R116" s="13" t="str">
        <f t="shared" si="28"/>
        <v/>
      </c>
      <c r="S116" s="13" t="str">
        <f t="shared" si="20"/>
        <v/>
      </c>
      <c r="T116" s="22" t="str">
        <f>IF(R116&lt;&gt;"",VLOOKUP(P116,Constants!$D$3:$E$10,2),"")</f>
        <v/>
      </c>
    </row>
    <row r="117" spans="2:20" x14ac:dyDescent="0.25">
      <c r="B117" s="59"/>
      <c r="C117" s="59"/>
      <c r="D117" s="60"/>
      <c r="E117" s="59"/>
      <c r="F117" s="59" t="str">
        <f t="shared" si="21"/>
        <v/>
      </c>
      <c r="G117" s="59"/>
      <c r="H117" s="61"/>
      <c r="I117" s="61"/>
      <c r="J117" s="61"/>
      <c r="K117" s="62"/>
      <c r="L117" s="10" t="str">
        <f t="shared" si="22"/>
        <v/>
      </c>
      <c r="M117" s="10" t="str">
        <f t="shared" si="23"/>
        <v/>
      </c>
      <c r="N117" s="11" t="str">
        <f t="shared" si="25"/>
        <v/>
      </c>
      <c r="O117" s="10" t="str">
        <f t="shared" si="26"/>
        <v/>
      </c>
      <c r="P117" s="39" t="str">
        <f t="shared" si="27"/>
        <v/>
      </c>
      <c r="Q117" s="13" t="str">
        <f t="shared" si="24"/>
        <v/>
      </c>
      <c r="R117" s="13" t="str">
        <f t="shared" si="28"/>
        <v/>
      </c>
      <c r="S117" s="13" t="str">
        <f t="shared" si="20"/>
        <v/>
      </c>
      <c r="T117" s="22" t="str">
        <f>IF(R117&lt;&gt;"",VLOOKUP(P117,Constants!$D$3:$E$10,2),"")</f>
        <v/>
      </c>
    </row>
    <row r="118" spans="2:20" x14ac:dyDescent="0.25">
      <c r="B118" s="59"/>
      <c r="C118" s="59"/>
      <c r="D118" s="60"/>
      <c r="E118" s="59"/>
      <c r="F118" s="59" t="str">
        <f t="shared" si="21"/>
        <v/>
      </c>
      <c r="G118" s="59"/>
      <c r="H118" s="61"/>
      <c r="I118" s="61"/>
      <c r="J118" s="61"/>
      <c r="K118" s="62"/>
      <c r="L118" s="10" t="str">
        <f t="shared" si="22"/>
        <v/>
      </c>
      <c r="M118" s="10" t="str">
        <f t="shared" si="23"/>
        <v/>
      </c>
      <c r="N118" s="11" t="str">
        <f t="shared" si="25"/>
        <v/>
      </c>
      <c r="O118" s="10" t="str">
        <f t="shared" si="26"/>
        <v/>
      </c>
      <c r="P118" s="39" t="str">
        <f t="shared" si="27"/>
        <v/>
      </c>
      <c r="Q118" s="13" t="str">
        <f t="shared" si="24"/>
        <v/>
      </c>
      <c r="R118" s="13" t="str">
        <f t="shared" si="28"/>
        <v/>
      </c>
      <c r="S118" s="13" t="str">
        <f t="shared" si="20"/>
        <v/>
      </c>
      <c r="T118" s="22" t="str">
        <f>IF(R118&lt;&gt;"",VLOOKUP(P118,Constants!$D$3:$E$10,2),"")</f>
        <v/>
      </c>
    </row>
    <row r="119" spans="2:20" x14ac:dyDescent="0.25">
      <c r="B119" s="59"/>
      <c r="C119" s="59"/>
      <c r="D119" s="60"/>
      <c r="E119" s="59"/>
      <c r="F119" s="59" t="str">
        <f t="shared" si="21"/>
        <v/>
      </c>
      <c r="G119" s="59"/>
      <c r="H119" s="61"/>
      <c r="I119" s="61"/>
      <c r="J119" s="61"/>
      <c r="K119" s="62"/>
      <c r="L119" s="10" t="str">
        <f t="shared" si="22"/>
        <v/>
      </c>
      <c r="M119" s="10" t="str">
        <f t="shared" si="23"/>
        <v/>
      </c>
      <c r="N119" s="11" t="str">
        <f t="shared" si="25"/>
        <v/>
      </c>
      <c r="O119" s="10" t="str">
        <f t="shared" si="26"/>
        <v/>
      </c>
      <c r="P119" s="39" t="str">
        <f t="shared" si="27"/>
        <v/>
      </c>
      <c r="Q119" s="13" t="str">
        <f t="shared" si="24"/>
        <v/>
      </c>
      <c r="R119" s="13" t="str">
        <f t="shared" si="28"/>
        <v/>
      </c>
      <c r="S119" s="13" t="str">
        <f t="shared" si="20"/>
        <v/>
      </c>
      <c r="T119" s="22" t="str">
        <f>IF(R119&lt;&gt;"",VLOOKUP(P119,Constants!$D$3:$E$10,2),"")</f>
        <v/>
      </c>
    </row>
    <row r="120" spans="2:20" x14ac:dyDescent="0.25">
      <c r="B120" s="59"/>
      <c r="C120" s="59"/>
      <c r="D120" s="60"/>
      <c r="E120" s="59"/>
      <c r="F120" s="59" t="str">
        <f t="shared" si="21"/>
        <v/>
      </c>
      <c r="G120" s="59"/>
      <c r="H120" s="61"/>
      <c r="I120" s="61"/>
      <c r="J120" s="61"/>
      <c r="K120" s="62"/>
      <c r="L120" s="10" t="str">
        <f t="shared" si="22"/>
        <v/>
      </c>
      <c r="M120" s="10" t="str">
        <f t="shared" si="23"/>
        <v/>
      </c>
      <c r="N120" s="11" t="str">
        <f t="shared" si="25"/>
        <v/>
      </c>
      <c r="O120" s="10" t="str">
        <f t="shared" si="26"/>
        <v/>
      </c>
      <c r="P120" s="39" t="str">
        <f t="shared" si="27"/>
        <v/>
      </c>
      <c r="Q120" s="13" t="str">
        <f t="shared" si="24"/>
        <v/>
      </c>
      <c r="R120" s="13" t="str">
        <f t="shared" si="28"/>
        <v/>
      </c>
      <c r="S120" s="13" t="str">
        <f t="shared" si="20"/>
        <v/>
      </c>
      <c r="T120" s="22" t="str">
        <f>IF(R120&lt;&gt;"",VLOOKUP(P120,Constants!$D$3:$E$10,2),"")</f>
        <v/>
      </c>
    </row>
    <row r="121" spans="2:20" x14ac:dyDescent="0.25">
      <c r="B121" s="59"/>
      <c r="C121" s="59"/>
      <c r="D121" s="60"/>
      <c r="E121" s="59"/>
      <c r="F121" s="59" t="str">
        <f t="shared" si="21"/>
        <v/>
      </c>
      <c r="G121" s="59"/>
      <c r="H121" s="61"/>
      <c r="I121" s="61"/>
      <c r="J121" s="61"/>
      <c r="K121" s="62"/>
      <c r="L121" s="10" t="str">
        <f t="shared" si="22"/>
        <v/>
      </c>
      <c r="M121" s="10" t="str">
        <f t="shared" si="23"/>
        <v/>
      </c>
      <c r="N121" s="11" t="str">
        <f t="shared" si="25"/>
        <v/>
      </c>
      <c r="O121" s="10" t="str">
        <f t="shared" si="26"/>
        <v/>
      </c>
      <c r="P121" s="39" t="str">
        <f t="shared" si="27"/>
        <v/>
      </c>
      <c r="Q121" s="13" t="str">
        <f t="shared" si="24"/>
        <v/>
      </c>
      <c r="R121" s="13" t="str">
        <f t="shared" si="28"/>
        <v/>
      </c>
      <c r="S121" s="13" t="str">
        <f t="shared" si="20"/>
        <v/>
      </c>
      <c r="T121" s="22" t="str">
        <f>IF(R121&lt;&gt;"",VLOOKUP(P121,Constants!$D$3:$E$10,2),"")</f>
        <v/>
      </c>
    </row>
    <row r="122" spans="2:20" x14ac:dyDescent="0.25">
      <c r="B122" s="59"/>
      <c r="C122" s="59"/>
      <c r="D122" s="60"/>
      <c r="E122" s="59"/>
      <c r="F122" s="59" t="str">
        <f t="shared" si="21"/>
        <v/>
      </c>
      <c r="G122" s="59"/>
      <c r="H122" s="61"/>
      <c r="I122" s="61"/>
      <c r="J122" s="61"/>
      <c r="K122" s="62"/>
      <c r="L122" s="10" t="str">
        <f t="shared" si="22"/>
        <v/>
      </c>
      <c r="M122" s="10" t="str">
        <f t="shared" si="23"/>
        <v/>
      </c>
      <c r="N122" s="11" t="str">
        <f t="shared" si="25"/>
        <v/>
      </c>
      <c r="O122" s="10" t="str">
        <f t="shared" si="26"/>
        <v/>
      </c>
      <c r="P122" s="39" t="str">
        <f t="shared" si="27"/>
        <v/>
      </c>
      <c r="Q122" s="13" t="str">
        <f t="shared" si="24"/>
        <v/>
      </c>
      <c r="R122" s="13" t="str">
        <f t="shared" si="28"/>
        <v/>
      </c>
      <c r="S122" s="13" t="str">
        <f t="shared" si="20"/>
        <v/>
      </c>
      <c r="T122" s="22" t="str">
        <f>IF(R122&lt;&gt;"",VLOOKUP(P122,Constants!$D$3:$E$10,2),"")</f>
        <v/>
      </c>
    </row>
    <row r="123" spans="2:20" x14ac:dyDescent="0.25">
      <c r="B123" s="59"/>
      <c r="C123" s="59"/>
      <c r="D123" s="60"/>
      <c r="E123" s="59"/>
      <c r="F123" s="59" t="str">
        <f t="shared" si="21"/>
        <v/>
      </c>
      <c r="G123" s="59"/>
      <c r="H123" s="61"/>
      <c r="I123" s="61"/>
      <c r="J123" s="61"/>
      <c r="K123" s="62"/>
      <c r="L123" s="10" t="str">
        <f t="shared" si="22"/>
        <v/>
      </c>
      <c r="M123" s="10" t="str">
        <f t="shared" si="23"/>
        <v/>
      </c>
      <c r="N123" s="11" t="str">
        <f t="shared" si="25"/>
        <v/>
      </c>
      <c r="O123" s="10" t="str">
        <f t="shared" si="26"/>
        <v/>
      </c>
      <c r="P123" s="39" t="str">
        <f t="shared" si="27"/>
        <v/>
      </c>
      <c r="Q123" s="13" t="str">
        <f t="shared" si="24"/>
        <v/>
      </c>
      <c r="R123" s="13" t="str">
        <f t="shared" si="28"/>
        <v/>
      </c>
      <c r="S123" s="13" t="str">
        <f t="shared" si="20"/>
        <v/>
      </c>
      <c r="T123" s="22" t="str">
        <f>IF(R123&lt;&gt;"",VLOOKUP(P123,Constants!$D$3:$E$10,2),"")</f>
        <v/>
      </c>
    </row>
    <row r="124" spans="2:20" x14ac:dyDescent="0.25">
      <c r="B124" s="59"/>
      <c r="C124" s="59"/>
      <c r="D124" s="60"/>
      <c r="E124" s="59"/>
      <c r="F124" s="59" t="str">
        <f t="shared" si="21"/>
        <v/>
      </c>
      <c r="G124" s="59"/>
      <c r="H124" s="61"/>
      <c r="I124" s="61"/>
      <c r="J124" s="61"/>
      <c r="K124" s="62"/>
      <c r="L124" s="10" t="str">
        <f t="shared" si="22"/>
        <v/>
      </c>
      <c r="M124" s="10" t="str">
        <f t="shared" si="23"/>
        <v/>
      </c>
      <c r="N124" s="11" t="str">
        <f t="shared" si="25"/>
        <v/>
      </c>
      <c r="O124" s="10" t="str">
        <f t="shared" si="26"/>
        <v/>
      </c>
      <c r="P124" s="39" t="str">
        <f t="shared" si="27"/>
        <v/>
      </c>
      <c r="Q124" s="13" t="str">
        <f t="shared" si="24"/>
        <v/>
      </c>
      <c r="R124" s="13" t="str">
        <f t="shared" si="28"/>
        <v/>
      </c>
      <c r="S124" s="13" t="str">
        <f t="shared" si="20"/>
        <v/>
      </c>
      <c r="T124" s="22" t="str">
        <f>IF(R124&lt;&gt;"",VLOOKUP(P124,Constants!$D$3:$E$10,2),"")</f>
        <v/>
      </c>
    </row>
    <row r="125" spans="2:20" x14ac:dyDescent="0.25">
      <c r="B125" s="59"/>
      <c r="C125" s="59"/>
      <c r="D125" s="60"/>
      <c r="E125" s="59"/>
      <c r="F125" s="59" t="str">
        <f t="shared" si="21"/>
        <v/>
      </c>
      <c r="G125" s="59"/>
      <c r="H125" s="61"/>
      <c r="I125" s="61"/>
      <c r="J125" s="61"/>
      <c r="K125" s="62"/>
      <c r="L125" s="10" t="str">
        <f t="shared" si="22"/>
        <v/>
      </c>
      <c r="M125" s="10" t="str">
        <f t="shared" si="23"/>
        <v/>
      </c>
      <c r="N125" s="11" t="str">
        <f t="shared" si="25"/>
        <v/>
      </c>
      <c r="O125" s="10" t="str">
        <f t="shared" si="26"/>
        <v/>
      </c>
      <c r="P125" s="39" t="str">
        <f t="shared" si="27"/>
        <v/>
      </c>
      <c r="Q125" s="13" t="str">
        <f t="shared" si="24"/>
        <v/>
      </c>
      <c r="R125" s="13" t="str">
        <f t="shared" si="28"/>
        <v/>
      </c>
      <c r="S125" s="13" t="str">
        <f t="shared" si="20"/>
        <v/>
      </c>
      <c r="T125" s="22" t="str">
        <f>IF(R125&lt;&gt;"",VLOOKUP(P125,Constants!$D$3:$E$10,2),"")</f>
        <v/>
      </c>
    </row>
    <row r="126" spans="2:20" x14ac:dyDescent="0.25">
      <c r="B126" s="59"/>
      <c r="C126" s="59"/>
      <c r="D126" s="60"/>
      <c r="E126" s="59"/>
      <c r="F126" s="59" t="str">
        <f t="shared" si="21"/>
        <v/>
      </c>
      <c r="G126" s="59"/>
      <c r="H126" s="61"/>
      <c r="I126" s="61"/>
      <c r="J126" s="61"/>
      <c r="K126" s="62"/>
      <c r="L126" s="10" t="str">
        <f t="shared" si="22"/>
        <v/>
      </c>
      <c r="M126" s="10" t="str">
        <f t="shared" si="23"/>
        <v/>
      </c>
      <c r="N126" s="11" t="str">
        <f t="shared" si="25"/>
        <v/>
      </c>
      <c r="O126" s="10" t="str">
        <f t="shared" si="26"/>
        <v/>
      </c>
      <c r="P126" s="39" t="str">
        <f t="shared" si="27"/>
        <v/>
      </c>
      <c r="Q126" s="13" t="str">
        <f t="shared" si="24"/>
        <v/>
      </c>
      <c r="R126" s="13" t="str">
        <f t="shared" si="28"/>
        <v/>
      </c>
      <c r="S126" s="13" t="str">
        <f t="shared" si="20"/>
        <v/>
      </c>
      <c r="T126" s="22" t="str">
        <f>IF(R126&lt;&gt;"",VLOOKUP(P126,Constants!$D$3:$E$10,2),"")</f>
        <v/>
      </c>
    </row>
    <row r="127" spans="2:20" x14ac:dyDescent="0.25">
      <c r="B127" s="59"/>
      <c r="C127" s="59"/>
      <c r="D127" s="60"/>
      <c r="E127" s="59"/>
      <c r="F127" s="59" t="str">
        <f t="shared" si="21"/>
        <v/>
      </c>
      <c r="G127" s="59"/>
      <c r="H127" s="61"/>
      <c r="I127" s="61"/>
      <c r="J127" s="61"/>
      <c r="K127" s="62"/>
      <c r="L127" s="10" t="str">
        <f t="shared" si="22"/>
        <v/>
      </c>
      <c r="M127" s="10" t="str">
        <f t="shared" si="23"/>
        <v/>
      </c>
      <c r="N127" s="11" t="str">
        <f t="shared" si="25"/>
        <v/>
      </c>
      <c r="O127" s="10" t="str">
        <f t="shared" si="26"/>
        <v/>
      </c>
      <c r="P127" s="39" t="str">
        <f t="shared" si="27"/>
        <v/>
      </c>
      <c r="Q127" s="13" t="str">
        <f t="shared" si="24"/>
        <v/>
      </c>
      <c r="R127" s="13" t="str">
        <f t="shared" si="28"/>
        <v/>
      </c>
      <c r="S127" s="13" t="str">
        <f t="shared" si="20"/>
        <v/>
      </c>
      <c r="T127" s="22" t="str">
        <f>IF(R127&lt;&gt;"",VLOOKUP(P127,Constants!$D$3:$E$10,2),"")</f>
        <v/>
      </c>
    </row>
    <row r="128" spans="2:20" x14ac:dyDescent="0.25">
      <c r="B128" s="59"/>
      <c r="C128" s="59"/>
      <c r="D128" s="60"/>
      <c r="E128" s="59"/>
      <c r="F128" s="59" t="str">
        <f t="shared" si="21"/>
        <v/>
      </c>
      <c r="G128" s="59"/>
      <c r="H128" s="61"/>
      <c r="I128" s="61"/>
      <c r="J128" s="61"/>
      <c r="K128" s="62"/>
      <c r="L128" s="10" t="str">
        <f t="shared" si="22"/>
        <v/>
      </c>
      <c r="M128" s="10" t="str">
        <f t="shared" si="23"/>
        <v/>
      </c>
      <c r="N128" s="11" t="str">
        <f t="shared" si="25"/>
        <v/>
      </c>
      <c r="O128" s="10" t="str">
        <f t="shared" si="26"/>
        <v/>
      </c>
      <c r="P128" s="39" t="str">
        <f t="shared" si="27"/>
        <v/>
      </c>
      <c r="Q128" s="13" t="str">
        <f t="shared" si="24"/>
        <v/>
      </c>
      <c r="R128" s="13" t="str">
        <f t="shared" si="28"/>
        <v/>
      </c>
      <c r="S128" s="13" t="str">
        <f t="shared" si="20"/>
        <v/>
      </c>
      <c r="T128" s="22" t="str">
        <f>IF(R128&lt;&gt;"",VLOOKUP(P128,Constants!$D$3:$E$10,2),"")</f>
        <v/>
      </c>
    </row>
    <row r="129" spans="2:20" x14ac:dyDescent="0.25">
      <c r="B129" s="59"/>
      <c r="C129" s="59"/>
      <c r="D129" s="60"/>
      <c r="E129" s="59"/>
      <c r="F129" s="59" t="str">
        <f t="shared" si="21"/>
        <v/>
      </c>
      <c r="G129" s="59"/>
      <c r="H129" s="61"/>
      <c r="I129" s="61"/>
      <c r="J129" s="61"/>
      <c r="K129" s="62"/>
      <c r="L129" s="10" t="str">
        <f t="shared" si="22"/>
        <v/>
      </c>
      <c r="M129" s="10" t="str">
        <f t="shared" si="23"/>
        <v/>
      </c>
      <c r="N129" s="11" t="str">
        <f t="shared" si="25"/>
        <v/>
      </c>
      <c r="O129" s="10" t="str">
        <f t="shared" si="26"/>
        <v/>
      </c>
      <c r="P129" s="39" t="str">
        <f t="shared" si="27"/>
        <v/>
      </c>
      <c r="Q129" s="13" t="str">
        <f t="shared" si="24"/>
        <v/>
      </c>
      <c r="R129" s="13" t="str">
        <f t="shared" si="28"/>
        <v/>
      </c>
      <c r="S129" s="13" t="str">
        <f t="shared" si="20"/>
        <v/>
      </c>
      <c r="T129" s="22" t="str">
        <f>IF(R129&lt;&gt;"",VLOOKUP(P129,Constants!$D$3:$E$10,2),"")</f>
        <v/>
      </c>
    </row>
    <row r="130" spans="2:20" x14ac:dyDescent="0.25">
      <c r="B130" s="59"/>
      <c r="C130" s="59"/>
      <c r="D130" s="60"/>
      <c r="E130" s="59"/>
      <c r="F130" s="59" t="str">
        <f t="shared" si="21"/>
        <v/>
      </c>
      <c r="G130" s="59"/>
      <c r="H130" s="61"/>
      <c r="I130" s="61"/>
      <c r="J130" s="61"/>
      <c r="K130" s="62"/>
      <c r="L130" s="10" t="str">
        <f t="shared" si="22"/>
        <v/>
      </c>
      <c r="M130" s="10" t="str">
        <f t="shared" si="23"/>
        <v/>
      </c>
      <c r="N130" s="11" t="str">
        <f t="shared" si="25"/>
        <v/>
      </c>
      <c r="O130" s="10" t="str">
        <f t="shared" si="26"/>
        <v/>
      </c>
      <c r="P130" s="39" t="str">
        <f t="shared" si="27"/>
        <v/>
      </c>
      <c r="Q130" s="13" t="str">
        <f t="shared" si="24"/>
        <v/>
      </c>
      <c r="R130" s="13" t="str">
        <f t="shared" si="28"/>
        <v/>
      </c>
      <c r="S130" s="13" t="str">
        <f t="shared" si="20"/>
        <v/>
      </c>
      <c r="T130" s="22" t="str">
        <f>IF(R130&lt;&gt;"",VLOOKUP(P130,Constants!$D$3:$E$10,2),"")</f>
        <v/>
      </c>
    </row>
    <row r="131" spans="2:20" x14ac:dyDescent="0.25">
      <c r="B131" s="59"/>
      <c r="C131" s="59"/>
      <c r="D131" s="60"/>
      <c r="E131" s="59"/>
      <c r="F131" s="59" t="str">
        <f t="shared" si="21"/>
        <v/>
      </c>
      <c r="G131" s="59"/>
      <c r="H131" s="61"/>
      <c r="I131" s="61"/>
      <c r="J131" s="61"/>
      <c r="K131" s="62"/>
      <c r="L131" s="10" t="str">
        <f t="shared" si="22"/>
        <v/>
      </c>
      <c r="M131" s="10" t="str">
        <f t="shared" si="23"/>
        <v/>
      </c>
      <c r="N131" s="11" t="str">
        <f t="shared" si="25"/>
        <v/>
      </c>
      <c r="O131" s="10" t="str">
        <f t="shared" si="26"/>
        <v/>
      </c>
      <c r="P131" s="39" t="str">
        <f t="shared" si="27"/>
        <v/>
      </c>
      <c r="Q131" s="13" t="str">
        <f t="shared" si="24"/>
        <v/>
      </c>
      <c r="R131" s="13" t="str">
        <f t="shared" si="28"/>
        <v/>
      </c>
      <c r="S131" s="13" t="str">
        <f t="shared" si="20"/>
        <v/>
      </c>
      <c r="T131" s="22" t="str">
        <f>IF(R131&lt;&gt;"",VLOOKUP(P131,Constants!$D$3:$E$10,2),"")</f>
        <v/>
      </c>
    </row>
    <row r="132" spans="2:20" x14ac:dyDescent="0.25">
      <c r="B132" s="59"/>
      <c r="C132" s="59"/>
      <c r="D132" s="60"/>
      <c r="E132" s="59"/>
      <c r="F132" s="59" t="str">
        <f t="shared" si="21"/>
        <v/>
      </c>
      <c r="G132" s="59"/>
      <c r="H132" s="61"/>
      <c r="I132" s="61"/>
      <c r="J132" s="61"/>
      <c r="K132" s="62"/>
      <c r="L132" s="10" t="str">
        <f t="shared" si="22"/>
        <v/>
      </c>
      <c r="M132" s="10" t="str">
        <f t="shared" si="23"/>
        <v/>
      </c>
      <c r="N132" s="11" t="str">
        <f t="shared" si="25"/>
        <v/>
      </c>
      <c r="O132" s="10" t="str">
        <f t="shared" si="26"/>
        <v/>
      </c>
      <c r="P132" s="39" t="str">
        <f t="shared" si="27"/>
        <v/>
      </c>
      <c r="Q132" s="13" t="str">
        <f t="shared" si="24"/>
        <v/>
      </c>
      <c r="R132" s="13" t="str">
        <f t="shared" si="28"/>
        <v/>
      </c>
      <c r="S132" s="13" t="str">
        <f t="shared" si="20"/>
        <v/>
      </c>
      <c r="T132" s="22" t="str">
        <f>IF(R132&lt;&gt;"",VLOOKUP(P132,Constants!$D$3:$E$10,2),"")</f>
        <v/>
      </c>
    </row>
    <row r="133" spans="2:20" x14ac:dyDescent="0.25">
      <c r="B133" s="59"/>
      <c r="C133" s="59"/>
      <c r="D133" s="60"/>
      <c r="E133" s="59"/>
      <c r="F133" s="59" t="str">
        <f t="shared" si="21"/>
        <v/>
      </c>
      <c r="G133" s="59"/>
      <c r="H133" s="61"/>
      <c r="I133" s="61"/>
      <c r="J133" s="61"/>
      <c r="K133" s="62"/>
      <c r="L133" s="10" t="str">
        <f t="shared" si="22"/>
        <v/>
      </c>
      <c r="M133" s="10" t="str">
        <f t="shared" si="23"/>
        <v/>
      </c>
      <c r="N133" s="11" t="str">
        <f t="shared" si="25"/>
        <v/>
      </c>
      <c r="O133" s="10" t="str">
        <f t="shared" si="26"/>
        <v/>
      </c>
      <c r="P133" s="39" t="str">
        <f t="shared" si="27"/>
        <v/>
      </c>
      <c r="Q133" s="13" t="str">
        <f t="shared" si="24"/>
        <v/>
      </c>
      <c r="R133" s="13" t="str">
        <f t="shared" si="28"/>
        <v/>
      </c>
      <c r="S133" s="13" t="str">
        <f t="shared" si="20"/>
        <v/>
      </c>
      <c r="T133" s="22" t="str">
        <f>IF(R133&lt;&gt;"",VLOOKUP(P133,Constants!$D$3:$E$10,2),"")</f>
        <v/>
      </c>
    </row>
    <row r="134" spans="2:20" x14ac:dyDescent="0.25">
      <c r="B134" s="59"/>
      <c r="C134" s="59"/>
      <c r="D134" s="60"/>
      <c r="E134" s="59"/>
      <c r="F134" s="59" t="str">
        <f t="shared" si="21"/>
        <v/>
      </c>
      <c r="G134" s="59"/>
      <c r="H134" s="61"/>
      <c r="I134" s="61"/>
      <c r="J134" s="61"/>
      <c r="K134" s="62"/>
      <c r="L134" s="10" t="str">
        <f t="shared" si="22"/>
        <v/>
      </c>
      <c r="M134" s="10" t="str">
        <f t="shared" si="23"/>
        <v/>
      </c>
      <c r="N134" s="11" t="str">
        <f t="shared" si="25"/>
        <v/>
      </c>
      <c r="O134" s="10" t="str">
        <f t="shared" si="26"/>
        <v/>
      </c>
      <c r="P134" s="39" t="str">
        <f t="shared" si="27"/>
        <v/>
      </c>
      <c r="Q134" s="13" t="str">
        <f t="shared" si="24"/>
        <v/>
      </c>
      <c r="R134" s="13" t="str">
        <f t="shared" si="28"/>
        <v/>
      </c>
      <c r="S134" s="13" t="str">
        <f t="shared" si="20"/>
        <v/>
      </c>
      <c r="T134" s="22" t="str">
        <f>IF(R134&lt;&gt;"",VLOOKUP(P134,Constants!$D$3:$E$10,2),"")</f>
        <v/>
      </c>
    </row>
    <row r="135" spans="2:20" x14ac:dyDescent="0.25">
      <c r="B135" s="59"/>
      <c r="C135" s="59"/>
      <c r="D135" s="60"/>
      <c r="E135" s="59"/>
      <c r="F135" s="59" t="str">
        <f t="shared" si="21"/>
        <v/>
      </c>
      <c r="G135" s="59"/>
      <c r="H135" s="61"/>
      <c r="I135" s="61"/>
      <c r="J135" s="61"/>
      <c r="K135" s="62"/>
      <c r="L135" s="10" t="str">
        <f t="shared" si="22"/>
        <v/>
      </c>
      <c r="M135" s="10" t="str">
        <f t="shared" si="23"/>
        <v/>
      </c>
      <c r="N135" s="11" t="str">
        <f t="shared" si="25"/>
        <v/>
      </c>
      <c r="O135" s="10" t="str">
        <f t="shared" si="26"/>
        <v/>
      </c>
      <c r="P135" s="39" t="str">
        <f t="shared" si="27"/>
        <v/>
      </c>
      <c r="Q135" s="13" t="str">
        <f t="shared" si="24"/>
        <v/>
      </c>
      <c r="R135" s="13" t="str">
        <f t="shared" si="28"/>
        <v/>
      </c>
      <c r="S135" s="13" t="str">
        <f t="shared" si="20"/>
        <v/>
      </c>
      <c r="T135" s="22" t="str">
        <f>IF(R135&lt;&gt;"",VLOOKUP(P135,Constants!$D$3:$E$10,2),"")</f>
        <v/>
      </c>
    </row>
    <row r="136" spans="2:20" x14ac:dyDescent="0.25">
      <c r="B136" s="59"/>
      <c r="C136" s="59"/>
      <c r="D136" s="60"/>
      <c r="E136" s="59"/>
      <c r="F136" s="59" t="str">
        <f t="shared" ref="F136:F199" si="29">IF($D136&lt;&gt;"",1,"")</f>
        <v/>
      </c>
      <c r="G136" s="59"/>
      <c r="H136" s="61"/>
      <c r="I136" s="61"/>
      <c r="J136" s="61"/>
      <c r="K136" s="62"/>
      <c r="L136" s="10" t="str">
        <f t="shared" ref="L136:L199" si="30">IF($D136&lt;&gt;"",$D136*$E136/1000,"")</f>
        <v/>
      </c>
      <c r="M136" s="10" t="str">
        <f t="shared" ref="M136:M199" si="31">IF($D136&lt;&gt;"",$D136*$F136/1000,"")</f>
        <v/>
      </c>
      <c r="N136" s="11" t="str">
        <f t="shared" si="25"/>
        <v/>
      </c>
      <c r="O136" s="10" t="str">
        <f t="shared" si="26"/>
        <v/>
      </c>
      <c r="P136" s="39" t="str">
        <f t="shared" si="27"/>
        <v/>
      </c>
      <c r="Q136" s="13" t="str">
        <f t="shared" ref="Q136:Q199" si="32">IF(F136&lt;&gt;"",F136*E136/1000,"")</f>
        <v/>
      </c>
      <c r="R136" s="13" t="str">
        <f t="shared" si="28"/>
        <v/>
      </c>
      <c r="S136" s="13" t="str">
        <f t="shared" ref="S136:S199" si="33">IF(R136&lt;&gt;"",Q136/R136*1000,"")</f>
        <v/>
      </c>
      <c r="T136" s="22" t="str">
        <f>IF(R136&lt;&gt;"",VLOOKUP(P136,Constants!$D$3:$E$10,2),"")</f>
        <v/>
      </c>
    </row>
    <row r="137" spans="2:20" x14ac:dyDescent="0.25">
      <c r="B137" s="59"/>
      <c r="C137" s="59"/>
      <c r="D137" s="60"/>
      <c r="E137" s="59"/>
      <c r="F137" s="59" t="str">
        <f t="shared" si="29"/>
        <v/>
      </c>
      <c r="G137" s="59"/>
      <c r="H137" s="61"/>
      <c r="I137" s="61"/>
      <c r="J137" s="61"/>
      <c r="K137" s="62"/>
      <c r="L137" s="10" t="str">
        <f t="shared" si="30"/>
        <v/>
      </c>
      <c r="M137" s="10" t="str">
        <f t="shared" si="31"/>
        <v/>
      </c>
      <c r="N137" s="11" t="str">
        <f t="shared" si="25"/>
        <v/>
      </c>
      <c r="O137" s="10" t="str">
        <f t="shared" si="26"/>
        <v/>
      </c>
      <c r="P137" s="39" t="str">
        <f t="shared" si="27"/>
        <v/>
      </c>
      <c r="Q137" s="13" t="str">
        <f t="shared" si="32"/>
        <v/>
      </c>
      <c r="R137" s="13" t="str">
        <f t="shared" si="28"/>
        <v/>
      </c>
      <c r="S137" s="13" t="str">
        <f t="shared" si="33"/>
        <v/>
      </c>
      <c r="T137" s="22" t="str">
        <f>IF(R137&lt;&gt;"",VLOOKUP(P137,Constants!$D$3:$E$10,2),"")</f>
        <v/>
      </c>
    </row>
    <row r="138" spans="2:20" x14ac:dyDescent="0.25">
      <c r="B138" s="59"/>
      <c r="C138" s="59"/>
      <c r="D138" s="60"/>
      <c r="E138" s="59"/>
      <c r="F138" s="59" t="str">
        <f t="shared" si="29"/>
        <v/>
      </c>
      <c r="G138" s="59"/>
      <c r="H138" s="61"/>
      <c r="I138" s="61"/>
      <c r="J138" s="61"/>
      <c r="K138" s="62"/>
      <c r="L138" s="10" t="str">
        <f t="shared" si="30"/>
        <v/>
      </c>
      <c r="M138" s="10" t="str">
        <f t="shared" si="31"/>
        <v/>
      </c>
      <c r="N138" s="11" t="str">
        <f t="shared" si="25"/>
        <v/>
      </c>
      <c r="O138" s="10" t="str">
        <f t="shared" si="26"/>
        <v/>
      </c>
      <c r="P138" s="39" t="str">
        <f t="shared" si="27"/>
        <v/>
      </c>
      <c r="Q138" s="13" t="str">
        <f t="shared" si="32"/>
        <v/>
      </c>
      <c r="R138" s="13" t="str">
        <f t="shared" si="28"/>
        <v/>
      </c>
      <c r="S138" s="13" t="str">
        <f t="shared" si="33"/>
        <v/>
      </c>
      <c r="T138" s="22" t="str">
        <f>IF(R138&lt;&gt;"",VLOOKUP(P138,Constants!$D$3:$E$10,2),"")</f>
        <v/>
      </c>
    </row>
    <row r="139" spans="2:20" x14ac:dyDescent="0.25">
      <c r="B139" s="59"/>
      <c r="C139" s="59"/>
      <c r="D139" s="60"/>
      <c r="E139" s="59"/>
      <c r="F139" s="59" t="str">
        <f t="shared" si="29"/>
        <v/>
      </c>
      <c r="G139" s="59"/>
      <c r="H139" s="61"/>
      <c r="I139" s="61"/>
      <c r="J139" s="61"/>
      <c r="K139" s="62"/>
      <c r="L139" s="10" t="str">
        <f t="shared" si="30"/>
        <v/>
      </c>
      <c r="M139" s="10" t="str">
        <f t="shared" si="31"/>
        <v/>
      </c>
      <c r="N139" s="11" t="str">
        <f t="shared" si="25"/>
        <v/>
      </c>
      <c r="O139" s="10" t="str">
        <f t="shared" si="26"/>
        <v/>
      </c>
      <c r="P139" s="39" t="str">
        <f t="shared" si="27"/>
        <v/>
      </c>
      <c r="Q139" s="13" t="str">
        <f t="shared" si="32"/>
        <v/>
      </c>
      <c r="R139" s="13" t="str">
        <f t="shared" si="28"/>
        <v/>
      </c>
      <c r="S139" s="13" t="str">
        <f t="shared" si="33"/>
        <v/>
      </c>
      <c r="T139" s="22" t="str">
        <f>IF(R139&lt;&gt;"",VLOOKUP(P139,Constants!$D$3:$E$10,2),"")</f>
        <v/>
      </c>
    </row>
    <row r="140" spans="2:20" x14ac:dyDescent="0.25">
      <c r="B140" s="59"/>
      <c r="C140" s="59"/>
      <c r="D140" s="60"/>
      <c r="E140" s="59"/>
      <c r="F140" s="59" t="str">
        <f t="shared" si="29"/>
        <v/>
      </c>
      <c r="G140" s="59"/>
      <c r="H140" s="61"/>
      <c r="I140" s="61"/>
      <c r="J140" s="61"/>
      <c r="K140" s="62"/>
      <c r="L140" s="10" t="str">
        <f t="shared" si="30"/>
        <v/>
      </c>
      <c r="M140" s="10" t="str">
        <f t="shared" si="31"/>
        <v/>
      </c>
      <c r="N140" s="11" t="str">
        <f t="shared" si="25"/>
        <v/>
      </c>
      <c r="O140" s="10" t="str">
        <f t="shared" si="26"/>
        <v/>
      </c>
      <c r="P140" s="39" t="str">
        <f t="shared" si="27"/>
        <v/>
      </c>
      <c r="Q140" s="13" t="str">
        <f t="shared" si="32"/>
        <v/>
      </c>
      <c r="R140" s="13" t="str">
        <f t="shared" si="28"/>
        <v/>
      </c>
      <c r="S140" s="13" t="str">
        <f t="shared" si="33"/>
        <v/>
      </c>
      <c r="T140" s="22" t="str">
        <f>IF(R140&lt;&gt;"",VLOOKUP(P140,Constants!$D$3:$E$10,2),"")</f>
        <v/>
      </c>
    </row>
    <row r="141" spans="2:20" x14ac:dyDescent="0.25">
      <c r="B141" s="59"/>
      <c r="C141" s="59"/>
      <c r="D141" s="60"/>
      <c r="E141" s="59"/>
      <c r="F141" s="59" t="str">
        <f t="shared" si="29"/>
        <v/>
      </c>
      <c r="G141" s="59"/>
      <c r="H141" s="61"/>
      <c r="I141" s="61"/>
      <c r="J141" s="61"/>
      <c r="K141" s="62"/>
      <c r="L141" s="10" t="str">
        <f t="shared" si="30"/>
        <v/>
      </c>
      <c r="M141" s="10" t="str">
        <f t="shared" si="31"/>
        <v/>
      </c>
      <c r="N141" s="11" t="str">
        <f t="shared" si="25"/>
        <v/>
      </c>
      <c r="O141" s="10" t="str">
        <f t="shared" si="26"/>
        <v/>
      </c>
      <c r="P141" s="39" t="str">
        <f t="shared" si="27"/>
        <v/>
      </c>
      <c r="Q141" s="13" t="str">
        <f t="shared" si="32"/>
        <v/>
      </c>
      <c r="R141" s="13" t="str">
        <f t="shared" si="28"/>
        <v/>
      </c>
      <c r="S141" s="13" t="str">
        <f t="shared" si="33"/>
        <v/>
      </c>
      <c r="T141" s="22" t="str">
        <f>IF(R141&lt;&gt;"",VLOOKUP(P141,Constants!$D$3:$E$10,2),"")</f>
        <v/>
      </c>
    </row>
    <row r="142" spans="2:20" x14ac:dyDescent="0.25">
      <c r="B142" s="59"/>
      <c r="C142" s="59"/>
      <c r="D142" s="60"/>
      <c r="E142" s="59"/>
      <c r="F142" s="59" t="str">
        <f t="shared" si="29"/>
        <v/>
      </c>
      <c r="G142" s="59"/>
      <c r="H142" s="61"/>
      <c r="I142" s="61"/>
      <c r="J142" s="61"/>
      <c r="K142" s="62"/>
      <c r="L142" s="10" t="str">
        <f t="shared" si="30"/>
        <v/>
      </c>
      <c r="M142" s="10" t="str">
        <f t="shared" si="31"/>
        <v/>
      </c>
      <c r="N142" s="11" t="str">
        <f t="shared" si="25"/>
        <v/>
      </c>
      <c r="O142" s="10" t="str">
        <f t="shared" si="26"/>
        <v/>
      </c>
      <c r="P142" s="39" t="str">
        <f t="shared" si="27"/>
        <v/>
      </c>
      <c r="Q142" s="13" t="str">
        <f t="shared" si="32"/>
        <v/>
      </c>
      <c r="R142" s="13" t="str">
        <f t="shared" si="28"/>
        <v/>
      </c>
      <c r="S142" s="13" t="str">
        <f t="shared" si="33"/>
        <v/>
      </c>
      <c r="T142" s="22" t="str">
        <f>IF(R142&lt;&gt;"",VLOOKUP(P142,Constants!$D$3:$E$10,2),"")</f>
        <v/>
      </c>
    </row>
    <row r="143" spans="2:20" x14ac:dyDescent="0.25">
      <c r="B143" s="59"/>
      <c r="C143" s="59"/>
      <c r="D143" s="60"/>
      <c r="E143" s="59"/>
      <c r="F143" s="59" t="str">
        <f t="shared" si="29"/>
        <v/>
      </c>
      <c r="G143" s="59"/>
      <c r="H143" s="61"/>
      <c r="I143" s="61"/>
      <c r="J143" s="61"/>
      <c r="K143" s="62"/>
      <c r="L143" s="10" t="str">
        <f t="shared" si="30"/>
        <v/>
      </c>
      <c r="M143" s="10" t="str">
        <f t="shared" si="31"/>
        <v/>
      </c>
      <c r="N143" s="11" t="str">
        <f t="shared" si="25"/>
        <v/>
      </c>
      <c r="O143" s="10" t="str">
        <f t="shared" si="26"/>
        <v/>
      </c>
      <c r="P143" s="39" t="str">
        <f t="shared" si="27"/>
        <v/>
      </c>
      <c r="Q143" s="13" t="str">
        <f t="shared" si="32"/>
        <v/>
      </c>
      <c r="R143" s="13" t="str">
        <f t="shared" si="28"/>
        <v/>
      </c>
      <c r="S143" s="13" t="str">
        <f t="shared" si="33"/>
        <v/>
      </c>
      <c r="T143" s="22" t="str">
        <f>IF(R143&lt;&gt;"",VLOOKUP(P143,Constants!$D$3:$E$10,2),"")</f>
        <v/>
      </c>
    </row>
    <row r="144" spans="2:20" x14ac:dyDescent="0.25">
      <c r="B144" s="59"/>
      <c r="C144" s="59"/>
      <c r="D144" s="60"/>
      <c r="E144" s="59"/>
      <c r="F144" s="59" t="str">
        <f t="shared" si="29"/>
        <v/>
      </c>
      <c r="G144" s="59"/>
      <c r="H144" s="61"/>
      <c r="I144" s="61"/>
      <c r="J144" s="61"/>
      <c r="K144" s="62"/>
      <c r="L144" s="10" t="str">
        <f t="shared" si="30"/>
        <v/>
      </c>
      <c r="M144" s="10" t="str">
        <f t="shared" si="31"/>
        <v/>
      </c>
      <c r="N144" s="11" t="str">
        <f t="shared" ref="N144:N207" si="34">IF($L144&lt;&gt;"",SQRT($L144*$L144+$M144*$M144),"")</f>
        <v/>
      </c>
      <c r="O144" s="10" t="str">
        <f t="shared" si="26"/>
        <v/>
      </c>
      <c r="P144" s="39" t="str">
        <f t="shared" si="27"/>
        <v/>
      </c>
      <c r="Q144" s="13" t="str">
        <f t="shared" si="32"/>
        <v/>
      </c>
      <c r="R144" s="13" t="str">
        <f t="shared" si="28"/>
        <v/>
      </c>
      <c r="S144" s="13" t="str">
        <f t="shared" si="33"/>
        <v/>
      </c>
      <c r="T144" s="22" t="str">
        <f>IF(R144&lt;&gt;"",VLOOKUP(P144,Constants!$D$3:$E$10,2),"")</f>
        <v/>
      </c>
    </row>
    <row r="145" spans="2:20" x14ac:dyDescent="0.25">
      <c r="B145" s="59"/>
      <c r="C145" s="59"/>
      <c r="D145" s="60"/>
      <c r="E145" s="59"/>
      <c r="F145" s="59" t="str">
        <f t="shared" si="29"/>
        <v/>
      </c>
      <c r="G145" s="59"/>
      <c r="H145" s="61"/>
      <c r="I145" s="61"/>
      <c r="J145" s="61"/>
      <c r="K145" s="62"/>
      <c r="L145" s="10" t="str">
        <f t="shared" si="30"/>
        <v/>
      </c>
      <c r="M145" s="10" t="str">
        <f t="shared" si="31"/>
        <v/>
      </c>
      <c r="N145" s="11" t="str">
        <f t="shared" si="34"/>
        <v/>
      </c>
      <c r="O145" s="10" t="str">
        <f t="shared" si="26"/>
        <v/>
      </c>
      <c r="P145" s="39" t="str">
        <f t="shared" si="27"/>
        <v/>
      </c>
      <c r="Q145" s="13" t="str">
        <f t="shared" si="32"/>
        <v/>
      </c>
      <c r="R145" s="13" t="str">
        <f t="shared" si="28"/>
        <v/>
      </c>
      <c r="S145" s="13" t="str">
        <f t="shared" si="33"/>
        <v/>
      </c>
      <c r="T145" s="22" t="str">
        <f>IF(R145&lt;&gt;"",VLOOKUP(P145,Constants!$D$3:$E$10,2),"")</f>
        <v/>
      </c>
    </row>
    <row r="146" spans="2:20" x14ac:dyDescent="0.25">
      <c r="B146" s="59"/>
      <c r="C146" s="59"/>
      <c r="D146" s="60"/>
      <c r="E146" s="59"/>
      <c r="F146" s="59" t="str">
        <f t="shared" si="29"/>
        <v/>
      </c>
      <c r="G146" s="59"/>
      <c r="H146" s="61"/>
      <c r="I146" s="61"/>
      <c r="J146" s="61"/>
      <c r="K146" s="62"/>
      <c r="L146" s="10" t="str">
        <f t="shared" si="30"/>
        <v/>
      </c>
      <c r="M146" s="10" t="str">
        <f t="shared" si="31"/>
        <v/>
      </c>
      <c r="N146" s="11" t="str">
        <f t="shared" si="34"/>
        <v/>
      </c>
      <c r="O146" s="10" t="str">
        <f t="shared" si="26"/>
        <v/>
      </c>
      <c r="P146" s="39" t="str">
        <f t="shared" si="27"/>
        <v/>
      </c>
      <c r="Q146" s="13" t="str">
        <f t="shared" si="32"/>
        <v/>
      </c>
      <c r="R146" s="13" t="str">
        <f t="shared" si="28"/>
        <v/>
      </c>
      <c r="S146" s="13" t="str">
        <f t="shared" si="33"/>
        <v/>
      </c>
      <c r="T146" s="22" t="str">
        <f>IF(R146&lt;&gt;"",VLOOKUP(P146,Constants!$D$3:$E$10,2),"")</f>
        <v/>
      </c>
    </row>
    <row r="147" spans="2:20" x14ac:dyDescent="0.25">
      <c r="B147" s="59"/>
      <c r="C147" s="59"/>
      <c r="D147" s="60"/>
      <c r="E147" s="59"/>
      <c r="F147" s="59" t="str">
        <f t="shared" si="29"/>
        <v/>
      </c>
      <c r="G147" s="59"/>
      <c r="H147" s="61"/>
      <c r="I147" s="61"/>
      <c r="J147" s="61"/>
      <c r="K147" s="62"/>
      <c r="L147" s="10" t="str">
        <f t="shared" si="30"/>
        <v/>
      </c>
      <c r="M147" s="10" t="str">
        <f t="shared" si="31"/>
        <v/>
      </c>
      <c r="N147" s="11" t="str">
        <f t="shared" si="34"/>
        <v/>
      </c>
      <c r="O147" s="10" t="str">
        <f t="shared" si="26"/>
        <v/>
      </c>
      <c r="P147" s="39" t="str">
        <f t="shared" si="27"/>
        <v/>
      </c>
      <c r="Q147" s="13" t="str">
        <f t="shared" si="32"/>
        <v/>
      </c>
      <c r="R147" s="13" t="str">
        <f t="shared" si="28"/>
        <v/>
      </c>
      <c r="S147" s="13" t="str">
        <f t="shared" si="33"/>
        <v/>
      </c>
      <c r="T147" s="22" t="str">
        <f>IF(R147&lt;&gt;"",VLOOKUP(P147,Constants!$D$3:$E$10,2),"")</f>
        <v/>
      </c>
    </row>
    <row r="148" spans="2:20" x14ac:dyDescent="0.25">
      <c r="B148" s="59"/>
      <c r="C148" s="59"/>
      <c r="D148" s="60"/>
      <c r="E148" s="59"/>
      <c r="F148" s="59" t="str">
        <f t="shared" si="29"/>
        <v/>
      </c>
      <c r="G148" s="59"/>
      <c r="H148" s="61"/>
      <c r="I148" s="61"/>
      <c r="J148" s="61"/>
      <c r="K148" s="62"/>
      <c r="L148" s="10" t="str">
        <f t="shared" si="30"/>
        <v/>
      </c>
      <c r="M148" s="10" t="str">
        <f t="shared" si="31"/>
        <v/>
      </c>
      <c r="N148" s="11" t="str">
        <f t="shared" si="34"/>
        <v/>
      </c>
      <c r="O148" s="10" t="str">
        <f t="shared" si="26"/>
        <v/>
      </c>
      <c r="P148" s="39" t="str">
        <f t="shared" si="27"/>
        <v/>
      </c>
      <c r="Q148" s="13" t="str">
        <f t="shared" si="32"/>
        <v/>
      </c>
      <c r="R148" s="13" t="str">
        <f t="shared" si="28"/>
        <v/>
      </c>
      <c r="S148" s="13" t="str">
        <f t="shared" si="33"/>
        <v/>
      </c>
      <c r="T148" s="22" t="str">
        <f>IF(R148&lt;&gt;"",VLOOKUP(P148,Constants!$D$3:$E$10,2),"")</f>
        <v/>
      </c>
    </row>
    <row r="149" spans="2:20" x14ac:dyDescent="0.25">
      <c r="B149" s="59"/>
      <c r="C149" s="59"/>
      <c r="D149" s="60"/>
      <c r="E149" s="59"/>
      <c r="F149" s="59" t="str">
        <f t="shared" si="29"/>
        <v/>
      </c>
      <c r="G149" s="59"/>
      <c r="H149" s="61"/>
      <c r="I149" s="61"/>
      <c r="J149" s="61"/>
      <c r="K149" s="62"/>
      <c r="L149" s="10" t="str">
        <f t="shared" si="30"/>
        <v/>
      </c>
      <c r="M149" s="10" t="str">
        <f t="shared" si="31"/>
        <v/>
      </c>
      <c r="N149" s="11" t="str">
        <f t="shared" si="34"/>
        <v/>
      </c>
      <c r="O149" s="10" t="str">
        <f t="shared" si="26"/>
        <v/>
      </c>
      <c r="P149" s="39" t="str">
        <f t="shared" si="27"/>
        <v/>
      </c>
      <c r="Q149" s="13" t="str">
        <f t="shared" si="32"/>
        <v/>
      </c>
      <c r="R149" s="13" t="str">
        <f t="shared" si="28"/>
        <v/>
      </c>
      <c r="S149" s="13" t="str">
        <f t="shared" si="33"/>
        <v/>
      </c>
      <c r="T149" s="22" t="str">
        <f>IF(R149&lt;&gt;"",VLOOKUP(P149,Constants!$D$3:$E$10,2),"")</f>
        <v/>
      </c>
    </row>
    <row r="150" spans="2:20" x14ac:dyDescent="0.25">
      <c r="B150" s="59"/>
      <c r="C150" s="59"/>
      <c r="D150" s="60"/>
      <c r="E150" s="59"/>
      <c r="F150" s="59" t="str">
        <f t="shared" si="29"/>
        <v/>
      </c>
      <c r="G150" s="59"/>
      <c r="H150" s="61"/>
      <c r="I150" s="61"/>
      <c r="J150" s="61"/>
      <c r="K150" s="62"/>
      <c r="L150" s="10" t="str">
        <f t="shared" si="30"/>
        <v/>
      </c>
      <c r="M150" s="10" t="str">
        <f t="shared" si="31"/>
        <v/>
      </c>
      <c r="N150" s="11" t="str">
        <f t="shared" si="34"/>
        <v/>
      </c>
      <c r="O150" s="10" t="str">
        <f t="shared" si="26"/>
        <v/>
      </c>
      <c r="P150" s="39" t="str">
        <f t="shared" si="27"/>
        <v/>
      </c>
      <c r="Q150" s="13" t="str">
        <f t="shared" si="32"/>
        <v/>
      </c>
      <c r="R150" s="13" t="str">
        <f t="shared" si="28"/>
        <v/>
      </c>
      <c r="S150" s="13" t="str">
        <f t="shared" si="33"/>
        <v/>
      </c>
      <c r="T150" s="22" t="str">
        <f>IF(R150&lt;&gt;"",VLOOKUP(P150,Constants!$D$3:$E$10,2),"")</f>
        <v/>
      </c>
    </row>
    <row r="151" spans="2:20" x14ac:dyDescent="0.25">
      <c r="B151" s="59"/>
      <c r="C151" s="59"/>
      <c r="D151" s="60"/>
      <c r="E151" s="59"/>
      <c r="F151" s="59" t="str">
        <f t="shared" si="29"/>
        <v/>
      </c>
      <c r="G151" s="59"/>
      <c r="H151" s="61"/>
      <c r="I151" s="61"/>
      <c r="J151" s="61"/>
      <c r="K151" s="62"/>
      <c r="L151" s="10" t="str">
        <f t="shared" si="30"/>
        <v/>
      </c>
      <c r="M151" s="10" t="str">
        <f t="shared" si="31"/>
        <v/>
      </c>
      <c r="N151" s="11" t="str">
        <f t="shared" si="34"/>
        <v/>
      </c>
      <c r="O151" s="10" t="str">
        <f t="shared" ref="O151:O214" si="35">IF(D151&lt;&gt;"",1000/(2*D151),"")</f>
        <v/>
      </c>
      <c r="P151" s="39" t="str">
        <f t="shared" ref="P151:P214" si="36">IF($N151&lt;&gt;"",D151*SQRT(E151*E151+F151*F151)/16000,"")</f>
        <v/>
      </c>
      <c r="Q151" s="13" t="str">
        <f t="shared" si="32"/>
        <v/>
      </c>
      <c r="R151" s="13" t="str">
        <f t="shared" ref="R151:R214" si="37">IF(G151&lt;&gt;"",1000/G151,"")</f>
        <v/>
      </c>
      <c r="S151" s="13" t="str">
        <f t="shared" si="33"/>
        <v/>
      </c>
      <c r="T151" s="22" t="str">
        <f>IF(R151&lt;&gt;"",VLOOKUP(P151,Constants!$D$3:$E$10,2),"")</f>
        <v/>
      </c>
    </row>
    <row r="152" spans="2:20" x14ac:dyDescent="0.25">
      <c r="B152" s="59"/>
      <c r="C152" s="59"/>
      <c r="D152" s="60"/>
      <c r="E152" s="59"/>
      <c r="F152" s="59" t="str">
        <f t="shared" si="29"/>
        <v/>
      </c>
      <c r="G152" s="59"/>
      <c r="H152" s="61"/>
      <c r="I152" s="61"/>
      <c r="J152" s="61"/>
      <c r="K152" s="62"/>
      <c r="L152" s="10" t="str">
        <f t="shared" si="30"/>
        <v/>
      </c>
      <c r="M152" s="10" t="str">
        <f t="shared" si="31"/>
        <v/>
      </c>
      <c r="N152" s="11" t="str">
        <f t="shared" si="34"/>
        <v/>
      </c>
      <c r="O152" s="10" t="str">
        <f t="shared" si="35"/>
        <v/>
      </c>
      <c r="P152" s="39" t="str">
        <f t="shared" si="36"/>
        <v/>
      </c>
      <c r="Q152" s="13" t="str">
        <f t="shared" si="32"/>
        <v/>
      </c>
      <c r="R152" s="13" t="str">
        <f t="shared" si="37"/>
        <v/>
      </c>
      <c r="S152" s="13" t="str">
        <f t="shared" si="33"/>
        <v/>
      </c>
      <c r="T152" s="22" t="str">
        <f>IF(R152&lt;&gt;"",VLOOKUP(P152,Constants!$D$3:$E$10,2),"")</f>
        <v/>
      </c>
    </row>
    <row r="153" spans="2:20" x14ac:dyDescent="0.25">
      <c r="B153" s="59"/>
      <c r="C153" s="59"/>
      <c r="D153" s="60"/>
      <c r="E153" s="59"/>
      <c r="F153" s="59" t="str">
        <f t="shared" si="29"/>
        <v/>
      </c>
      <c r="G153" s="59"/>
      <c r="H153" s="61"/>
      <c r="I153" s="61"/>
      <c r="J153" s="61"/>
      <c r="K153" s="62"/>
      <c r="L153" s="10" t="str">
        <f t="shared" si="30"/>
        <v/>
      </c>
      <c r="M153" s="10" t="str">
        <f t="shared" si="31"/>
        <v/>
      </c>
      <c r="N153" s="11" t="str">
        <f t="shared" si="34"/>
        <v/>
      </c>
      <c r="O153" s="10" t="str">
        <f t="shared" si="35"/>
        <v/>
      </c>
      <c r="P153" s="39" t="str">
        <f t="shared" si="36"/>
        <v/>
      </c>
      <c r="Q153" s="13" t="str">
        <f t="shared" si="32"/>
        <v/>
      </c>
      <c r="R153" s="13" t="str">
        <f t="shared" si="37"/>
        <v/>
      </c>
      <c r="S153" s="13" t="str">
        <f t="shared" si="33"/>
        <v/>
      </c>
      <c r="T153" s="22" t="str">
        <f>IF(R153&lt;&gt;"",VLOOKUP(P153,Constants!$D$3:$E$10,2),"")</f>
        <v/>
      </c>
    </row>
    <row r="154" spans="2:20" x14ac:dyDescent="0.25">
      <c r="B154" s="59"/>
      <c r="C154" s="59"/>
      <c r="D154" s="60"/>
      <c r="E154" s="59"/>
      <c r="F154" s="59" t="str">
        <f t="shared" si="29"/>
        <v/>
      </c>
      <c r="G154" s="59"/>
      <c r="H154" s="61"/>
      <c r="I154" s="61"/>
      <c r="J154" s="61"/>
      <c r="K154" s="62"/>
      <c r="L154" s="10" t="str">
        <f t="shared" si="30"/>
        <v/>
      </c>
      <c r="M154" s="10" t="str">
        <f t="shared" si="31"/>
        <v/>
      </c>
      <c r="N154" s="11" t="str">
        <f t="shared" si="34"/>
        <v/>
      </c>
      <c r="O154" s="10" t="str">
        <f t="shared" si="35"/>
        <v/>
      </c>
      <c r="P154" s="39" t="str">
        <f t="shared" si="36"/>
        <v/>
      </c>
      <c r="Q154" s="13" t="str">
        <f t="shared" si="32"/>
        <v/>
      </c>
      <c r="R154" s="13" t="str">
        <f t="shared" si="37"/>
        <v/>
      </c>
      <c r="S154" s="13" t="str">
        <f t="shared" si="33"/>
        <v/>
      </c>
      <c r="T154" s="22" t="str">
        <f>IF(R154&lt;&gt;"",VLOOKUP(P154,Constants!$D$3:$E$10,2),"")</f>
        <v/>
      </c>
    </row>
    <row r="155" spans="2:20" x14ac:dyDescent="0.25">
      <c r="B155" s="59"/>
      <c r="C155" s="59"/>
      <c r="D155" s="60"/>
      <c r="E155" s="59"/>
      <c r="F155" s="59" t="str">
        <f t="shared" si="29"/>
        <v/>
      </c>
      <c r="G155" s="59"/>
      <c r="H155" s="61"/>
      <c r="I155" s="61"/>
      <c r="J155" s="61"/>
      <c r="K155" s="62"/>
      <c r="L155" s="10" t="str">
        <f t="shared" si="30"/>
        <v/>
      </c>
      <c r="M155" s="10" t="str">
        <f t="shared" si="31"/>
        <v/>
      </c>
      <c r="N155" s="11" t="str">
        <f t="shared" si="34"/>
        <v/>
      </c>
      <c r="O155" s="10" t="str">
        <f t="shared" si="35"/>
        <v/>
      </c>
      <c r="P155" s="39" t="str">
        <f t="shared" si="36"/>
        <v/>
      </c>
      <c r="Q155" s="13" t="str">
        <f t="shared" si="32"/>
        <v/>
      </c>
      <c r="R155" s="13" t="str">
        <f t="shared" si="37"/>
        <v/>
      </c>
      <c r="S155" s="13" t="str">
        <f t="shared" si="33"/>
        <v/>
      </c>
      <c r="T155" s="22" t="str">
        <f>IF(R155&lt;&gt;"",VLOOKUP(P155,Constants!$D$3:$E$10,2),"")</f>
        <v/>
      </c>
    </row>
    <row r="156" spans="2:20" x14ac:dyDescent="0.25">
      <c r="B156" s="59"/>
      <c r="C156" s="59"/>
      <c r="D156" s="60"/>
      <c r="E156" s="59"/>
      <c r="F156" s="59" t="str">
        <f t="shared" si="29"/>
        <v/>
      </c>
      <c r="G156" s="59"/>
      <c r="H156" s="61"/>
      <c r="I156" s="61"/>
      <c r="J156" s="61"/>
      <c r="K156" s="62"/>
      <c r="L156" s="10" t="str">
        <f t="shared" si="30"/>
        <v/>
      </c>
      <c r="M156" s="10" t="str">
        <f t="shared" si="31"/>
        <v/>
      </c>
      <c r="N156" s="11" t="str">
        <f t="shared" si="34"/>
        <v/>
      </c>
      <c r="O156" s="10" t="str">
        <f t="shared" si="35"/>
        <v/>
      </c>
      <c r="P156" s="39" t="str">
        <f t="shared" si="36"/>
        <v/>
      </c>
      <c r="Q156" s="13" t="str">
        <f t="shared" si="32"/>
        <v/>
      </c>
      <c r="R156" s="13" t="str">
        <f t="shared" si="37"/>
        <v/>
      </c>
      <c r="S156" s="13" t="str">
        <f t="shared" si="33"/>
        <v/>
      </c>
      <c r="T156" s="22" t="str">
        <f>IF(R156&lt;&gt;"",VLOOKUP(P156,Constants!$D$3:$E$10,2),"")</f>
        <v/>
      </c>
    </row>
    <row r="157" spans="2:20" x14ac:dyDescent="0.25">
      <c r="B157" s="59"/>
      <c r="C157" s="59"/>
      <c r="D157" s="60"/>
      <c r="E157" s="59"/>
      <c r="F157" s="59" t="str">
        <f t="shared" si="29"/>
        <v/>
      </c>
      <c r="G157" s="59"/>
      <c r="H157" s="61"/>
      <c r="I157" s="61"/>
      <c r="J157" s="61"/>
      <c r="K157" s="62"/>
      <c r="L157" s="10" t="str">
        <f t="shared" si="30"/>
        <v/>
      </c>
      <c r="M157" s="10" t="str">
        <f t="shared" si="31"/>
        <v/>
      </c>
      <c r="N157" s="11" t="str">
        <f t="shared" si="34"/>
        <v/>
      </c>
      <c r="O157" s="10" t="str">
        <f t="shared" si="35"/>
        <v/>
      </c>
      <c r="P157" s="39" t="str">
        <f t="shared" si="36"/>
        <v/>
      </c>
      <c r="Q157" s="13" t="str">
        <f t="shared" si="32"/>
        <v/>
      </c>
      <c r="R157" s="13" t="str">
        <f t="shared" si="37"/>
        <v/>
      </c>
      <c r="S157" s="13" t="str">
        <f t="shared" si="33"/>
        <v/>
      </c>
      <c r="T157" s="22" t="str">
        <f>IF(R157&lt;&gt;"",VLOOKUP(P157,Constants!$D$3:$E$10,2),"")</f>
        <v/>
      </c>
    </row>
    <row r="158" spans="2:20" x14ac:dyDescent="0.25">
      <c r="B158" s="59"/>
      <c r="C158" s="59"/>
      <c r="D158" s="60"/>
      <c r="E158" s="59"/>
      <c r="F158" s="59" t="str">
        <f t="shared" si="29"/>
        <v/>
      </c>
      <c r="G158" s="59"/>
      <c r="H158" s="61"/>
      <c r="I158" s="61"/>
      <c r="J158" s="61"/>
      <c r="K158" s="62"/>
      <c r="L158" s="10" t="str">
        <f t="shared" si="30"/>
        <v/>
      </c>
      <c r="M158" s="10" t="str">
        <f t="shared" si="31"/>
        <v/>
      </c>
      <c r="N158" s="11" t="str">
        <f t="shared" si="34"/>
        <v/>
      </c>
      <c r="O158" s="10" t="str">
        <f t="shared" si="35"/>
        <v/>
      </c>
      <c r="P158" s="39" t="str">
        <f t="shared" si="36"/>
        <v/>
      </c>
      <c r="Q158" s="13" t="str">
        <f t="shared" si="32"/>
        <v/>
      </c>
      <c r="R158" s="13" t="str">
        <f t="shared" si="37"/>
        <v/>
      </c>
      <c r="S158" s="13" t="str">
        <f t="shared" si="33"/>
        <v/>
      </c>
      <c r="T158" s="22" t="str">
        <f>IF(R158&lt;&gt;"",VLOOKUP(P158,Constants!$D$3:$E$10,2),"")</f>
        <v/>
      </c>
    </row>
    <row r="159" spans="2:20" x14ac:dyDescent="0.25">
      <c r="B159" s="59"/>
      <c r="C159" s="59"/>
      <c r="D159" s="60"/>
      <c r="E159" s="59"/>
      <c r="F159" s="59" t="str">
        <f t="shared" si="29"/>
        <v/>
      </c>
      <c r="G159" s="59"/>
      <c r="H159" s="61"/>
      <c r="I159" s="61"/>
      <c r="J159" s="61"/>
      <c r="K159" s="62"/>
      <c r="L159" s="10" t="str">
        <f t="shared" si="30"/>
        <v/>
      </c>
      <c r="M159" s="10" t="str">
        <f t="shared" si="31"/>
        <v/>
      </c>
      <c r="N159" s="11" t="str">
        <f t="shared" si="34"/>
        <v/>
      </c>
      <c r="O159" s="10" t="str">
        <f t="shared" si="35"/>
        <v/>
      </c>
      <c r="P159" s="39" t="str">
        <f t="shared" si="36"/>
        <v/>
      </c>
      <c r="Q159" s="13" t="str">
        <f t="shared" si="32"/>
        <v/>
      </c>
      <c r="R159" s="13" t="str">
        <f t="shared" si="37"/>
        <v/>
      </c>
      <c r="S159" s="13" t="str">
        <f t="shared" si="33"/>
        <v/>
      </c>
      <c r="T159" s="22" t="str">
        <f>IF(R159&lt;&gt;"",VLOOKUP(P159,Constants!$D$3:$E$10,2),"")</f>
        <v/>
      </c>
    </row>
    <row r="160" spans="2:20" x14ac:dyDescent="0.25">
      <c r="B160" s="59"/>
      <c r="C160" s="59"/>
      <c r="D160" s="60"/>
      <c r="E160" s="59"/>
      <c r="F160" s="59" t="str">
        <f t="shared" si="29"/>
        <v/>
      </c>
      <c r="G160" s="59"/>
      <c r="H160" s="61"/>
      <c r="I160" s="61"/>
      <c r="J160" s="61"/>
      <c r="K160" s="62"/>
      <c r="L160" s="10" t="str">
        <f t="shared" si="30"/>
        <v/>
      </c>
      <c r="M160" s="10" t="str">
        <f t="shared" si="31"/>
        <v/>
      </c>
      <c r="N160" s="11" t="str">
        <f t="shared" si="34"/>
        <v/>
      </c>
      <c r="O160" s="10" t="str">
        <f t="shared" si="35"/>
        <v/>
      </c>
      <c r="P160" s="39" t="str">
        <f t="shared" si="36"/>
        <v/>
      </c>
      <c r="Q160" s="13" t="str">
        <f t="shared" si="32"/>
        <v/>
      </c>
      <c r="R160" s="13" t="str">
        <f t="shared" si="37"/>
        <v/>
      </c>
      <c r="S160" s="13" t="str">
        <f t="shared" si="33"/>
        <v/>
      </c>
      <c r="T160" s="22" t="str">
        <f>IF(R160&lt;&gt;"",VLOOKUP(P160,Constants!$D$3:$E$10,2),"")</f>
        <v/>
      </c>
    </row>
    <row r="161" spans="2:20" x14ac:dyDescent="0.25">
      <c r="B161" s="59"/>
      <c r="C161" s="59"/>
      <c r="D161" s="60"/>
      <c r="E161" s="59"/>
      <c r="F161" s="59" t="str">
        <f t="shared" si="29"/>
        <v/>
      </c>
      <c r="G161" s="59"/>
      <c r="H161" s="61"/>
      <c r="I161" s="61"/>
      <c r="J161" s="61"/>
      <c r="K161" s="62"/>
      <c r="L161" s="10" t="str">
        <f t="shared" si="30"/>
        <v/>
      </c>
      <c r="M161" s="10" t="str">
        <f t="shared" si="31"/>
        <v/>
      </c>
      <c r="N161" s="11" t="str">
        <f t="shared" si="34"/>
        <v/>
      </c>
      <c r="O161" s="10" t="str">
        <f t="shared" si="35"/>
        <v/>
      </c>
      <c r="P161" s="39" t="str">
        <f t="shared" si="36"/>
        <v/>
      </c>
      <c r="Q161" s="13" t="str">
        <f t="shared" si="32"/>
        <v/>
      </c>
      <c r="R161" s="13" t="str">
        <f t="shared" si="37"/>
        <v/>
      </c>
      <c r="S161" s="13" t="str">
        <f t="shared" si="33"/>
        <v/>
      </c>
      <c r="T161" s="22" t="str">
        <f>IF(R161&lt;&gt;"",VLOOKUP(P161,Constants!$D$3:$E$10,2),"")</f>
        <v/>
      </c>
    </row>
    <row r="162" spans="2:20" x14ac:dyDescent="0.25">
      <c r="B162" s="59"/>
      <c r="C162" s="59"/>
      <c r="D162" s="60"/>
      <c r="E162" s="59"/>
      <c r="F162" s="59" t="str">
        <f t="shared" si="29"/>
        <v/>
      </c>
      <c r="G162" s="59"/>
      <c r="H162" s="61"/>
      <c r="I162" s="61"/>
      <c r="J162" s="61"/>
      <c r="K162" s="62"/>
      <c r="L162" s="10" t="str">
        <f t="shared" si="30"/>
        <v/>
      </c>
      <c r="M162" s="10" t="str">
        <f t="shared" si="31"/>
        <v/>
      </c>
      <c r="N162" s="11" t="str">
        <f t="shared" si="34"/>
        <v/>
      </c>
      <c r="O162" s="10" t="str">
        <f t="shared" si="35"/>
        <v/>
      </c>
      <c r="P162" s="39" t="str">
        <f t="shared" si="36"/>
        <v/>
      </c>
      <c r="Q162" s="13" t="str">
        <f t="shared" si="32"/>
        <v/>
      </c>
      <c r="R162" s="13" t="str">
        <f t="shared" si="37"/>
        <v/>
      </c>
      <c r="S162" s="13" t="str">
        <f t="shared" si="33"/>
        <v/>
      </c>
      <c r="T162" s="22" t="str">
        <f>IF(R162&lt;&gt;"",VLOOKUP(P162,Constants!$D$3:$E$10,2),"")</f>
        <v/>
      </c>
    </row>
    <row r="163" spans="2:20" x14ac:dyDescent="0.25">
      <c r="B163" s="59"/>
      <c r="C163" s="59"/>
      <c r="D163" s="60"/>
      <c r="E163" s="59"/>
      <c r="F163" s="59" t="str">
        <f t="shared" si="29"/>
        <v/>
      </c>
      <c r="G163" s="59"/>
      <c r="H163" s="61"/>
      <c r="I163" s="61"/>
      <c r="J163" s="61"/>
      <c r="K163" s="62"/>
      <c r="L163" s="10" t="str">
        <f t="shared" si="30"/>
        <v/>
      </c>
      <c r="M163" s="10" t="str">
        <f t="shared" si="31"/>
        <v/>
      </c>
      <c r="N163" s="11" t="str">
        <f t="shared" si="34"/>
        <v/>
      </c>
      <c r="O163" s="10" t="str">
        <f t="shared" si="35"/>
        <v/>
      </c>
      <c r="P163" s="39" t="str">
        <f t="shared" si="36"/>
        <v/>
      </c>
      <c r="Q163" s="13" t="str">
        <f t="shared" si="32"/>
        <v/>
      </c>
      <c r="R163" s="13" t="str">
        <f t="shared" si="37"/>
        <v/>
      </c>
      <c r="S163" s="13" t="str">
        <f t="shared" si="33"/>
        <v/>
      </c>
      <c r="T163" s="22" t="str">
        <f>IF(R163&lt;&gt;"",VLOOKUP(P163,Constants!$D$3:$E$10,2),"")</f>
        <v/>
      </c>
    </row>
    <row r="164" spans="2:20" x14ac:dyDescent="0.25">
      <c r="B164" s="59"/>
      <c r="C164" s="59"/>
      <c r="D164" s="60"/>
      <c r="E164" s="59"/>
      <c r="F164" s="59" t="str">
        <f t="shared" si="29"/>
        <v/>
      </c>
      <c r="G164" s="59"/>
      <c r="H164" s="61"/>
      <c r="I164" s="61"/>
      <c r="J164" s="61"/>
      <c r="K164" s="62"/>
      <c r="L164" s="10" t="str">
        <f t="shared" si="30"/>
        <v/>
      </c>
      <c r="M164" s="10" t="str">
        <f t="shared" si="31"/>
        <v/>
      </c>
      <c r="N164" s="11" t="str">
        <f t="shared" si="34"/>
        <v/>
      </c>
      <c r="O164" s="10" t="str">
        <f t="shared" si="35"/>
        <v/>
      </c>
      <c r="P164" s="39" t="str">
        <f t="shared" si="36"/>
        <v/>
      </c>
      <c r="Q164" s="13" t="str">
        <f t="shared" si="32"/>
        <v/>
      </c>
      <c r="R164" s="13" t="str">
        <f t="shared" si="37"/>
        <v/>
      </c>
      <c r="S164" s="13" t="str">
        <f t="shared" si="33"/>
        <v/>
      </c>
      <c r="T164" s="22" t="str">
        <f>IF(R164&lt;&gt;"",VLOOKUP(P164,Constants!$D$3:$E$10,2),"")</f>
        <v/>
      </c>
    </row>
    <row r="165" spans="2:20" x14ac:dyDescent="0.25">
      <c r="B165" s="59"/>
      <c r="C165" s="59"/>
      <c r="D165" s="60"/>
      <c r="E165" s="59"/>
      <c r="F165" s="59" t="str">
        <f t="shared" si="29"/>
        <v/>
      </c>
      <c r="G165" s="59"/>
      <c r="H165" s="61"/>
      <c r="I165" s="61"/>
      <c r="J165" s="61"/>
      <c r="K165" s="62"/>
      <c r="L165" s="10" t="str">
        <f t="shared" si="30"/>
        <v/>
      </c>
      <c r="M165" s="10" t="str">
        <f t="shared" si="31"/>
        <v/>
      </c>
      <c r="N165" s="11" t="str">
        <f t="shared" si="34"/>
        <v/>
      </c>
      <c r="O165" s="10" t="str">
        <f t="shared" si="35"/>
        <v/>
      </c>
      <c r="P165" s="39" t="str">
        <f t="shared" si="36"/>
        <v/>
      </c>
      <c r="Q165" s="13" t="str">
        <f t="shared" si="32"/>
        <v/>
      </c>
      <c r="R165" s="13" t="str">
        <f t="shared" si="37"/>
        <v/>
      </c>
      <c r="S165" s="13" t="str">
        <f t="shared" si="33"/>
        <v/>
      </c>
      <c r="T165" s="22" t="str">
        <f>IF(R165&lt;&gt;"",VLOOKUP(P165,Constants!$D$3:$E$10,2),"")</f>
        <v/>
      </c>
    </row>
    <row r="166" spans="2:20" x14ac:dyDescent="0.25">
      <c r="B166" s="59"/>
      <c r="C166" s="59"/>
      <c r="D166" s="60"/>
      <c r="E166" s="59"/>
      <c r="F166" s="59" t="str">
        <f t="shared" si="29"/>
        <v/>
      </c>
      <c r="G166" s="59"/>
      <c r="H166" s="61"/>
      <c r="I166" s="61"/>
      <c r="J166" s="61"/>
      <c r="K166" s="62"/>
      <c r="L166" s="10" t="str">
        <f t="shared" si="30"/>
        <v/>
      </c>
      <c r="M166" s="10" t="str">
        <f t="shared" si="31"/>
        <v/>
      </c>
      <c r="N166" s="11" t="str">
        <f t="shared" si="34"/>
        <v/>
      </c>
      <c r="O166" s="10" t="str">
        <f t="shared" si="35"/>
        <v/>
      </c>
      <c r="P166" s="39" t="str">
        <f t="shared" si="36"/>
        <v/>
      </c>
      <c r="Q166" s="13" t="str">
        <f t="shared" si="32"/>
        <v/>
      </c>
      <c r="R166" s="13" t="str">
        <f t="shared" si="37"/>
        <v/>
      </c>
      <c r="S166" s="13" t="str">
        <f t="shared" si="33"/>
        <v/>
      </c>
      <c r="T166" s="22" t="str">
        <f>IF(R166&lt;&gt;"",VLOOKUP(P166,Constants!$D$3:$E$10,2),"")</f>
        <v/>
      </c>
    </row>
    <row r="167" spans="2:20" x14ac:dyDescent="0.25">
      <c r="B167" s="59"/>
      <c r="C167" s="59"/>
      <c r="D167" s="60"/>
      <c r="E167" s="59"/>
      <c r="F167" s="59" t="str">
        <f t="shared" si="29"/>
        <v/>
      </c>
      <c r="G167" s="59"/>
      <c r="H167" s="61"/>
      <c r="I167" s="61"/>
      <c r="J167" s="61"/>
      <c r="K167" s="62"/>
      <c r="L167" s="10" t="str">
        <f t="shared" si="30"/>
        <v/>
      </c>
      <c r="M167" s="10" t="str">
        <f t="shared" si="31"/>
        <v/>
      </c>
      <c r="N167" s="11" t="str">
        <f t="shared" si="34"/>
        <v/>
      </c>
      <c r="O167" s="10" t="str">
        <f t="shared" si="35"/>
        <v/>
      </c>
      <c r="P167" s="39" t="str">
        <f t="shared" si="36"/>
        <v/>
      </c>
      <c r="Q167" s="13" t="str">
        <f t="shared" si="32"/>
        <v/>
      </c>
      <c r="R167" s="13" t="str">
        <f t="shared" si="37"/>
        <v/>
      </c>
      <c r="S167" s="13" t="str">
        <f t="shared" si="33"/>
        <v/>
      </c>
      <c r="T167" s="22" t="str">
        <f>IF(R167&lt;&gt;"",VLOOKUP(P167,Constants!$D$3:$E$10,2),"")</f>
        <v/>
      </c>
    </row>
    <row r="168" spans="2:20" x14ac:dyDescent="0.25">
      <c r="B168" s="59"/>
      <c r="C168" s="59"/>
      <c r="D168" s="60"/>
      <c r="E168" s="59"/>
      <c r="F168" s="59" t="str">
        <f t="shared" si="29"/>
        <v/>
      </c>
      <c r="G168" s="59"/>
      <c r="H168" s="61"/>
      <c r="I168" s="61"/>
      <c r="J168" s="61"/>
      <c r="K168" s="62"/>
      <c r="L168" s="10" t="str">
        <f t="shared" si="30"/>
        <v/>
      </c>
      <c r="M168" s="10" t="str">
        <f t="shared" si="31"/>
        <v/>
      </c>
      <c r="N168" s="11" t="str">
        <f t="shared" si="34"/>
        <v/>
      </c>
      <c r="O168" s="10" t="str">
        <f t="shared" si="35"/>
        <v/>
      </c>
      <c r="P168" s="39" t="str">
        <f t="shared" si="36"/>
        <v/>
      </c>
      <c r="Q168" s="13" t="str">
        <f t="shared" si="32"/>
        <v/>
      </c>
      <c r="R168" s="13" t="str">
        <f t="shared" si="37"/>
        <v/>
      </c>
      <c r="S168" s="13" t="str">
        <f t="shared" si="33"/>
        <v/>
      </c>
      <c r="T168" s="22" t="str">
        <f>IF(R168&lt;&gt;"",VLOOKUP(P168,Constants!$D$3:$E$10,2),"")</f>
        <v/>
      </c>
    </row>
    <row r="169" spans="2:20" x14ac:dyDescent="0.25">
      <c r="B169" s="59"/>
      <c r="C169" s="59"/>
      <c r="D169" s="60"/>
      <c r="E169" s="59"/>
      <c r="F169" s="59" t="str">
        <f t="shared" si="29"/>
        <v/>
      </c>
      <c r="G169" s="59"/>
      <c r="H169" s="61"/>
      <c r="I169" s="61"/>
      <c r="J169" s="61"/>
      <c r="K169" s="62"/>
      <c r="L169" s="10" t="str">
        <f t="shared" si="30"/>
        <v/>
      </c>
      <c r="M169" s="10" t="str">
        <f t="shared" si="31"/>
        <v/>
      </c>
      <c r="N169" s="11" t="str">
        <f t="shared" si="34"/>
        <v/>
      </c>
      <c r="O169" s="10" t="str">
        <f t="shared" si="35"/>
        <v/>
      </c>
      <c r="P169" s="39" t="str">
        <f t="shared" si="36"/>
        <v/>
      </c>
      <c r="Q169" s="13" t="str">
        <f t="shared" si="32"/>
        <v/>
      </c>
      <c r="R169" s="13" t="str">
        <f t="shared" si="37"/>
        <v/>
      </c>
      <c r="S169" s="13" t="str">
        <f t="shared" si="33"/>
        <v/>
      </c>
      <c r="T169" s="22" t="str">
        <f>IF(R169&lt;&gt;"",VLOOKUP(P169,Constants!$D$3:$E$10,2),"")</f>
        <v/>
      </c>
    </row>
    <row r="170" spans="2:20" x14ac:dyDescent="0.25">
      <c r="B170" s="59"/>
      <c r="C170" s="59"/>
      <c r="D170" s="60"/>
      <c r="E170" s="59"/>
      <c r="F170" s="59" t="str">
        <f t="shared" si="29"/>
        <v/>
      </c>
      <c r="G170" s="59"/>
      <c r="H170" s="61"/>
      <c r="I170" s="61"/>
      <c r="J170" s="61"/>
      <c r="K170" s="62"/>
      <c r="L170" s="10" t="str">
        <f t="shared" si="30"/>
        <v/>
      </c>
      <c r="M170" s="10" t="str">
        <f t="shared" si="31"/>
        <v/>
      </c>
      <c r="N170" s="11" t="str">
        <f t="shared" si="34"/>
        <v/>
      </c>
      <c r="O170" s="10" t="str">
        <f t="shared" si="35"/>
        <v/>
      </c>
      <c r="P170" s="39" t="str">
        <f t="shared" si="36"/>
        <v/>
      </c>
      <c r="Q170" s="13" t="str">
        <f t="shared" si="32"/>
        <v/>
      </c>
      <c r="R170" s="13" t="str">
        <f t="shared" si="37"/>
        <v/>
      </c>
      <c r="S170" s="13" t="str">
        <f t="shared" si="33"/>
        <v/>
      </c>
      <c r="T170" s="22" t="str">
        <f>IF(R170&lt;&gt;"",VLOOKUP(P170,Constants!$D$3:$E$10,2),"")</f>
        <v/>
      </c>
    </row>
    <row r="171" spans="2:20" x14ac:dyDescent="0.25">
      <c r="B171" s="59"/>
      <c r="C171" s="59"/>
      <c r="D171" s="60"/>
      <c r="E171" s="59"/>
      <c r="F171" s="59" t="str">
        <f t="shared" si="29"/>
        <v/>
      </c>
      <c r="G171" s="59"/>
      <c r="H171" s="61"/>
      <c r="I171" s="61"/>
      <c r="J171" s="61"/>
      <c r="K171" s="62"/>
      <c r="L171" s="10" t="str">
        <f t="shared" si="30"/>
        <v/>
      </c>
      <c r="M171" s="10" t="str">
        <f t="shared" si="31"/>
        <v/>
      </c>
      <c r="N171" s="11" t="str">
        <f t="shared" si="34"/>
        <v/>
      </c>
      <c r="O171" s="10" t="str">
        <f t="shared" si="35"/>
        <v/>
      </c>
      <c r="P171" s="39" t="str">
        <f t="shared" si="36"/>
        <v/>
      </c>
      <c r="Q171" s="13" t="str">
        <f t="shared" si="32"/>
        <v/>
      </c>
      <c r="R171" s="13" t="str">
        <f t="shared" si="37"/>
        <v/>
      </c>
      <c r="S171" s="13" t="str">
        <f t="shared" si="33"/>
        <v/>
      </c>
      <c r="T171" s="22" t="str">
        <f>IF(R171&lt;&gt;"",VLOOKUP(P171,Constants!$D$3:$E$10,2),"")</f>
        <v/>
      </c>
    </row>
    <row r="172" spans="2:20" x14ac:dyDescent="0.25">
      <c r="B172" s="59"/>
      <c r="C172" s="59"/>
      <c r="D172" s="60"/>
      <c r="E172" s="59"/>
      <c r="F172" s="59" t="str">
        <f t="shared" si="29"/>
        <v/>
      </c>
      <c r="G172" s="59"/>
      <c r="H172" s="61"/>
      <c r="I172" s="61"/>
      <c r="J172" s="61"/>
      <c r="K172" s="62"/>
      <c r="L172" s="10" t="str">
        <f t="shared" si="30"/>
        <v/>
      </c>
      <c r="M172" s="10" t="str">
        <f t="shared" si="31"/>
        <v/>
      </c>
      <c r="N172" s="11" t="str">
        <f t="shared" si="34"/>
        <v/>
      </c>
      <c r="O172" s="10" t="str">
        <f t="shared" si="35"/>
        <v/>
      </c>
      <c r="P172" s="39" t="str">
        <f t="shared" si="36"/>
        <v/>
      </c>
      <c r="Q172" s="13" t="str">
        <f t="shared" si="32"/>
        <v/>
      </c>
      <c r="R172" s="13" t="str">
        <f t="shared" si="37"/>
        <v/>
      </c>
      <c r="S172" s="13" t="str">
        <f t="shared" si="33"/>
        <v/>
      </c>
      <c r="T172" s="22" t="str">
        <f>IF(R172&lt;&gt;"",VLOOKUP(P172,Constants!$D$3:$E$10,2),"")</f>
        <v/>
      </c>
    </row>
    <row r="173" spans="2:20" x14ac:dyDescent="0.25">
      <c r="B173" s="59"/>
      <c r="C173" s="59"/>
      <c r="D173" s="60"/>
      <c r="E173" s="59"/>
      <c r="F173" s="59" t="str">
        <f t="shared" si="29"/>
        <v/>
      </c>
      <c r="G173" s="59"/>
      <c r="H173" s="61"/>
      <c r="I173" s="61"/>
      <c r="J173" s="61"/>
      <c r="K173" s="62"/>
      <c r="L173" s="10" t="str">
        <f t="shared" si="30"/>
        <v/>
      </c>
      <c r="M173" s="10" t="str">
        <f t="shared" si="31"/>
        <v/>
      </c>
      <c r="N173" s="11" t="str">
        <f t="shared" si="34"/>
        <v/>
      </c>
      <c r="O173" s="10" t="str">
        <f t="shared" si="35"/>
        <v/>
      </c>
      <c r="P173" s="39" t="str">
        <f t="shared" si="36"/>
        <v/>
      </c>
      <c r="Q173" s="13" t="str">
        <f t="shared" si="32"/>
        <v/>
      </c>
      <c r="R173" s="13" t="str">
        <f t="shared" si="37"/>
        <v/>
      </c>
      <c r="S173" s="13" t="str">
        <f t="shared" si="33"/>
        <v/>
      </c>
      <c r="T173" s="22" t="str">
        <f>IF(R173&lt;&gt;"",VLOOKUP(P173,Constants!$D$3:$E$10,2),"")</f>
        <v/>
      </c>
    </row>
    <row r="174" spans="2:20" x14ac:dyDescent="0.25">
      <c r="B174" s="59"/>
      <c r="C174" s="59"/>
      <c r="D174" s="60"/>
      <c r="E174" s="59"/>
      <c r="F174" s="59" t="str">
        <f t="shared" si="29"/>
        <v/>
      </c>
      <c r="G174" s="59"/>
      <c r="H174" s="61"/>
      <c r="I174" s="61"/>
      <c r="J174" s="61"/>
      <c r="K174" s="62"/>
      <c r="L174" s="10" t="str">
        <f t="shared" si="30"/>
        <v/>
      </c>
      <c r="M174" s="10" t="str">
        <f t="shared" si="31"/>
        <v/>
      </c>
      <c r="N174" s="11" t="str">
        <f t="shared" si="34"/>
        <v/>
      </c>
      <c r="O174" s="10" t="str">
        <f t="shared" si="35"/>
        <v/>
      </c>
      <c r="P174" s="39" t="str">
        <f t="shared" si="36"/>
        <v/>
      </c>
      <c r="Q174" s="13" t="str">
        <f t="shared" si="32"/>
        <v/>
      </c>
      <c r="R174" s="13" t="str">
        <f t="shared" si="37"/>
        <v/>
      </c>
      <c r="S174" s="13" t="str">
        <f t="shared" si="33"/>
        <v/>
      </c>
      <c r="T174" s="22" t="str">
        <f>IF(R174&lt;&gt;"",VLOOKUP(P174,Constants!$D$3:$E$10,2),"")</f>
        <v/>
      </c>
    </row>
    <row r="175" spans="2:20" x14ac:dyDescent="0.25">
      <c r="B175" s="59"/>
      <c r="C175" s="59"/>
      <c r="D175" s="60"/>
      <c r="E175" s="59"/>
      <c r="F175" s="59" t="str">
        <f t="shared" si="29"/>
        <v/>
      </c>
      <c r="G175" s="59"/>
      <c r="H175" s="61"/>
      <c r="I175" s="61"/>
      <c r="J175" s="61"/>
      <c r="K175" s="62"/>
      <c r="L175" s="10" t="str">
        <f t="shared" si="30"/>
        <v/>
      </c>
      <c r="M175" s="10" t="str">
        <f t="shared" si="31"/>
        <v/>
      </c>
      <c r="N175" s="11" t="str">
        <f t="shared" si="34"/>
        <v/>
      </c>
      <c r="O175" s="10" t="str">
        <f t="shared" si="35"/>
        <v/>
      </c>
      <c r="P175" s="39" t="str">
        <f t="shared" si="36"/>
        <v/>
      </c>
      <c r="Q175" s="13" t="str">
        <f t="shared" si="32"/>
        <v/>
      </c>
      <c r="R175" s="13" t="str">
        <f t="shared" si="37"/>
        <v/>
      </c>
      <c r="S175" s="13" t="str">
        <f t="shared" si="33"/>
        <v/>
      </c>
      <c r="T175" s="22" t="str">
        <f>IF(R175&lt;&gt;"",VLOOKUP(P175,Constants!$D$3:$E$10,2),"")</f>
        <v/>
      </c>
    </row>
    <row r="176" spans="2:20" x14ac:dyDescent="0.25">
      <c r="B176" s="59"/>
      <c r="C176" s="59"/>
      <c r="D176" s="60"/>
      <c r="E176" s="59"/>
      <c r="F176" s="59" t="str">
        <f t="shared" si="29"/>
        <v/>
      </c>
      <c r="G176" s="59"/>
      <c r="H176" s="61"/>
      <c r="I176" s="61"/>
      <c r="J176" s="61"/>
      <c r="K176" s="62"/>
      <c r="L176" s="10" t="str">
        <f t="shared" si="30"/>
        <v/>
      </c>
      <c r="M176" s="10" t="str">
        <f t="shared" si="31"/>
        <v/>
      </c>
      <c r="N176" s="11" t="str">
        <f t="shared" si="34"/>
        <v/>
      </c>
      <c r="O176" s="10" t="str">
        <f t="shared" si="35"/>
        <v/>
      </c>
      <c r="P176" s="39" t="str">
        <f t="shared" si="36"/>
        <v/>
      </c>
      <c r="Q176" s="13" t="str">
        <f t="shared" si="32"/>
        <v/>
      </c>
      <c r="R176" s="13" t="str">
        <f t="shared" si="37"/>
        <v/>
      </c>
      <c r="S176" s="13" t="str">
        <f t="shared" si="33"/>
        <v/>
      </c>
      <c r="T176" s="22" t="str">
        <f>IF(R176&lt;&gt;"",VLOOKUP(P176,Constants!$D$3:$E$10,2),"")</f>
        <v/>
      </c>
    </row>
    <row r="177" spans="2:20" x14ac:dyDescent="0.25">
      <c r="B177" s="59"/>
      <c r="C177" s="59"/>
      <c r="D177" s="60"/>
      <c r="E177" s="59"/>
      <c r="F177" s="59" t="str">
        <f t="shared" si="29"/>
        <v/>
      </c>
      <c r="G177" s="59"/>
      <c r="H177" s="61"/>
      <c r="I177" s="61"/>
      <c r="J177" s="61"/>
      <c r="K177" s="62"/>
      <c r="L177" s="10" t="str">
        <f t="shared" si="30"/>
        <v/>
      </c>
      <c r="M177" s="10" t="str">
        <f t="shared" si="31"/>
        <v/>
      </c>
      <c r="N177" s="11" t="str">
        <f t="shared" si="34"/>
        <v/>
      </c>
      <c r="O177" s="10" t="str">
        <f t="shared" si="35"/>
        <v/>
      </c>
      <c r="P177" s="39" t="str">
        <f t="shared" si="36"/>
        <v/>
      </c>
      <c r="Q177" s="13" t="str">
        <f t="shared" si="32"/>
        <v/>
      </c>
      <c r="R177" s="13" t="str">
        <f t="shared" si="37"/>
        <v/>
      </c>
      <c r="S177" s="13" t="str">
        <f t="shared" si="33"/>
        <v/>
      </c>
      <c r="T177" s="22" t="str">
        <f>IF(R177&lt;&gt;"",VLOOKUP(P177,Constants!$D$3:$E$10,2),"")</f>
        <v/>
      </c>
    </row>
    <row r="178" spans="2:20" x14ac:dyDescent="0.25">
      <c r="B178" s="59"/>
      <c r="C178" s="59"/>
      <c r="D178" s="60"/>
      <c r="E178" s="59"/>
      <c r="F178" s="59" t="str">
        <f t="shared" si="29"/>
        <v/>
      </c>
      <c r="G178" s="59"/>
      <c r="H178" s="61"/>
      <c r="I178" s="61"/>
      <c r="J178" s="61"/>
      <c r="K178" s="62"/>
      <c r="L178" s="10" t="str">
        <f t="shared" si="30"/>
        <v/>
      </c>
      <c r="M178" s="10" t="str">
        <f t="shared" si="31"/>
        <v/>
      </c>
      <c r="N178" s="11" t="str">
        <f t="shared" si="34"/>
        <v/>
      </c>
      <c r="O178" s="10" t="str">
        <f t="shared" si="35"/>
        <v/>
      </c>
      <c r="P178" s="39" t="str">
        <f t="shared" si="36"/>
        <v/>
      </c>
      <c r="Q178" s="13" t="str">
        <f t="shared" si="32"/>
        <v/>
      </c>
      <c r="R178" s="13" t="str">
        <f t="shared" si="37"/>
        <v/>
      </c>
      <c r="S178" s="13" t="str">
        <f t="shared" si="33"/>
        <v/>
      </c>
      <c r="T178" s="22" t="str">
        <f>IF(R178&lt;&gt;"",VLOOKUP(P178,Constants!$D$3:$E$10,2),"")</f>
        <v/>
      </c>
    </row>
    <row r="179" spans="2:20" x14ac:dyDescent="0.25">
      <c r="B179" s="59"/>
      <c r="C179" s="59"/>
      <c r="D179" s="60"/>
      <c r="E179" s="59"/>
      <c r="F179" s="59" t="str">
        <f t="shared" si="29"/>
        <v/>
      </c>
      <c r="G179" s="59"/>
      <c r="H179" s="61"/>
      <c r="I179" s="61"/>
      <c r="J179" s="61"/>
      <c r="K179" s="62"/>
      <c r="L179" s="10" t="str">
        <f t="shared" si="30"/>
        <v/>
      </c>
      <c r="M179" s="10" t="str">
        <f t="shared" si="31"/>
        <v/>
      </c>
      <c r="N179" s="11" t="str">
        <f t="shared" si="34"/>
        <v/>
      </c>
      <c r="O179" s="10" t="str">
        <f t="shared" si="35"/>
        <v/>
      </c>
      <c r="P179" s="39" t="str">
        <f t="shared" si="36"/>
        <v/>
      </c>
      <c r="Q179" s="13" t="str">
        <f t="shared" si="32"/>
        <v/>
      </c>
      <c r="R179" s="13" t="str">
        <f t="shared" si="37"/>
        <v/>
      </c>
      <c r="S179" s="13" t="str">
        <f t="shared" si="33"/>
        <v/>
      </c>
      <c r="T179" s="22" t="str">
        <f>IF(R179&lt;&gt;"",VLOOKUP(P179,Constants!$D$3:$E$10,2),"")</f>
        <v/>
      </c>
    </row>
    <row r="180" spans="2:20" x14ac:dyDescent="0.25">
      <c r="B180" s="59"/>
      <c r="C180" s="59"/>
      <c r="D180" s="60"/>
      <c r="E180" s="59"/>
      <c r="F180" s="59" t="str">
        <f t="shared" si="29"/>
        <v/>
      </c>
      <c r="G180" s="59"/>
      <c r="H180" s="61"/>
      <c r="I180" s="61"/>
      <c r="J180" s="61"/>
      <c r="K180" s="62"/>
      <c r="L180" s="10" t="str">
        <f t="shared" si="30"/>
        <v/>
      </c>
      <c r="M180" s="10" t="str">
        <f t="shared" si="31"/>
        <v/>
      </c>
      <c r="N180" s="11" t="str">
        <f t="shared" si="34"/>
        <v/>
      </c>
      <c r="O180" s="10" t="str">
        <f t="shared" si="35"/>
        <v/>
      </c>
      <c r="P180" s="39" t="str">
        <f t="shared" si="36"/>
        <v/>
      </c>
      <c r="Q180" s="13" t="str">
        <f t="shared" si="32"/>
        <v/>
      </c>
      <c r="R180" s="13" t="str">
        <f t="shared" si="37"/>
        <v/>
      </c>
      <c r="S180" s="13" t="str">
        <f t="shared" si="33"/>
        <v/>
      </c>
      <c r="T180" s="22" t="str">
        <f>IF(R180&lt;&gt;"",VLOOKUP(P180,Constants!$D$3:$E$10,2),"")</f>
        <v/>
      </c>
    </row>
    <row r="181" spans="2:20" x14ac:dyDescent="0.25">
      <c r="B181" s="59"/>
      <c r="C181" s="59"/>
      <c r="D181" s="60"/>
      <c r="E181" s="59"/>
      <c r="F181" s="59" t="str">
        <f t="shared" si="29"/>
        <v/>
      </c>
      <c r="G181" s="59"/>
      <c r="H181" s="61"/>
      <c r="I181" s="61"/>
      <c r="J181" s="61"/>
      <c r="K181" s="62"/>
      <c r="L181" s="10" t="str">
        <f t="shared" si="30"/>
        <v/>
      </c>
      <c r="M181" s="10" t="str">
        <f t="shared" si="31"/>
        <v/>
      </c>
      <c r="N181" s="11" t="str">
        <f t="shared" si="34"/>
        <v/>
      </c>
      <c r="O181" s="10" t="str">
        <f t="shared" si="35"/>
        <v/>
      </c>
      <c r="P181" s="39" t="str">
        <f t="shared" si="36"/>
        <v/>
      </c>
      <c r="Q181" s="13" t="str">
        <f t="shared" si="32"/>
        <v/>
      </c>
      <c r="R181" s="13" t="str">
        <f t="shared" si="37"/>
        <v/>
      </c>
      <c r="S181" s="13" t="str">
        <f t="shared" si="33"/>
        <v/>
      </c>
      <c r="T181" s="22" t="str">
        <f>IF(R181&lt;&gt;"",VLOOKUP(P181,Constants!$D$3:$E$10,2),"")</f>
        <v/>
      </c>
    </row>
    <row r="182" spans="2:20" x14ac:dyDescent="0.25">
      <c r="B182" s="59"/>
      <c r="C182" s="59"/>
      <c r="D182" s="60"/>
      <c r="E182" s="59"/>
      <c r="F182" s="59" t="str">
        <f t="shared" si="29"/>
        <v/>
      </c>
      <c r="G182" s="59"/>
      <c r="H182" s="61"/>
      <c r="I182" s="61"/>
      <c r="J182" s="61"/>
      <c r="K182" s="62"/>
      <c r="L182" s="10" t="str">
        <f t="shared" si="30"/>
        <v/>
      </c>
      <c r="M182" s="10" t="str">
        <f t="shared" si="31"/>
        <v/>
      </c>
      <c r="N182" s="11" t="str">
        <f t="shared" si="34"/>
        <v/>
      </c>
      <c r="O182" s="10" t="str">
        <f t="shared" si="35"/>
        <v/>
      </c>
      <c r="P182" s="39" t="str">
        <f t="shared" si="36"/>
        <v/>
      </c>
      <c r="Q182" s="13" t="str">
        <f t="shared" si="32"/>
        <v/>
      </c>
      <c r="R182" s="13" t="str">
        <f t="shared" si="37"/>
        <v/>
      </c>
      <c r="S182" s="13" t="str">
        <f t="shared" si="33"/>
        <v/>
      </c>
      <c r="T182" s="22" t="str">
        <f>IF(R182&lt;&gt;"",VLOOKUP(P182,Constants!$D$3:$E$10,2),"")</f>
        <v/>
      </c>
    </row>
    <row r="183" spans="2:20" x14ac:dyDescent="0.25">
      <c r="B183" s="59"/>
      <c r="C183" s="59"/>
      <c r="D183" s="60"/>
      <c r="E183" s="59"/>
      <c r="F183" s="59" t="str">
        <f t="shared" si="29"/>
        <v/>
      </c>
      <c r="G183" s="59"/>
      <c r="H183" s="61"/>
      <c r="I183" s="61"/>
      <c r="J183" s="61"/>
      <c r="K183" s="62"/>
      <c r="L183" s="10" t="str">
        <f t="shared" si="30"/>
        <v/>
      </c>
      <c r="M183" s="10" t="str">
        <f t="shared" si="31"/>
        <v/>
      </c>
      <c r="N183" s="11" t="str">
        <f t="shared" si="34"/>
        <v/>
      </c>
      <c r="O183" s="10" t="str">
        <f t="shared" si="35"/>
        <v/>
      </c>
      <c r="P183" s="39" t="str">
        <f t="shared" si="36"/>
        <v/>
      </c>
      <c r="Q183" s="13" t="str">
        <f t="shared" si="32"/>
        <v/>
      </c>
      <c r="R183" s="13" t="str">
        <f t="shared" si="37"/>
        <v/>
      </c>
      <c r="S183" s="13" t="str">
        <f t="shared" si="33"/>
        <v/>
      </c>
      <c r="T183" s="22" t="str">
        <f>IF(R183&lt;&gt;"",VLOOKUP(P183,Constants!$D$3:$E$10,2),"")</f>
        <v/>
      </c>
    </row>
    <row r="184" spans="2:20" x14ac:dyDescent="0.25">
      <c r="B184" s="59"/>
      <c r="C184" s="59"/>
      <c r="D184" s="60"/>
      <c r="E184" s="59"/>
      <c r="F184" s="59" t="str">
        <f t="shared" si="29"/>
        <v/>
      </c>
      <c r="G184" s="59"/>
      <c r="H184" s="61"/>
      <c r="I184" s="61"/>
      <c r="J184" s="61"/>
      <c r="K184" s="62"/>
      <c r="L184" s="10" t="str">
        <f t="shared" si="30"/>
        <v/>
      </c>
      <c r="M184" s="10" t="str">
        <f t="shared" si="31"/>
        <v/>
      </c>
      <c r="N184" s="11" t="str">
        <f t="shared" si="34"/>
        <v/>
      </c>
      <c r="O184" s="10" t="str">
        <f t="shared" si="35"/>
        <v/>
      </c>
      <c r="P184" s="39" t="str">
        <f t="shared" si="36"/>
        <v/>
      </c>
      <c r="Q184" s="13" t="str">
        <f t="shared" si="32"/>
        <v/>
      </c>
      <c r="R184" s="13" t="str">
        <f t="shared" si="37"/>
        <v/>
      </c>
      <c r="S184" s="13" t="str">
        <f t="shared" si="33"/>
        <v/>
      </c>
      <c r="T184" s="22" t="str">
        <f>IF(R184&lt;&gt;"",VLOOKUP(P184,Constants!$D$3:$E$10,2),"")</f>
        <v/>
      </c>
    </row>
    <row r="185" spans="2:20" x14ac:dyDescent="0.25">
      <c r="B185" s="59"/>
      <c r="C185" s="59"/>
      <c r="D185" s="60"/>
      <c r="E185" s="59"/>
      <c r="F185" s="59" t="str">
        <f t="shared" si="29"/>
        <v/>
      </c>
      <c r="G185" s="59"/>
      <c r="H185" s="61"/>
      <c r="I185" s="61"/>
      <c r="J185" s="61"/>
      <c r="K185" s="62"/>
      <c r="L185" s="10" t="str">
        <f t="shared" si="30"/>
        <v/>
      </c>
      <c r="M185" s="10" t="str">
        <f t="shared" si="31"/>
        <v/>
      </c>
      <c r="N185" s="11" t="str">
        <f t="shared" si="34"/>
        <v/>
      </c>
      <c r="O185" s="10" t="str">
        <f t="shared" si="35"/>
        <v/>
      </c>
      <c r="P185" s="39" t="str">
        <f t="shared" si="36"/>
        <v/>
      </c>
      <c r="Q185" s="13" t="str">
        <f t="shared" si="32"/>
        <v/>
      </c>
      <c r="R185" s="13" t="str">
        <f t="shared" si="37"/>
        <v/>
      </c>
      <c r="S185" s="13" t="str">
        <f t="shared" si="33"/>
        <v/>
      </c>
      <c r="T185" s="22" t="str">
        <f>IF(R185&lt;&gt;"",VLOOKUP(P185,Constants!$D$3:$E$10,2),"")</f>
        <v/>
      </c>
    </row>
    <row r="186" spans="2:20" x14ac:dyDescent="0.25">
      <c r="B186" s="59"/>
      <c r="C186" s="59"/>
      <c r="D186" s="60"/>
      <c r="E186" s="59"/>
      <c r="F186" s="59" t="str">
        <f t="shared" si="29"/>
        <v/>
      </c>
      <c r="G186" s="59"/>
      <c r="H186" s="61"/>
      <c r="I186" s="61"/>
      <c r="J186" s="61"/>
      <c r="K186" s="62"/>
      <c r="L186" s="10" t="str">
        <f t="shared" si="30"/>
        <v/>
      </c>
      <c r="M186" s="10" t="str">
        <f t="shared" si="31"/>
        <v/>
      </c>
      <c r="N186" s="11" t="str">
        <f t="shared" si="34"/>
        <v/>
      </c>
      <c r="O186" s="10" t="str">
        <f t="shared" si="35"/>
        <v/>
      </c>
      <c r="P186" s="39" t="str">
        <f t="shared" si="36"/>
        <v/>
      </c>
      <c r="Q186" s="13" t="str">
        <f t="shared" si="32"/>
        <v/>
      </c>
      <c r="R186" s="13" t="str">
        <f t="shared" si="37"/>
        <v/>
      </c>
      <c r="S186" s="13" t="str">
        <f t="shared" si="33"/>
        <v/>
      </c>
      <c r="T186" s="22" t="str">
        <f>IF(R186&lt;&gt;"",VLOOKUP(P186,Constants!$D$3:$E$10,2),"")</f>
        <v/>
      </c>
    </row>
    <row r="187" spans="2:20" x14ac:dyDescent="0.25">
      <c r="B187" s="59"/>
      <c r="C187" s="59"/>
      <c r="D187" s="60"/>
      <c r="E187" s="59"/>
      <c r="F187" s="59" t="str">
        <f t="shared" si="29"/>
        <v/>
      </c>
      <c r="G187" s="59"/>
      <c r="H187" s="61"/>
      <c r="I187" s="61"/>
      <c r="J187" s="61"/>
      <c r="K187" s="62"/>
      <c r="L187" s="10" t="str">
        <f t="shared" si="30"/>
        <v/>
      </c>
      <c r="M187" s="10" t="str">
        <f t="shared" si="31"/>
        <v/>
      </c>
      <c r="N187" s="11" t="str">
        <f t="shared" si="34"/>
        <v/>
      </c>
      <c r="O187" s="10" t="str">
        <f t="shared" si="35"/>
        <v/>
      </c>
      <c r="P187" s="39" t="str">
        <f t="shared" si="36"/>
        <v/>
      </c>
      <c r="Q187" s="13" t="str">
        <f t="shared" si="32"/>
        <v/>
      </c>
      <c r="R187" s="13" t="str">
        <f t="shared" si="37"/>
        <v/>
      </c>
      <c r="S187" s="13" t="str">
        <f t="shared" si="33"/>
        <v/>
      </c>
      <c r="T187" s="22" t="str">
        <f>IF(R187&lt;&gt;"",VLOOKUP(P187,Constants!$D$3:$E$10,2),"")</f>
        <v/>
      </c>
    </row>
    <row r="188" spans="2:20" x14ac:dyDescent="0.25">
      <c r="B188" s="59"/>
      <c r="C188" s="59"/>
      <c r="D188" s="60"/>
      <c r="E188" s="59"/>
      <c r="F188" s="59" t="str">
        <f t="shared" si="29"/>
        <v/>
      </c>
      <c r="G188" s="59"/>
      <c r="H188" s="61"/>
      <c r="I188" s="61"/>
      <c r="J188" s="61"/>
      <c r="K188" s="62"/>
      <c r="L188" s="10" t="str">
        <f t="shared" si="30"/>
        <v/>
      </c>
      <c r="M188" s="10" t="str">
        <f t="shared" si="31"/>
        <v/>
      </c>
      <c r="N188" s="11" t="str">
        <f t="shared" si="34"/>
        <v/>
      </c>
      <c r="O188" s="10" t="str">
        <f t="shared" si="35"/>
        <v/>
      </c>
      <c r="P188" s="39" t="str">
        <f t="shared" si="36"/>
        <v/>
      </c>
      <c r="Q188" s="13" t="str">
        <f t="shared" si="32"/>
        <v/>
      </c>
      <c r="R188" s="13" t="str">
        <f t="shared" si="37"/>
        <v/>
      </c>
      <c r="S188" s="13" t="str">
        <f t="shared" si="33"/>
        <v/>
      </c>
      <c r="T188" s="22" t="str">
        <f>IF(R188&lt;&gt;"",VLOOKUP(P188,Constants!$D$3:$E$10,2),"")</f>
        <v/>
      </c>
    </row>
    <row r="189" spans="2:20" x14ac:dyDescent="0.25">
      <c r="B189" s="59"/>
      <c r="C189" s="59"/>
      <c r="D189" s="60"/>
      <c r="E189" s="59"/>
      <c r="F189" s="59" t="str">
        <f t="shared" si="29"/>
        <v/>
      </c>
      <c r="G189" s="59"/>
      <c r="H189" s="61"/>
      <c r="I189" s="61"/>
      <c r="J189" s="61"/>
      <c r="K189" s="62"/>
      <c r="L189" s="10" t="str">
        <f t="shared" si="30"/>
        <v/>
      </c>
      <c r="M189" s="10" t="str">
        <f t="shared" si="31"/>
        <v/>
      </c>
      <c r="N189" s="11" t="str">
        <f t="shared" si="34"/>
        <v/>
      </c>
      <c r="O189" s="10" t="str">
        <f t="shared" si="35"/>
        <v/>
      </c>
      <c r="P189" s="39" t="str">
        <f t="shared" si="36"/>
        <v/>
      </c>
      <c r="Q189" s="13" t="str">
        <f t="shared" si="32"/>
        <v/>
      </c>
      <c r="R189" s="13" t="str">
        <f t="shared" si="37"/>
        <v/>
      </c>
      <c r="S189" s="13" t="str">
        <f t="shared" si="33"/>
        <v/>
      </c>
      <c r="T189" s="22" t="str">
        <f>IF(R189&lt;&gt;"",VLOOKUP(P189,Constants!$D$3:$E$10,2),"")</f>
        <v/>
      </c>
    </row>
    <row r="190" spans="2:20" x14ac:dyDescent="0.25">
      <c r="B190" s="59"/>
      <c r="C190" s="59"/>
      <c r="D190" s="60"/>
      <c r="E190" s="59"/>
      <c r="F190" s="59" t="str">
        <f t="shared" si="29"/>
        <v/>
      </c>
      <c r="G190" s="59"/>
      <c r="H190" s="61"/>
      <c r="I190" s="61"/>
      <c r="J190" s="61"/>
      <c r="K190" s="62"/>
      <c r="L190" s="10" t="str">
        <f t="shared" si="30"/>
        <v/>
      </c>
      <c r="M190" s="10" t="str">
        <f t="shared" si="31"/>
        <v/>
      </c>
      <c r="N190" s="11" t="str">
        <f t="shared" si="34"/>
        <v/>
      </c>
      <c r="O190" s="10" t="str">
        <f t="shared" si="35"/>
        <v/>
      </c>
      <c r="P190" s="39" t="str">
        <f t="shared" si="36"/>
        <v/>
      </c>
      <c r="Q190" s="13" t="str">
        <f t="shared" si="32"/>
        <v/>
      </c>
      <c r="R190" s="13" t="str">
        <f t="shared" si="37"/>
        <v/>
      </c>
      <c r="S190" s="13" t="str">
        <f t="shared" si="33"/>
        <v/>
      </c>
      <c r="T190" s="22" t="str">
        <f>IF(R190&lt;&gt;"",VLOOKUP(P190,Constants!$D$3:$E$10,2),"")</f>
        <v/>
      </c>
    </row>
    <row r="191" spans="2:20" x14ac:dyDescent="0.25">
      <c r="B191" s="59"/>
      <c r="C191" s="59"/>
      <c r="D191" s="60"/>
      <c r="E191" s="59"/>
      <c r="F191" s="59" t="str">
        <f t="shared" si="29"/>
        <v/>
      </c>
      <c r="G191" s="59"/>
      <c r="H191" s="61"/>
      <c r="I191" s="61"/>
      <c r="J191" s="61"/>
      <c r="K191" s="62"/>
      <c r="L191" s="10" t="str">
        <f t="shared" si="30"/>
        <v/>
      </c>
      <c r="M191" s="10" t="str">
        <f t="shared" si="31"/>
        <v/>
      </c>
      <c r="N191" s="11" t="str">
        <f t="shared" si="34"/>
        <v/>
      </c>
      <c r="O191" s="10" t="str">
        <f t="shared" si="35"/>
        <v/>
      </c>
      <c r="P191" s="39" t="str">
        <f t="shared" si="36"/>
        <v/>
      </c>
      <c r="Q191" s="13" t="str">
        <f t="shared" si="32"/>
        <v/>
      </c>
      <c r="R191" s="13" t="str">
        <f t="shared" si="37"/>
        <v/>
      </c>
      <c r="S191" s="13" t="str">
        <f t="shared" si="33"/>
        <v/>
      </c>
      <c r="T191" s="22" t="str">
        <f>IF(R191&lt;&gt;"",VLOOKUP(P191,Constants!$D$3:$E$10,2),"")</f>
        <v/>
      </c>
    </row>
    <row r="192" spans="2:20" x14ac:dyDescent="0.25">
      <c r="B192" s="59"/>
      <c r="C192" s="59"/>
      <c r="D192" s="60"/>
      <c r="E192" s="59"/>
      <c r="F192" s="59" t="str">
        <f t="shared" si="29"/>
        <v/>
      </c>
      <c r="G192" s="59"/>
      <c r="H192" s="61"/>
      <c r="I192" s="61"/>
      <c r="J192" s="61"/>
      <c r="K192" s="62"/>
      <c r="L192" s="10" t="str">
        <f t="shared" si="30"/>
        <v/>
      </c>
      <c r="M192" s="10" t="str">
        <f t="shared" si="31"/>
        <v/>
      </c>
      <c r="N192" s="11" t="str">
        <f t="shared" si="34"/>
        <v/>
      </c>
      <c r="O192" s="10" t="str">
        <f t="shared" si="35"/>
        <v/>
      </c>
      <c r="P192" s="39" t="str">
        <f t="shared" si="36"/>
        <v/>
      </c>
      <c r="Q192" s="13" t="str">
        <f t="shared" si="32"/>
        <v/>
      </c>
      <c r="R192" s="13" t="str">
        <f t="shared" si="37"/>
        <v/>
      </c>
      <c r="S192" s="13" t="str">
        <f t="shared" si="33"/>
        <v/>
      </c>
      <c r="T192" s="22" t="str">
        <f>IF(R192&lt;&gt;"",VLOOKUP(P192,Constants!$D$3:$E$10,2),"")</f>
        <v/>
      </c>
    </row>
    <row r="193" spans="2:20" x14ac:dyDescent="0.25">
      <c r="B193" s="59"/>
      <c r="C193" s="59"/>
      <c r="D193" s="60"/>
      <c r="E193" s="59"/>
      <c r="F193" s="59" t="str">
        <f t="shared" si="29"/>
        <v/>
      </c>
      <c r="G193" s="59"/>
      <c r="H193" s="61"/>
      <c r="I193" s="61"/>
      <c r="J193" s="61"/>
      <c r="K193" s="62"/>
      <c r="L193" s="10" t="str">
        <f t="shared" si="30"/>
        <v/>
      </c>
      <c r="M193" s="10" t="str">
        <f t="shared" si="31"/>
        <v/>
      </c>
      <c r="N193" s="11" t="str">
        <f t="shared" si="34"/>
        <v/>
      </c>
      <c r="O193" s="10" t="str">
        <f t="shared" si="35"/>
        <v/>
      </c>
      <c r="P193" s="39" t="str">
        <f t="shared" si="36"/>
        <v/>
      </c>
      <c r="Q193" s="13" t="str">
        <f t="shared" si="32"/>
        <v/>
      </c>
      <c r="R193" s="13" t="str">
        <f t="shared" si="37"/>
        <v/>
      </c>
      <c r="S193" s="13" t="str">
        <f t="shared" si="33"/>
        <v/>
      </c>
      <c r="T193" s="22" t="str">
        <f>IF(R193&lt;&gt;"",VLOOKUP(P193,Constants!$D$3:$E$10,2),"")</f>
        <v/>
      </c>
    </row>
    <row r="194" spans="2:20" x14ac:dyDescent="0.25">
      <c r="B194" s="59"/>
      <c r="C194" s="59"/>
      <c r="D194" s="60"/>
      <c r="E194" s="59"/>
      <c r="F194" s="59" t="str">
        <f t="shared" si="29"/>
        <v/>
      </c>
      <c r="G194" s="59"/>
      <c r="H194" s="61"/>
      <c r="I194" s="61"/>
      <c r="J194" s="61"/>
      <c r="K194" s="62"/>
      <c r="L194" s="10" t="str">
        <f t="shared" si="30"/>
        <v/>
      </c>
      <c r="M194" s="10" t="str">
        <f t="shared" si="31"/>
        <v/>
      </c>
      <c r="N194" s="11" t="str">
        <f t="shared" si="34"/>
        <v/>
      </c>
      <c r="O194" s="10" t="str">
        <f t="shared" si="35"/>
        <v/>
      </c>
      <c r="P194" s="39" t="str">
        <f t="shared" si="36"/>
        <v/>
      </c>
      <c r="Q194" s="13" t="str">
        <f t="shared" si="32"/>
        <v/>
      </c>
      <c r="R194" s="13" t="str">
        <f t="shared" si="37"/>
        <v/>
      </c>
      <c r="S194" s="13" t="str">
        <f t="shared" si="33"/>
        <v/>
      </c>
      <c r="T194" s="22" t="str">
        <f>IF(R194&lt;&gt;"",VLOOKUP(P194,Constants!$D$3:$E$10,2),"")</f>
        <v/>
      </c>
    </row>
    <row r="195" spans="2:20" x14ac:dyDescent="0.25">
      <c r="B195" s="59"/>
      <c r="C195" s="59"/>
      <c r="D195" s="60"/>
      <c r="E195" s="59"/>
      <c r="F195" s="59" t="str">
        <f t="shared" si="29"/>
        <v/>
      </c>
      <c r="G195" s="59"/>
      <c r="H195" s="61"/>
      <c r="I195" s="61"/>
      <c r="J195" s="61"/>
      <c r="K195" s="62"/>
      <c r="L195" s="10" t="str">
        <f t="shared" si="30"/>
        <v/>
      </c>
      <c r="M195" s="10" t="str">
        <f t="shared" si="31"/>
        <v/>
      </c>
      <c r="N195" s="11" t="str">
        <f t="shared" si="34"/>
        <v/>
      </c>
      <c r="O195" s="10" t="str">
        <f t="shared" si="35"/>
        <v/>
      </c>
      <c r="P195" s="39" t="str">
        <f t="shared" si="36"/>
        <v/>
      </c>
      <c r="Q195" s="13" t="str">
        <f t="shared" si="32"/>
        <v/>
      </c>
      <c r="R195" s="13" t="str">
        <f t="shared" si="37"/>
        <v/>
      </c>
      <c r="S195" s="13" t="str">
        <f t="shared" si="33"/>
        <v/>
      </c>
      <c r="T195" s="22" t="str">
        <f>IF(R195&lt;&gt;"",VLOOKUP(P195,Constants!$D$3:$E$10,2),"")</f>
        <v/>
      </c>
    </row>
    <row r="196" spans="2:20" x14ac:dyDescent="0.25">
      <c r="B196" s="59"/>
      <c r="C196" s="59"/>
      <c r="D196" s="60"/>
      <c r="E196" s="59"/>
      <c r="F196" s="59" t="str">
        <f t="shared" si="29"/>
        <v/>
      </c>
      <c r="G196" s="59"/>
      <c r="H196" s="61"/>
      <c r="I196" s="61"/>
      <c r="J196" s="61"/>
      <c r="K196" s="62"/>
      <c r="L196" s="10" t="str">
        <f t="shared" si="30"/>
        <v/>
      </c>
      <c r="M196" s="10" t="str">
        <f t="shared" si="31"/>
        <v/>
      </c>
      <c r="N196" s="11" t="str">
        <f t="shared" si="34"/>
        <v/>
      </c>
      <c r="O196" s="10" t="str">
        <f t="shared" si="35"/>
        <v/>
      </c>
      <c r="P196" s="39" t="str">
        <f t="shared" si="36"/>
        <v/>
      </c>
      <c r="Q196" s="13" t="str">
        <f t="shared" si="32"/>
        <v/>
      </c>
      <c r="R196" s="13" t="str">
        <f t="shared" si="37"/>
        <v/>
      </c>
      <c r="S196" s="13" t="str">
        <f t="shared" si="33"/>
        <v/>
      </c>
      <c r="T196" s="22" t="str">
        <f>IF(R196&lt;&gt;"",VLOOKUP(P196,Constants!$D$3:$E$10,2),"")</f>
        <v/>
      </c>
    </row>
    <row r="197" spans="2:20" x14ac:dyDescent="0.25">
      <c r="B197" s="59"/>
      <c r="C197" s="59"/>
      <c r="D197" s="60"/>
      <c r="E197" s="59"/>
      <c r="F197" s="59" t="str">
        <f t="shared" si="29"/>
        <v/>
      </c>
      <c r="G197" s="59"/>
      <c r="H197" s="61"/>
      <c r="I197" s="61"/>
      <c r="J197" s="61"/>
      <c r="K197" s="62"/>
      <c r="L197" s="10" t="str">
        <f t="shared" si="30"/>
        <v/>
      </c>
      <c r="M197" s="10" t="str">
        <f t="shared" si="31"/>
        <v/>
      </c>
      <c r="N197" s="11" t="str">
        <f t="shared" si="34"/>
        <v/>
      </c>
      <c r="O197" s="10" t="str">
        <f t="shared" si="35"/>
        <v/>
      </c>
      <c r="P197" s="39" t="str">
        <f t="shared" si="36"/>
        <v/>
      </c>
      <c r="Q197" s="13" t="str">
        <f t="shared" si="32"/>
        <v/>
      </c>
      <c r="R197" s="13" t="str">
        <f t="shared" si="37"/>
        <v/>
      </c>
      <c r="S197" s="13" t="str">
        <f t="shared" si="33"/>
        <v/>
      </c>
      <c r="T197" s="22" t="str">
        <f>IF(R197&lt;&gt;"",VLOOKUP(P197,Constants!$D$3:$E$10,2),"")</f>
        <v/>
      </c>
    </row>
    <row r="198" spans="2:20" x14ac:dyDescent="0.25">
      <c r="B198" s="59"/>
      <c r="C198" s="59"/>
      <c r="D198" s="60"/>
      <c r="E198" s="59"/>
      <c r="F198" s="59" t="str">
        <f t="shared" si="29"/>
        <v/>
      </c>
      <c r="G198" s="59"/>
      <c r="H198" s="61"/>
      <c r="I198" s="61"/>
      <c r="J198" s="61"/>
      <c r="K198" s="62"/>
      <c r="L198" s="10" t="str">
        <f t="shared" si="30"/>
        <v/>
      </c>
      <c r="M198" s="10" t="str">
        <f t="shared" si="31"/>
        <v/>
      </c>
      <c r="N198" s="11" t="str">
        <f t="shared" si="34"/>
        <v/>
      </c>
      <c r="O198" s="10" t="str">
        <f t="shared" si="35"/>
        <v/>
      </c>
      <c r="P198" s="39" t="str">
        <f t="shared" si="36"/>
        <v/>
      </c>
      <c r="Q198" s="13" t="str">
        <f t="shared" si="32"/>
        <v/>
      </c>
      <c r="R198" s="13" t="str">
        <f t="shared" si="37"/>
        <v/>
      </c>
      <c r="S198" s="13" t="str">
        <f t="shared" si="33"/>
        <v/>
      </c>
      <c r="T198" s="22" t="str">
        <f>IF(R198&lt;&gt;"",VLOOKUP(P198,Constants!$D$3:$E$10,2),"")</f>
        <v/>
      </c>
    </row>
    <row r="199" spans="2:20" x14ac:dyDescent="0.25">
      <c r="B199" s="59"/>
      <c r="C199" s="59"/>
      <c r="D199" s="60"/>
      <c r="E199" s="59"/>
      <c r="F199" s="59" t="str">
        <f t="shared" si="29"/>
        <v/>
      </c>
      <c r="G199" s="59"/>
      <c r="H199" s="61"/>
      <c r="I199" s="61"/>
      <c r="J199" s="61"/>
      <c r="K199" s="62"/>
      <c r="L199" s="10" t="str">
        <f t="shared" si="30"/>
        <v/>
      </c>
      <c r="M199" s="10" t="str">
        <f t="shared" si="31"/>
        <v/>
      </c>
      <c r="N199" s="11" t="str">
        <f t="shared" si="34"/>
        <v/>
      </c>
      <c r="O199" s="10" t="str">
        <f t="shared" si="35"/>
        <v/>
      </c>
      <c r="P199" s="39" t="str">
        <f t="shared" si="36"/>
        <v/>
      </c>
      <c r="Q199" s="13" t="str">
        <f t="shared" si="32"/>
        <v/>
      </c>
      <c r="R199" s="13" t="str">
        <f t="shared" si="37"/>
        <v/>
      </c>
      <c r="S199" s="13" t="str">
        <f t="shared" si="33"/>
        <v/>
      </c>
      <c r="T199" s="22" t="str">
        <f>IF(R199&lt;&gt;"",VLOOKUP(P199,Constants!$D$3:$E$10,2),"")</f>
        <v/>
      </c>
    </row>
    <row r="200" spans="2:20" x14ac:dyDescent="0.25">
      <c r="B200" s="59"/>
      <c r="C200" s="59"/>
      <c r="D200" s="60"/>
      <c r="E200" s="59"/>
      <c r="F200" s="59" t="str">
        <f t="shared" ref="F200:F263" si="38">IF($D200&lt;&gt;"",1,"")</f>
        <v/>
      </c>
      <c r="G200" s="59"/>
      <c r="H200" s="61"/>
      <c r="I200" s="61"/>
      <c r="J200" s="61"/>
      <c r="K200" s="62"/>
      <c r="L200" s="10" t="str">
        <f t="shared" ref="L200:L263" si="39">IF($D200&lt;&gt;"",$D200*$E200/1000,"")</f>
        <v/>
      </c>
      <c r="M200" s="10" t="str">
        <f t="shared" ref="M200:M263" si="40">IF($D200&lt;&gt;"",$D200*$F200/1000,"")</f>
        <v/>
      </c>
      <c r="N200" s="11" t="str">
        <f t="shared" si="34"/>
        <v/>
      </c>
      <c r="O200" s="10" t="str">
        <f t="shared" si="35"/>
        <v/>
      </c>
      <c r="P200" s="39" t="str">
        <f t="shared" si="36"/>
        <v/>
      </c>
      <c r="Q200" s="13" t="str">
        <f t="shared" ref="Q200:Q263" si="41">IF(F200&lt;&gt;"",F200*E200/1000,"")</f>
        <v/>
      </c>
      <c r="R200" s="13" t="str">
        <f t="shared" si="37"/>
        <v/>
      </c>
      <c r="S200" s="13" t="str">
        <f t="shared" ref="S200:S263" si="42">IF(R200&lt;&gt;"",Q200/R200*1000,"")</f>
        <v/>
      </c>
      <c r="T200" s="22" t="str">
        <f>IF(R200&lt;&gt;"",VLOOKUP(P200,Constants!$D$3:$E$10,2),"")</f>
        <v/>
      </c>
    </row>
    <row r="201" spans="2:20" x14ac:dyDescent="0.25">
      <c r="B201" s="59"/>
      <c r="C201" s="59"/>
      <c r="D201" s="60"/>
      <c r="E201" s="59"/>
      <c r="F201" s="59" t="str">
        <f t="shared" si="38"/>
        <v/>
      </c>
      <c r="G201" s="59"/>
      <c r="H201" s="61"/>
      <c r="I201" s="61"/>
      <c r="J201" s="61"/>
      <c r="K201" s="62"/>
      <c r="L201" s="10" t="str">
        <f t="shared" si="39"/>
        <v/>
      </c>
      <c r="M201" s="10" t="str">
        <f t="shared" si="40"/>
        <v/>
      </c>
      <c r="N201" s="11" t="str">
        <f t="shared" si="34"/>
        <v/>
      </c>
      <c r="O201" s="10" t="str">
        <f t="shared" si="35"/>
        <v/>
      </c>
      <c r="P201" s="39" t="str">
        <f t="shared" si="36"/>
        <v/>
      </c>
      <c r="Q201" s="13" t="str">
        <f t="shared" si="41"/>
        <v/>
      </c>
      <c r="R201" s="13" t="str">
        <f t="shared" si="37"/>
        <v/>
      </c>
      <c r="S201" s="13" t="str">
        <f t="shared" si="42"/>
        <v/>
      </c>
      <c r="T201" s="22" t="str">
        <f>IF(R201&lt;&gt;"",VLOOKUP(P201,Constants!$D$3:$E$10,2),"")</f>
        <v/>
      </c>
    </row>
    <row r="202" spans="2:20" x14ac:dyDescent="0.25">
      <c r="B202" s="59"/>
      <c r="C202" s="59"/>
      <c r="D202" s="60"/>
      <c r="E202" s="59"/>
      <c r="F202" s="59" t="str">
        <f t="shared" si="38"/>
        <v/>
      </c>
      <c r="G202" s="59"/>
      <c r="H202" s="61"/>
      <c r="I202" s="61"/>
      <c r="J202" s="61"/>
      <c r="K202" s="62"/>
      <c r="L202" s="10" t="str">
        <f t="shared" si="39"/>
        <v/>
      </c>
      <c r="M202" s="10" t="str">
        <f t="shared" si="40"/>
        <v/>
      </c>
      <c r="N202" s="11" t="str">
        <f t="shared" si="34"/>
        <v/>
      </c>
      <c r="O202" s="10" t="str">
        <f t="shared" si="35"/>
        <v/>
      </c>
      <c r="P202" s="39" t="str">
        <f t="shared" si="36"/>
        <v/>
      </c>
      <c r="Q202" s="13" t="str">
        <f t="shared" si="41"/>
        <v/>
      </c>
      <c r="R202" s="13" t="str">
        <f t="shared" si="37"/>
        <v/>
      </c>
      <c r="S202" s="13" t="str">
        <f t="shared" si="42"/>
        <v/>
      </c>
      <c r="T202" s="22" t="str">
        <f>IF(R202&lt;&gt;"",VLOOKUP(P202,Constants!$D$3:$E$10,2),"")</f>
        <v/>
      </c>
    </row>
    <row r="203" spans="2:20" x14ac:dyDescent="0.25">
      <c r="B203" s="59"/>
      <c r="C203" s="59"/>
      <c r="D203" s="60"/>
      <c r="E203" s="59"/>
      <c r="F203" s="59" t="str">
        <f t="shared" si="38"/>
        <v/>
      </c>
      <c r="G203" s="59"/>
      <c r="H203" s="61"/>
      <c r="I203" s="61"/>
      <c r="J203" s="61"/>
      <c r="K203" s="62"/>
      <c r="L203" s="10" t="str">
        <f t="shared" si="39"/>
        <v/>
      </c>
      <c r="M203" s="10" t="str">
        <f t="shared" si="40"/>
        <v/>
      </c>
      <c r="N203" s="11" t="str">
        <f t="shared" si="34"/>
        <v/>
      </c>
      <c r="O203" s="10" t="str">
        <f t="shared" si="35"/>
        <v/>
      </c>
      <c r="P203" s="39" t="str">
        <f t="shared" si="36"/>
        <v/>
      </c>
      <c r="Q203" s="13" t="str">
        <f t="shared" si="41"/>
        <v/>
      </c>
      <c r="R203" s="13" t="str">
        <f t="shared" si="37"/>
        <v/>
      </c>
      <c r="S203" s="13" t="str">
        <f t="shared" si="42"/>
        <v/>
      </c>
      <c r="T203" s="22" t="str">
        <f>IF(R203&lt;&gt;"",VLOOKUP(P203,Constants!$D$3:$E$10,2),"")</f>
        <v/>
      </c>
    </row>
    <row r="204" spans="2:20" x14ac:dyDescent="0.25">
      <c r="B204" s="59"/>
      <c r="C204" s="59"/>
      <c r="D204" s="60"/>
      <c r="E204" s="59"/>
      <c r="F204" s="59" t="str">
        <f t="shared" si="38"/>
        <v/>
      </c>
      <c r="G204" s="59"/>
      <c r="H204" s="61"/>
      <c r="I204" s="61"/>
      <c r="J204" s="61"/>
      <c r="K204" s="62"/>
      <c r="L204" s="10" t="str">
        <f t="shared" si="39"/>
        <v/>
      </c>
      <c r="M204" s="10" t="str">
        <f t="shared" si="40"/>
        <v/>
      </c>
      <c r="N204" s="11" t="str">
        <f t="shared" si="34"/>
        <v/>
      </c>
      <c r="O204" s="10" t="str">
        <f t="shared" si="35"/>
        <v/>
      </c>
      <c r="P204" s="39" t="str">
        <f t="shared" si="36"/>
        <v/>
      </c>
      <c r="Q204" s="13" t="str">
        <f t="shared" si="41"/>
        <v/>
      </c>
      <c r="R204" s="13" t="str">
        <f t="shared" si="37"/>
        <v/>
      </c>
      <c r="S204" s="13" t="str">
        <f t="shared" si="42"/>
        <v/>
      </c>
      <c r="T204" s="22" t="str">
        <f>IF(R204&lt;&gt;"",VLOOKUP(P204,Constants!$D$3:$E$10,2),"")</f>
        <v/>
      </c>
    </row>
    <row r="205" spans="2:20" x14ac:dyDescent="0.25">
      <c r="B205" s="59"/>
      <c r="C205" s="59"/>
      <c r="D205" s="60"/>
      <c r="E205" s="59"/>
      <c r="F205" s="59" t="str">
        <f t="shared" si="38"/>
        <v/>
      </c>
      <c r="G205" s="59"/>
      <c r="H205" s="61"/>
      <c r="I205" s="61"/>
      <c r="J205" s="61"/>
      <c r="K205" s="62"/>
      <c r="L205" s="10" t="str">
        <f t="shared" si="39"/>
        <v/>
      </c>
      <c r="M205" s="10" t="str">
        <f t="shared" si="40"/>
        <v/>
      </c>
      <c r="N205" s="11" t="str">
        <f t="shared" si="34"/>
        <v/>
      </c>
      <c r="O205" s="10" t="str">
        <f t="shared" si="35"/>
        <v/>
      </c>
      <c r="P205" s="39" t="str">
        <f t="shared" si="36"/>
        <v/>
      </c>
      <c r="Q205" s="13" t="str">
        <f t="shared" si="41"/>
        <v/>
      </c>
      <c r="R205" s="13" t="str">
        <f t="shared" si="37"/>
        <v/>
      </c>
      <c r="S205" s="13" t="str">
        <f t="shared" si="42"/>
        <v/>
      </c>
      <c r="T205" s="22" t="str">
        <f>IF(R205&lt;&gt;"",VLOOKUP(P205,Constants!$D$3:$E$10,2),"")</f>
        <v/>
      </c>
    </row>
    <row r="206" spans="2:20" x14ac:dyDescent="0.25">
      <c r="B206" s="59"/>
      <c r="C206" s="59"/>
      <c r="D206" s="60"/>
      <c r="E206" s="59"/>
      <c r="F206" s="59" t="str">
        <f t="shared" si="38"/>
        <v/>
      </c>
      <c r="G206" s="59"/>
      <c r="H206" s="61"/>
      <c r="I206" s="61"/>
      <c r="J206" s="61"/>
      <c r="K206" s="62"/>
      <c r="L206" s="10" t="str">
        <f t="shared" si="39"/>
        <v/>
      </c>
      <c r="M206" s="10" t="str">
        <f t="shared" si="40"/>
        <v/>
      </c>
      <c r="N206" s="11" t="str">
        <f t="shared" si="34"/>
        <v/>
      </c>
      <c r="O206" s="10" t="str">
        <f t="shared" si="35"/>
        <v/>
      </c>
      <c r="P206" s="39" t="str">
        <f t="shared" si="36"/>
        <v/>
      </c>
      <c r="Q206" s="13" t="str">
        <f t="shared" si="41"/>
        <v/>
      </c>
      <c r="R206" s="13" t="str">
        <f t="shared" si="37"/>
        <v/>
      </c>
      <c r="S206" s="13" t="str">
        <f t="shared" si="42"/>
        <v/>
      </c>
      <c r="T206" s="22" t="str">
        <f>IF(R206&lt;&gt;"",VLOOKUP(P206,Constants!$D$3:$E$10,2),"")</f>
        <v/>
      </c>
    </row>
    <row r="207" spans="2:20" x14ac:dyDescent="0.25">
      <c r="B207" s="59"/>
      <c r="C207" s="59"/>
      <c r="D207" s="60"/>
      <c r="E207" s="59"/>
      <c r="F207" s="59" t="str">
        <f t="shared" si="38"/>
        <v/>
      </c>
      <c r="G207" s="59"/>
      <c r="H207" s="61"/>
      <c r="I207" s="61"/>
      <c r="J207" s="61"/>
      <c r="K207" s="62"/>
      <c r="L207" s="10" t="str">
        <f t="shared" si="39"/>
        <v/>
      </c>
      <c r="M207" s="10" t="str">
        <f t="shared" si="40"/>
        <v/>
      </c>
      <c r="N207" s="11" t="str">
        <f t="shared" si="34"/>
        <v/>
      </c>
      <c r="O207" s="10" t="str">
        <f t="shared" si="35"/>
        <v/>
      </c>
      <c r="P207" s="39" t="str">
        <f t="shared" si="36"/>
        <v/>
      </c>
      <c r="Q207" s="13" t="str">
        <f t="shared" si="41"/>
        <v/>
      </c>
      <c r="R207" s="13" t="str">
        <f t="shared" si="37"/>
        <v/>
      </c>
      <c r="S207" s="13" t="str">
        <f t="shared" si="42"/>
        <v/>
      </c>
      <c r="T207" s="22" t="str">
        <f>IF(R207&lt;&gt;"",VLOOKUP(P207,Constants!$D$3:$E$10,2),"")</f>
        <v/>
      </c>
    </row>
    <row r="208" spans="2:20" x14ac:dyDescent="0.25">
      <c r="B208" s="59"/>
      <c r="C208" s="59"/>
      <c r="D208" s="60"/>
      <c r="E208" s="59"/>
      <c r="F208" s="59" t="str">
        <f t="shared" si="38"/>
        <v/>
      </c>
      <c r="G208" s="59"/>
      <c r="H208" s="61"/>
      <c r="I208" s="61"/>
      <c r="J208" s="61"/>
      <c r="K208" s="62"/>
      <c r="L208" s="10" t="str">
        <f t="shared" si="39"/>
        <v/>
      </c>
      <c r="M208" s="10" t="str">
        <f t="shared" si="40"/>
        <v/>
      </c>
      <c r="N208" s="11" t="str">
        <f t="shared" ref="N208:N271" si="43">IF($L208&lt;&gt;"",SQRT($L208*$L208+$M208*$M208),"")</f>
        <v/>
      </c>
      <c r="O208" s="10" t="str">
        <f t="shared" si="35"/>
        <v/>
      </c>
      <c r="P208" s="39" t="str">
        <f t="shared" si="36"/>
        <v/>
      </c>
      <c r="Q208" s="13" t="str">
        <f t="shared" si="41"/>
        <v/>
      </c>
      <c r="R208" s="13" t="str">
        <f t="shared" si="37"/>
        <v/>
      </c>
      <c r="S208" s="13" t="str">
        <f t="shared" si="42"/>
        <v/>
      </c>
      <c r="T208" s="22" t="str">
        <f>IF(R208&lt;&gt;"",VLOOKUP(P208,Constants!$D$3:$E$10,2),"")</f>
        <v/>
      </c>
    </row>
    <row r="209" spans="2:20" x14ac:dyDescent="0.25">
      <c r="B209" s="59"/>
      <c r="C209" s="59"/>
      <c r="D209" s="60"/>
      <c r="E209" s="59"/>
      <c r="F209" s="59" t="str">
        <f t="shared" si="38"/>
        <v/>
      </c>
      <c r="G209" s="59"/>
      <c r="H209" s="61"/>
      <c r="I209" s="61"/>
      <c r="J209" s="61"/>
      <c r="K209" s="62"/>
      <c r="L209" s="10" t="str">
        <f t="shared" si="39"/>
        <v/>
      </c>
      <c r="M209" s="10" t="str">
        <f t="shared" si="40"/>
        <v/>
      </c>
      <c r="N209" s="11" t="str">
        <f t="shared" si="43"/>
        <v/>
      </c>
      <c r="O209" s="10" t="str">
        <f t="shared" si="35"/>
        <v/>
      </c>
      <c r="P209" s="39" t="str">
        <f t="shared" si="36"/>
        <v/>
      </c>
      <c r="Q209" s="13" t="str">
        <f t="shared" si="41"/>
        <v/>
      </c>
      <c r="R209" s="13" t="str">
        <f t="shared" si="37"/>
        <v/>
      </c>
      <c r="S209" s="13" t="str">
        <f t="shared" si="42"/>
        <v/>
      </c>
      <c r="T209" s="22" t="str">
        <f>IF(R209&lt;&gt;"",VLOOKUP(P209,Constants!$D$3:$E$10,2),"")</f>
        <v/>
      </c>
    </row>
    <row r="210" spans="2:20" x14ac:dyDescent="0.25">
      <c r="B210" s="59"/>
      <c r="C210" s="59"/>
      <c r="D210" s="60"/>
      <c r="E210" s="59"/>
      <c r="F210" s="59" t="str">
        <f t="shared" si="38"/>
        <v/>
      </c>
      <c r="G210" s="59"/>
      <c r="H210" s="61"/>
      <c r="I210" s="61"/>
      <c r="J210" s="61"/>
      <c r="K210" s="62"/>
      <c r="L210" s="10" t="str">
        <f t="shared" si="39"/>
        <v/>
      </c>
      <c r="M210" s="10" t="str">
        <f t="shared" si="40"/>
        <v/>
      </c>
      <c r="N210" s="11" t="str">
        <f t="shared" si="43"/>
        <v/>
      </c>
      <c r="O210" s="10" t="str">
        <f t="shared" si="35"/>
        <v/>
      </c>
      <c r="P210" s="39" t="str">
        <f t="shared" si="36"/>
        <v/>
      </c>
      <c r="Q210" s="13" t="str">
        <f t="shared" si="41"/>
        <v/>
      </c>
      <c r="R210" s="13" t="str">
        <f t="shared" si="37"/>
        <v/>
      </c>
      <c r="S210" s="13" t="str">
        <f t="shared" si="42"/>
        <v/>
      </c>
      <c r="T210" s="22" t="str">
        <f>IF(R210&lt;&gt;"",VLOOKUP(P210,Constants!$D$3:$E$10,2),"")</f>
        <v/>
      </c>
    </row>
    <row r="211" spans="2:20" x14ac:dyDescent="0.25">
      <c r="B211" s="59"/>
      <c r="C211" s="59"/>
      <c r="D211" s="60"/>
      <c r="E211" s="59"/>
      <c r="F211" s="59" t="str">
        <f t="shared" si="38"/>
        <v/>
      </c>
      <c r="G211" s="59"/>
      <c r="H211" s="61"/>
      <c r="I211" s="61"/>
      <c r="J211" s="61"/>
      <c r="K211" s="62"/>
      <c r="L211" s="10" t="str">
        <f t="shared" si="39"/>
        <v/>
      </c>
      <c r="M211" s="10" t="str">
        <f t="shared" si="40"/>
        <v/>
      </c>
      <c r="N211" s="11" t="str">
        <f t="shared" si="43"/>
        <v/>
      </c>
      <c r="O211" s="10" t="str">
        <f t="shared" si="35"/>
        <v/>
      </c>
      <c r="P211" s="39" t="str">
        <f t="shared" si="36"/>
        <v/>
      </c>
      <c r="Q211" s="13" t="str">
        <f t="shared" si="41"/>
        <v/>
      </c>
      <c r="R211" s="13" t="str">
        <f t="shared" si="37"/>
        <v/>
      </c>
      <c r="S211" s="13" t="str">
        <f t="shared" si="42"/>
        <v/>
      </c>
      <c r="T211" s="22" t="str">
        <f>IF(R211&lt;&gt;"",VLOOKUP(P211,Constants!$D$3:$E$10,2),"")</f>
        <v/>
      </c>
    </row>
    <row r="212" spans="2:20" x14ac:dyDescent="0.25">
      <c r="B212" s="59"/>
      <c r="C212" s="59"/>
      <c r="D212" s="60"/>
      <c r="E212" s="59"/>
      <c r="F212" s="59" t="str">
        <f t="shared" si="38"/>
        <v/>
      </c>
      <c r="G212" s="59"/>
      <c r="H212" s="61"/>
      <c r="I212" s="61"/>
      <c r="J212" s="61"/>
      <c r="K212" s="62"/>
      <c r="L212" s="10" t="str">
        <f t="shared" si="39"/>
        <v/>
      </c>
      <c r="M212" s="10" t="str">
        <f t="shared" si="40"/>
        <v/>
      </c>
      <c r="N212" s="11" t="str">
        <f t="shared" si="43"/>
        <v/>
      </c>
      <c r="O212" s="10" t="str">
        <f t="shared" si="35"/>
        <v/>
      </c>
      <c r="P212" s="39" t="str">
        <f t="shared" si="36"/>
        <v/>
      </c>
      <c r="Q212" s="13" t="str">
        <f t="shared" si="41"/>
        <v/>
      </c>
      <c r="R212" s="13" t="str">
        <f t="shared" si="37"/>
        <v/>
      </c>
      <c r="S212" s="13" t="str">
        <f t="shared" si="42"/>
        <v/>
      </c>
      <c r="T212" s="22" t="str">
        <f>IF(R212&lt;&gt;"",VLOOKUP(P212,Constants!$D$3:$E$10,2),"")</f>
        <v/>
      </c>
    </row>
    <row r="213" spans="2:20" x14ac:dyDescent="0.25">
      <c r="B213" s="59"/>
      <c r="C213" s="59"/>
      <c r="D213" s="60"/>
      <c r="E213" s="59"/>
      <c r="F213" s="59" t="str">
        <f t="shared" si="38"/>
        <v/>
      </c>
      <c r="G213" s="59"/>
      <c r="H213" s="61"/>
      <c r="I213" s="61"/>
      <c r="J213" s="61"/>
      <c r="K213" s="62"/>
      <c r="L213" s="10" t="str">
        <f t="shared" si="39"/>
        <v/>
      </c>
      <c r="M213" s="10" t="str">
        <f t="shared" si="40"/>
        <v/>
      </c>
      <c r="N213" s="11" t="str">
        <f t="shared" si="43"/>
        <v/>
      </c>
      <c r="O213" s="10" t="str">
        <f t="shared" si="35"/>
        <v/>
      </c>
      <c r="P213" s="39" t="str">
        <f t="shared" si="36"/>
        <v/>
      </c>
      <c r="Q213" s="13" t="str">
        <f t="shared" si="41"/>
        <v/>
      </c>
      <c r="R213" s="13" t="str">
        <f t="shared" si="37"/>
        <v/>
      </c>
      <c r="S213" s="13" t="str">
        <f t="shared" si="42"/>
        <v/>
      </c>
      <c r="T213" s="22" t="str">
        <f>IF(R213&lt;&gt;"",VLOOKUP(P213,Constants!$D$3:$E$10,2),"")</f>
        <v/>
      </c>
    </row>
    <row r="214" spans="2:20" x14ac:dyDescent="0.25">
      <c r="B214" s="59"/>
      <c r="C214" s="59"/>
      <c r="D214" s="60"/>
      <c r="E214" s="59"/>
      <c r="F214" s="59" t="str">
        <f t="shared" si="38"/>
        <v/>
      </c>
      <c r="G214" s="59"/>
      <c r="H214" s="61"/>
      <c r="I214" s="61"/>
      <c r="J214" s="61"/>
      <c r="K214" s="62"/>
      <c r="L214" s="10" t="str">
        <f t="shared" si="39"/>
        <v/>
      </c>
      <c r="M214" s="10" t="str">
        <f t="shared" si="40"/>
        <v/>
      </c>
      <c r="N214" s="11" t="str">
        <f t="shared" si="43"/>
        <v/>
      </c>
      <c r="O214" s="10" t="str">
        <f t="shared" si="35"/>
        <v/>
      </c>
      <c r="P214" s="39" t="str">
        <f t="shared" si="36"/>
        <v/>
      </c>
      <c r="Q214" s="13" t="str">
        <f t="shared" si="41"/>
        <v/>
      </c>
      <c r="R214" s="13" t="str">
        <f t="shared" si="37"/>
        <v/>
      </c>
      <c r="S214" s="13" t="str">
        <f t="shared" si="42"/>
        <v/>
      </c>
      <c r="T214" s="22" t="str">
        <f>IF(R214&lt;&gt;"",VLOOKUP(P214,Constants!$D$3:$E$10,2),"")</f>
        <v/>
      </c>
    </row>
    <row r="215" spans="2:20" x14ac:dyDescent="0.25">
      <c r="B215" s="59"/>
      <c r="C215" s="59"/>
      <c r="D215" s="60"/>
      <c r="E215" s="59"/>
      <c r="F215" s="59" t="str">
        <f t="shared" si="38"/>
        <v/>
      </c>
      <c r="G215" s="59"/>
      <c r="H215" s="61"/>
      <c r="I215" s="61"/>
      <c r="J215" s="61"/>
      <c r="K215" s="62"/>
      <c r="L215" s="10" t="str">
        <f t="shared" si="39"/>
        <v/>
      </c>
      <c r="M215" s="10" t="str">
        <f t="shared" si="40"/>
        <v/>
      </c>
      <c r="N215" s="11" t="str">
        <f t="shared" si="43"/>
        <v/>
      </c>
      <c r="O215" s="10" t="str">
        <f t="shared" ref="O215:O278" si="44">IF(D215&lt;&gt;"",1000/(2*D215),"")</f>
        <v/>
      </c>
      <c r="P215" s="39" t="str">
        <f t="shared" ref="P215:P278" si="45">IF($N215&lt;&gt;"",D215*SQRT(E215*E215+F215*F215)/16000,"")</f>
        <v/>
      </c>
      <c r="Q215" s="13" t="str">
        <f t="shared" si="41"/>
        <v/>
      </c>
      <c r="R215" s="13" t="str">
        <f t="shared" ref="R215:R278" si="46">IF(G215&lt;&gt;"",1000/G215,"")</f>
        <v/>
      </c>
      <c r="S215" s="13" t="str">
        <f t="shared" si="42"/>
        <v/>
      </c>
      <c r="T215" s="22" t="str">
        <f>IF(R215&lt;&gt;"",VLOOKUP(P215,Constants!$D$3:$E$10,2),"")</f>
        <v/>
      </c>
    </row>
    <row r="216" spans="2:20" x14ac:dyDescent="0.25">
      <c r="B216" s="59"/>
      <c r="C216" s="59"/>
      <c r="D216" s="60"/>
      <c r="E216" s="59"/>
      <c r="F216" s="59" t="str">
        <f t="shared" si="38"/>
        <v/>
      </c>
      <c r="G216" s="59"/>
      <c r="H216" s="61"/>
      <c r="I216" s="61"/>
      <c r="J216" s="61"/>
      <c r="K216" s="62"/>
      <c r="L216" s="10" t="str">
        <f t="shared" si="39"/>
        <v/>
      </c>
      <c r="M216" s="10" t="str">
        <f t="shared" si="40"/>
        <v/>
      </c>
      <c r="N216" s="11" t="str">
        <f t="shared" si="43"/>
        <v/>
      </c>
      <c r="O216" s="10" t="str">
        <f t="shared" si="44"/>
        <v/>
      </c>
      <c r="P216" s="39" t="str">
        <f t="shared" si="45"/>
        <v/>
      </c>
      <c r="Q216" s="13" t="str">
        <f t="shared" si="41"/>
        <v/>
      </c>
      <c r="R216" s="13" t="str">
        <f t="shared" si="46"/>
        <v/>
      </c>
      <c r="S216" s="13" t="str">
        <f t="shared" si="42"/>
        <v/>
      </c>
      <c r="T216" s="22" t="str">
        <f>IF(R216&lt;&gt;"",VLOOKUP(P216,Constants!$D$3:$E$10,2),"")</f>
        <v/>
      </c>
    </row>
    <row r="217" spans="2:20" x14ac:dyDescent="0.25">
      <c r="B217" s="59"/>
      <c r="C217" s="59"/>
      <c r="D217" s="60"/>
      <c r="E217" s="59"/>
      <c r="F217" s="59" t="str">
        <f t="shared" si="38"/>
        <v/>
      </c>
      <c r="G217" s="59"/>
      <c r="H217" s="61"/>
      <c r="I217" s="61"/>
      <c r="J217" s="61"/>
      <c r="K217" s="62"/>
      <c r="L217" s="10" t="str">
        <f t="shared" si="39"/>
        <v/>
      </c>
      <c r="M217" s="10" t="str">
        <f t="shared" si="40"/>
        <v/>
      </c>
      <c r="N217" s="11" t="str">
        <f t="shared" si="43"/>
        <v/>
      </c>
      <c r="O217" s="10" t="str">
        <f t="shared" si="44"/>
        <v/>
      </c>
      <c r="P217" s="39" t="str">
        <f t="shared" si="45"/>
        <v/>
      </c>
      <c r="Q217" s="13" t="str">
        <f t="shared" si="41"/>
        <v/>
      </c>
      <c r="R217" s="13" t="str">
        <f t="shared" si="46"/>
        <v/>
      </c>
      <c r="S217" s="13" t="str">
        <f t="shared" si="42"/>
        <v/>
      </c>
      <c r="T217" s="22" t="str">
        <f>IF(R217&lt;&gt;"",VLOOKUP(P217,Constants!$D$3:$E$10,2),"")</f>
        <v/>
      </c>
    </row>
    <row r="218" spans="2:20" x14ac:dyDescent="0.25">
      <c r="B218" s="59"/>
      <c r="C218" s="59"/>
      <c r="D218" s="60"/>
      <c r="E218" s="59"/>
      <c r="F218" s="59" t="str">
        <f t="shared" si="38"/>
        <v/>
      </c>
      <c r="G218" s="59"/>
      <c r="H218" s="61"/>
      <c r="I218" s="61"/>
      <c r="J218" s="61"/>
      <c r="K218" s="62"/>
      <c r="L218" s="10" t="str">
        <f t="shared" si="39"/>
        <v/>
      </c>
      <c r="M218" s="10" t="str">
        <f t="shared" si="40"/>
        <v/>
      </c>
      <c r="N218" s="11" t="str">
        <f t="shared" si="43"/>
        <v/>
      </c>
      <c r="O218" s="10" t="str">
        <f t="shared" si="44"/>
        <v/>
      </c>
      <c r="P218" s="39" t="str">
        <f t="shared" si="45"/>
        <v/>
      </c>
      <c r="Q218" s="13" t="str">
        <f t="shared" si="41"/>
        <v/>
      </c>
      <c r="R218" s="13" t="str">
        <f t="shared" si="46"/>
        <v/>
      </c>
      <c r="S218" s="13" t="str">
        <f t="shared" si="42"/>
        <v/>
      </c>
      <c r="T218" s="22" t="str">
        <f>IF(R218&lt;&gt;"",VLOOKUP(P218,Constants!$D$3:$E$10,2),"")</f>
        <v/>
      </c>
    </row>
    <row r="219" spans="2:20" x14ac:dyDescent="0.25">
      <c r="B219" s="59"/>
      <c r="C219" s="59"/>
      <c r="D219" s="60"/>
      <c r="E219" s="59"/>
      <c r="F219" s="59" t="str">
        <f t="shared" si="38"/>
        <v/>
      </c>
      <c r="G219" s="59"/>
      <c r="H219" s="61"/>
      <c r="I219" s="61"/>
      <c r="J219" s="61"/>
      <c r="K219" s="62"/>
      <c r="L219" s="10" t="str">
        <f t="shared" si="39"/>
        <v/>
      </c>
      <c r="M219" s="10" t="str">
        <f t="shared" si="40"/>
        <v/>
      </c>
      <c r="N219" s="11" t="str">
        <f t="shared" si="43"/>
        <v/>
      </c>
      <c r="O219" s="10" t="str">
        <f t="shared" si="44"/>
        <v/>
      </c>
      <c r="P219" s="39" t="str">
        <f t="shared" si="45"/>
        <v/>
      </c>
      <c r="Q219" s="13" t="str">
        <f t="shared" si="41"/>
        <v/>
      </c>
      <c r="R219" s="13" t="str">
        <f t="shared" si="46"/>
        <v/>
      </c>
      <c r="S219" s="13" t="str">
        <f t="shared" si="42"/>
        <v/>
      </c>
      <c r="T219" s="22" t="str">
        <f>IF(R219&lt;&gt;"",VLOOKUP(P219,Constants!$D$3:$E$10,2),"")</f>
        <v/>
      </c>
    </row>
    <row r="220" spans="2:20" x14ac:dyDescent="0.25">
      <c r="B220" s="59"/>
      <c r="C220" s="59"/>
      <c r="D220" s="60"/>
      <c r="E220" s="59"/>
      <c r="F220" s="59" t="str">
        <f t="shared" si="38"/>
        <v/>
      </c>
      <c r="G220" s="59"/>
      <c r="H220" s="61"/>
      <c r="I220" s="61"/>
      <c r="J220" s="61"/>
      <c r="K220" s="62"/>
      <c r="L220" s="10" t="str">
        <f t="shared" si="39"/>
        <v/>
      </c>
      <c r="M220" s="10" t="str">
        <f t="shared" si="40"/>
        <v/>
      </c>
      <c r="N220" s="11" t="str">
        <f t="shared" si="43"/>
        <v/>
      </c>
      <c r="O220" s="10" t="str">
        <f t="shared" si="44"/>
        <v/>
      </c>
      <c r="P220" s="39" t="str">
        <f t="shared" si="45"/>
        <v/>
      </c>
      <c r="Q220" s="13" t="str">
        <f t="shared" si="41"/>
        <v/>
      </c>
      <c r="R220" s="13" t="str">
        <f t="shared" si="46"/>
        <v/>
      </c>
      <c r="S220" s="13" t="str">
        <f t="shared" si="42"/>
        <v/>
      </c>
      <c r="T220" s="22" t="str">
        <f>IF(R220&lt;&gt;"",VLOOKUP(P220,Constants!$D$3:$E$10,2),"")</f>
        <v/>
      </c>
    </row>
    <row r="221" spans="2:20" x14ac:dyDescent="0.25">
      <c r="B221" s="59"/>
      <c r="C221" s="59"/>
      <c r="D221" s="60"/>
      <c r="E221" s="59"/>
      <c r="F221" s="59" t="str">
        <f t="shared" si="38"/>
        <v/>
      </c>
      <c r="G221" s="59"/>
      <c r="H221" s="61"/>
      <c r="I221" s="61"/>
      <c r="J221" s="61"/>
      <c r="K221" s="62"/>
      <c r="L221" s="10" t="str">
        <f t="shared" si="39"/>
        <v/>
      </c>
      <c r="M221" s="10" t="str">
        <f t="shared" si="40"/>
        <v/>
      </c>
      <c r="N221" s="11" t="str">
        <f t="shared" si="43"/>
        <v/>
      </c>
      <c r="O221" s="10" t="str">
        <f t="shared" si="44"/>
        <v/>
      </c>
      <c r="P221" s="39" t="str">
        <f t="shared" si="45"/>
        <v/>
      </c>
      <c r="Q221" s="13" t="str">
        <f t="shared" si="41"/>
        <v/>
      </c>
      <c r="R221" s="13" t="str">
        <f t="shared" si="46"/>
        <v/>
      </c>
      <c r="S221" s="13" t="str">
        <f t="shared" si="42"/>
        <v/>
      </c>
      <c r="T221" s="22" t="str">
        <f>IF(R221&lt;&gt;"",VLOOKUP(P221,Constants!$D$3:$E$10,2),"")</f>
        <v/>
      </c>
    </row>
    <row r="222" spans="2:20" x14ac:dyDescent="0.25">
      <c r="B222" s="59"/>
      <c r="C222" s="59"/>
      <c r="D222" s="60"/>
      <c r="E222" s="59"/>
      <c r="F222" s="59" t="str">
        <f t="shared" si="38"/>
        <v/>
      </c>
      <c r="G222" s="59"/>
      <c r="H222" s="61"/>
      <c r="I222" s="61"/>
      <c r="J222" s="61"/>
      <c r="K222" s="62"/>
      <c r="L222" s="10" t="str">
        <f t="shared" si="39"/>
        <v/>
      </c>
      <c r="M222" s="10" t="str">
        <f t="shared" si="40"/>
        <v/>
      </c>
      <c r="N222" s="11" t="str">
        <f t="shared" si="43"/>
        <v/>
      </c>
      <c r="O222" s="10" t="str">
        <f t="shared" si="44"/>
        <v/>
      </c>
      <c r="P222" s="39" t="str">
        <f t="shared" si="45"/>
        <v/>
      </c>
      <c r="Q222" s="13" t="str">
        <f t="shared" si="41"/>
        <v/>
      </c>
      <c r="R222" s="13" t="str">
        <f t="shared" si="46"/>
        <v/>
      </c>
      <c r="S222" s="13" t="str">
        <f t="shared" si="42"/>
        <v/>
      </c>
      <c r="T222" s="22" t="str">
        <f>IF(R222&lt;&gt;"",VLOOKUP(P222,Constants!$D$3:$E$10,2),"")</f>
        <v/>
      </c>
    </row>
    <row r="223" spans="2:20" x14ac:dyDescent="0.25">
      <c r="B223" s="59"/>
      <c r="C223" s="59"/>
      <c r="D223" s="60"/>
      <c r="E223" s="59"/>
      <c r="F223" s="59" t="str">
        <f t="shared" si="38"/>
        <v/>
      </c>
      <c r="G223" s="59"/>
      <c r="H223" s="61"/>
      <c r="I223" s="61"/>
      <c r="J223" s="61"/>
      <c r="K223" s="62"/>
      <c r="L223" s="10" t="str">
        <f t="shared" si="39"/>
        <v/>
      </c>
      <c r="M223" s="10" t="str">
        <f t="shared" si="40"/>
        <v/>
      </c>
      <c r="N223" s="11" t="str">
        <f t="shared" si="43"/>
        <v/>
      </c>
      <c r="O223" s="10" t="str">
        <f t="shared" si="44"/>
        <v/>
      </c>
      <c r="P223" s="39" t="str">
        <f t="shared" si="45"/>
        <v/>
      </c>
      <c r="Q223" s="13" t="str">
        <f t="shared" si="41"/>
        <v/>
      </c>
      <c r="R223" s="13" t="str">
        <f t="shared" si="46"/>
        <v/>
      </c>
      <c r="S223" s="13" t="str">
        <f t="shared" si="42"/>
        <v/>
      </c>
      <c r="T223" s="22" t="str">
        <f>IF(R223&lt;&gt;"",VLOOKUP(P223,Constants!$D$3:$E$10,2),"")</f>
        <v/>
      </c>
    </row>
    <row r="224" spans="2:20" x14ac:dyDescent="0.25">
      <c r="B224" s="59"/>
      <c r="C224" s="59"/>
      <c r="D224" s="60"/>
      <c r="E224" s="59"/>
      <c r="F224" s="59" t="str">
        <f t="shared" si="38"/>
        <v/>
      </c>
      <c r="G224" s="59"/>
      <c r="H224" s="61"/>
      <c r="I224" s="61"/>
      <c r="J224" s="61"/>
      <c r="K224" s="62"/>
      <c r="L224" s="10" t="str">
        <f t="shared" si="39"/>
        <v/>
      </c>
      <c r="M224" s="10" t="str">
        <f t="shared" si="40"/>
        <v/>
      </c>
      <c r="N224" s="11" t="str">
        <f t="shared" si="43"/>
        <v/>
      </c>
      <c r="O224" s="10" t="str">
        <f t="shared" si="44"/>
        <v/>
      </c>
      <c r="P224" s="39" t="str">
        <f t="shared" si="45"/>
        <v/>
      </c>
      <c r="Q224" s="13" t="str">
        <f t="shared" si="41"/>
        <v/>
      </c>
      <c r="R224" s="13" t="str">
        <f t="shared" si="46"/>
        <v/>
      </c>
      <c r="S224" s="13" t="str">
        <f t="shared" si="42"/>
        <v/>
      </c>
      <c r="T224" s="22" t="str">
        <f>IF(R224&lt;&gt;"",VLOOKUP(P224,Constants!$D$3:$E$10,2),"")</f>
        <v/>
      </c>
    </row>
    <row r="225" spans="2:20" x14ac:dyDescent="0.25">
      <c r="B225" s="59"/>
      <c r="C225" s="59"/>
      <c r="D225" s="60"/>
      <c r="E225" s="59"/>
      <c r="F225" s="59" t="str">
        <f t="shared" si="38"/>
        <v/>
      </c>
      <c r="G225" s="59"/>
      <c r="H225" s="61"/>
      <c r="I225" s="61"/>
      <c r="J225" s="61"/>
      <c r="K225" s="62"/>
      <c r="L225" s="10" t="str">
        <f t="shared" si="39"/>
        <v/>
      </c>
      <c r="M225" s="10" t="str">
        <f t="shared" si="40"/>
        <v/>
      </c>
      <c r="N225" s="11" t="str">
        <f t="shared" si="43"/>
        <v/>
      </c>
      <c r="O225" s="10" t="str">
        <f t="shared" si="44"/>
        <v/>
      </c>
      <c r="P225" s="39" t="str">
        <f t="shared" si="45"/>
        <v/>
      </c>
      <c r="Q225" s="13" t="str">
        <f t="shared" si="41"/>
        <v/>
      </c>
      <c r="R225" s="13" t="str">
        <f t="shared" si="46"/>
        <v/>
      </c>
      <c r="S225" s="13" t="str">
        <f t="shared" si="42"/>
        <v/>
      </c>
      <c r="T225" s="22" t="str">
        <f>IF(R225&lt;&gt;"",VLOOKUP(P225,Constants!$D$3:$E$10,2),"")</f>
        <v/>
      </c>
    </row>
    <row r="226" spans="2:20" x14ac:dyDescent="0.25">
      <c r="B226" s="59"/>
      <c r="C226" s="59"/>
      <c r="D226" s="60"/>
      <c r="E226" s="59"/>
      <c r="F226" s="59" t="str">
        <f t="shared" si="38"/>
        <v/>
      </c>
      <c r="G226" s="59"/>
      <c r="H226" s="61"/>
      <c r="I226" s="61"/>
      <c r="J226" s="61"/>
      <c r="K226" s="62"/>
      <c r="L226" s="10" t="str">
        <f t="shared" si="39"/>
        <v/>
      </c>
      <c r="M226" s="10" t="str">
        <f t="shared" si="40"/>
        <v/>
      </c>
      <c r="N226" s="11" t="str">
        <f t="shared" si="43"/>
        <v/>
      </c>
      <c r="O226" s="10" t="str">
        <f t="shared" si="44"/>
        <v/>
      </c>
      <c r="P226" s="39" t="str">
        <f t="shared" si="45"/>
        <v/>
      </c>
      <c r="Q226" s="13" t="str">
        <f t="shared" si="41"/>
        <v/>
      </c>
      <c r="R226" s="13" t="str">
        <f t="shared" si="46"/>
        <v/>
      </c>
      <c r="S226" s="13" t="str">
        <f t="shared" si="42"/>
        <v/>
      </c>
      <c r="T226" s="22" t="str">
        <f>IF(R226&lt;&gt;"",VLOOKUP(P226,Constants!$D$3:$E$10,2),"")</f>
        <v/>
      </c>
    </row>
    <row r="227" spans="2:20" x14ac:dyDescent="0.25">
      <c r="B227" s="59"/>
      <c r="C227" s="59"/>
      <c r="D227" s="60"/>
      <c r="E227" s="59"/>
      <c r="F227" s="59" t="str">
        <f t="shared" si="38"/>
        <v/>
      </c>
      <c r="G227" s="59"/>
      <c r="H227" s="61"/>
      <c r="I227" s="61"/>
      <c r="J227" s="61"/>
      <c r="K227" s="62"/>
      <c r="L227" s="10" t="str">
        <f t="shared" si="39"/>
        <v/>
      </c>
      <c r="M227" s="10" t="str">
        <f t="shared" si="40"/>
        <v/>
      </c>
      <c r="N227" s="11" t="str">
        <f t="shared" si="43"/>
        <v/>
      </c>
      <c r="O227" s="10" t="str">
        <f t="shared" si="44"/>
        <v/>
      </c>
      <c r="P227" s="39" t="str">
        <f t="shared" si="45"/>
        <v/>
      </c>
      <c r="Q227" s="13" t="str">
        <f t="shared" si="41"/>
        <v/>
      </c>
      <c r="R227" s="13" t="str">
        <f t="shared" si="46"/>
        <v/>
      </c>
      <c r="S227" s="13" t="str">
        <f t="shared" si="42"/>
        <v/>
      </c>
      <c r="T227" s="22" t="str">
        <f>IF(R227&lt;&gt;"",VLOOKUP(P227,Constants!$D$3:$E$10,2),"")</f>
        <v/>
      </c>
    </row>
    <row r="228" spans="2:20" x14ac:dyDescent="0.25">
      <c r="B228" s="59"/>
      <c r="C228" s="59"/>
      <c r="D228" s="60"/>
      <c r="E228" s="59"/>
      <c r="F228" s="59" t="str">
        <f t="shared" si="38"/>
        <v/>
      </c>
      <c r="G228" s="59"/>
      <c r="H228" s="61"/>
      <c r="I228" s="61"/>
      <c r="J228" s="61"/>
      <c r="K228" s="62"/>
      <c r="L228" s="10" t="str">
        <f t="shared" si="39"/>
        <v/>
      </c>
      <c r="M228" s="10" t="str">
        <f t="shared" si="40"/>
        <v/>
      </c>
      <c r="N228" s="11" t="str">
        <f t="shared" si="43"/>
        <v/>
      </c>
      <c r="O228" s="10" t="str">
        <f t="shared" si="44"/>
        <v/>
      </c>
      <c r="P228" s="39" t="str">
        <f t="shared" si="45"/>
        <v/>
      </c>
      <c r="Q228" s="13" t="str">
        <f t="shared" si="41"/>
        <v/>
      </c>
      <c r="R228" s="13" t="str">
        <f t="shared" si="46"/>
        <v/>
      </c>
      <c r="S228" s="13" t="str">
        <f t="shared" si="42"/>
        <v/>
      </c>
      <c r="T228" s="22" t="str">
        <f>IF(R228&lt;&gt;"",VLOOKUP(P228,Constants!$D$3:$E$10,2),"")</f>
        <v/>
      </c>
    </row>
    <row r="229" spans="2:20" x14ac:dyDescent="0.25">
      <c r="B229" s="59"/>
      <c r="C229" s="59"/>
      <c r="D229" s="60"/>
      <c r="E229" s="59"/>
      <c r="F229" s="59" t="str">
        <f t="shared" si="38"/>
        <v/>
      </c>
      <c r="G229" s="59"/>
      <c r="H229" s="61"/>
      <c r="I229" s="61"/>
      <c r="J229" s="61"/>
      <c r="K229" s="62"/>
      <c r="L229" s="10" t="str">
        <f t="shared" si="39"/>
        <v/>
      </c>
      <c r="M229" s="10" t="str">
        <f t="shared" si="40"/>
        <v/>
      </c>
      <c r="N229" s="11" t="str">
        <f t="shared" si="43"/>
        <v/>
      </c>
      <c r="O229" s="10" t="str">
        <f t="shared" si="44"/>
        <v/>
      </c>
      <c r="P229" s="39" t="str">
        <f t="shared" si="45"/>
        <v/>
      </c>
      <c r="Q229" s="13" t="str">
        <f t="shared" si="41"/>
        <v/>
      </c>
      <c r="R229" s="13" t="str">
        <f t="shared" si="46"/>
        <v/>
      </c>
      <c r="S229" s="13" t="str">
        <f t="shared" si="42"/>
        <v/>
      </c>
      <c r="T229" s="22" t="str">
        <f>IF(R229&lt;&gt;"",VLOOKUP(P229,Constants!$D$3:$E$10,2),"")</f>
        <v/>
      </c>
    </row>
    <row r="230" spans="2:20" x14ac:dyDescent="0.25">
      <c r="B230" s="59"/>
      <c r="C230" s="59"/>
      <c r="D230" s="60"/>
      <c r="E230" s="59"/>
      <c r="F230" s="59" t="str">
        <f t="shared" si="38"/>
        <v/>
      </c>
      <c r="G230" s="59"/>
      <c r="H230" s="61"/>
      <c r="I230" s="61"/>
      <c r="J230" s="61"/>
      <c r="K230" s="62"/>
      <c r="L230" s="10" t="str">
        <f t="shared" si="39"/>
        <v/>
      </c>
      <c r="M230" s="10" t="str">
        <f t="shared" si="40"/>
        <v/>
      </c>
      <c r="N230" s="11" t="str">
        <f t="shared" si="43"/>
        <v/>
      </c>
      <c r="O230" s="10" t="str">
        <f t="shared" si="44"/>
        <v/>
      </c>
      <c r="P230" s="39" t="str">
        <f t="shared" si="45"/>
        <v/>
      </c>
      <c r="Q230" s="13" t="str">
        <f t="shared" si="41"/>
        <v/>
      </c>
      <c r="R230" s="13" t="str">
        <f t="shared" si="46"/>
        <v/>
      </c>
      <c r="S230" s="13" t="str">
        <f t="shared" si="42"/>
        <v/>
      </c>
      <c r="T230" s="22" t="str">
        <f>IF(R230&lt;&gt;"",VLOOKUP(P230,Constants!$D$3:$E$10,2),"")</f>
        <v/>
      </c>
    </row>
    <row r="231" spans="2:20" x14ac:dyDescent="0.25">
      <c r="B231" s="59"/>
      <c r="C231" s="59"/>
      <c r="D231" s="60"/>
      <c r="E231" s="59"/>
      <c r="F231" s="59" t="str">
        <f t="shared" si="38"/>
        <v/>
      </c>
      <c r="G231" s="59"/>
      <c r="H231" s="61"/>
      <c r="I231" s="61"/>
      <c r="J231" s="61"/>
      <c r="K231" s="62"/>
      <c r="L231" s="10" t="str">
        <f t="shared" si="39"/>
        <v/>
      </c>
      <c r="M231" s="10" t="str">
        <f t="shared" si="40"/>
        <v/>
      </c>
      <c r="N231" s="11" t="str">
        <f t="shared" si="43"/>
        <v/>
      </c>
      <c r="O231" s="10" t="str">
        <f t="shared" si="44"/>
        <v/>
      </c>
      <c r="P231" s="39" t="str">
        <f t="shared" si="45"/>
        <v/>
      </c>
      <c r="Q231" s="13" t="str">
        <f t="shared" si="41"/>
        <v/>
      </c>
      <c r="R231" s="13" t="str">
        <f t="shared" si="46"/>
        <v/>
      </c>
      <c r="S231" s="13" t="str">
        <f t="shared" si="42"/>
        <v/>
      </c>
      <c r="T231" s="22" t="str">
        <f>IF(R231&lt;&gt;"",VLOOKUP(P231,Constants!$D$3:$E$10,2),"")</f>
        <v/>
      </c>
    </row>
    <row r="232" spans="2:20" x14ac:dyDescent="0.25">
      <c r="B232" s="59"/>
      <c r="C232" s="59"/>
      <c r="D232" s="60"/>
      <c r="E232" s="59"/>
      <c r="F232" s="59" t="str">
        <f t="shared" si="38"/>
        <v/>
      </c>
      <c r="G232" s="59"/>
      <c r="H232" s="61"/>
      <c r="I232" s="61"/>
      <c r="J232" s="61"/>
      <c r="K232" s="62"/>
      <c r="L232" s="10" t="str">
        <f t="shared" si="39"/>
        <v/>
      </c>
      <c r="M232" s="10" t="str">
        <f t="shared" si="40"/>
        <v/>
      </c>
      <c r="N232" s="11" t="str">
        <f t="shared" si="43"/>
        <v/>
      </c>
      <c r="O232" s="10" t="str">
        <f t="shared" si="44"/>
        <v/>
      </c>
      <c r="P232" s="39" t="str">
        <f t="shared" si="45"/>
        <v/>
      </c>
      <c r="Q232" s="13" t="str">
        <f t="shared" si="41"/>
        <v/>
      </c>
      <c r="R232" s="13" t="str">
        <f t="shared" si="46"/>
        <v/>
      </c>
      <c r="S232" s="13" t="str">
        <f t="shared" si="42"/>
        <v/>
      </c>
      <c r="T232" s="22" t="str">
        <f>IF(R232&lt;&gt;"",VLOOKUP(P232,Constants!$D$3:$E$10,2),"")</f>
        <v/>
      </c>
    </row>
    <row r="233" spans="2:20" x14ac:dyDescent="0.25">
      <c r="B233" s="59"/>
      <c r="C233" s="59"/>
      <c r="D233" s="60"/>
      <c r="E233" s="59"/>
      <c r="F233" s="59" t="str">
        <f t="shared" si="38"/>
        <v/>
      </c>
      <c r="G233" s="59"/>
      <c r="H233" s="61"/>
      <c r="I233" s="61"/>
      <c r="J233" s="61"/>
      <c r="K233" s="62"/>
      <c r="L233" s="10" t="str">
        <f t="shared" si="39"/>
        <v/>
      </c>
      <c r="M233" s="10" t="str">
        <f t="shared" si="40"/>
        <v/>
      </c>
      <c r="N233" s="11" t="str">
        <f t="shared" si="43"/>
        <v/>
      </c>
      <c r="O233" s="10" t="str">
        <f t="shared" si="44"/>
        <v/>
      </c>
      <c r="P233" s="39" t="str">
        <f t="shared" si="45"/>
        <v/>
      </c>
      <c r="Q233" s="13" t="str">
        <f t="shared" si="41"/>
        <v/>
      </c>
      <c r="R233" s="13" t="str">
        <f t="shared" si="46"/>
        <v/>
      </c>
      <c r="S233" s="13" t="str">
        <f t="shared" si="42"/>
        <v/>
      </c>
      <c r="T233" s="22" t="str">
        <f>IF(R233&lt;&gt;"",VLOOKUP(P233,Constants!$D$3:$E$10,2),"")</f>
        <v/>
      </c>
    </row>
    <row r="234" spans="2:20" x14ac:dyDescent="0.25">
      <c r="B234" s="59"/>
      <c r="C234" s="59"/>
      <c r="D234" s="60"/>
      <c r="E234" s="59"/>
      <c r="F234" s="59" t="str">
        <f t="shared" si="38"/>
        <v/>
      </c>
      <c r="G234" s="59"/>
      <c r="H234" s="61"/>
      <c r="I234" s="61"/>
      <c r="J234" s="61"/>
      <c r="K234" s="62"/>
      <c r="L234" s="10" t="str">
        <f t="shared" si="39"/>
        <v/>
      </c>
      <c r="M234" s="10" t="str">
        <f t="shared" si="40"/>
        <v/>
      </c>
      <c r="N234" s="11" t="str">
        <f t="shared" si="43"/>
        <v/>
      </c>
      <c r="O234" s="10" t="str">
        <f t="shared" si="44"/>
        <v/>
      </c>
      <c r="P234" s="39" t="str">
        <f t="shared" si="45"/>
        <v/>
      </c>
      <c r="Q234" s="13" t="str">
        <f t="shared" si="41"/>
        <v/>
      </c>
      <c r="R234" s="13" t="str">
        <f t="shared" si="46"/>
        <v/>
      </c>
      <c r="S234" s="13" t="str">
        <f t="shared" si="42"/>
        <v/>
      </c>
      <c r="T234" s="22" t="str">
        <f>IF(R234&lt;&gt;"",VLOOKUP(P234,Constants!$D$3:$E$10,2),"")</f>
        <v/>
      </c>
    </row>
    <row r="235" spans="2:20" x14ac:dyDescent="0.25">
      <c r="B235" s="59"/>
      <c r="C235" s="59"/>
      <c r="D235" s="60"/>
      <c r="E235" s="59"/>
      <c r="F235" s="59" t="str">
        <f t="shared" si="38"/>
        <v/>
      </c>
      <c r="G235" s="59"/>
      <c r="H235" s="61"/>
      <c r="I235" s="61"/>
      <c r="J235" s="61"/>
      <c r="K235" s="62"/>
      <c r="L235" s="10" t="str">
        <f t="shared" si="39"/>
        <v/>
      </c>
      <c r="M235" s="10" t="str">
        <f t="shared" si="40"/>
        <v/>
      </c>
      <c r="N235" s="11" t="str">
        <f t="shared" si="43"/>
        <v/>
      </c>
      <c r="O235" s="10" t="str">
        <f t="shared" si="44"/>
        <v/>
      </c>
      <c r="P235" s="39" t="str">
        <f t="shared" si="45"/>
        <v/>
      </c>
      <c r="Q235" s="13" t="str">
        <f t="shared" si="41"/>
        <v/>
      </c>
      <c r="R235" s="13" t="str">
        <f t="shared" si="46"/>
        <v/>
      </c>
      <c r="S235" s="13" t="str">
        <f t="shared" si="42"/>
        <v/>
      </c>
      <c r="T235" s="22" t="str">
        <f>IF(R235&lt;&gt;"",VLOOKUP(P235,Constants!$D$3:$E$10,2),"")</f>
        <v/>
      </c>
    </row>
    <row r="236" spans="2:20" x14ac:dyDescent="0.25">
      <c r="B236" s="59"/>
      <c r="C236" s="59"/>
      <c r="D236" s="60"/>
      <c r="E236" s="59"/>
      <c r="F236" s="59" t="str">
        <f t="shared" si="38"/>
        <v/>
      </c>
      <c r="G236" s="59"/>
      <c r="H236" s="61"/>
      <c r="I236" s="61"/>
      <c r="J236" s="61"/>
      <c r="K236" s="62"/>
      <c r="L236" s="10" t="str">
        <f t="shared" si="39"/>
        <v/>
      </c>
      <c r="M236" s="10" t="str">
        <f t="shared" si="40"/>
        <v/>
      </c>
      <c r="N236" s="11" t="str">
        <f t="shared" si="43"/>
        <v/>
      </c>
      <c r="O236" s="10" t="str">
        <f t="shared" si="44"/>
        <v/>
      </c>
      <c r="P236" s="39" t="str">
        <f t="shared" si="45"/>
        <v/>
      </c>
      <c r="Q236" s="13" t="str">
        <f t="shared" si="41"/>
        <v/>
      </c>
      <c r="R236" s="13" t="str">
        <f t="shared" si="46"/>
        <v/>
      </c>
      <c r="S236" s="13" t="str">
        <f t="shared" si="42"/>
        <v/>
      </c>
      <c r="T236" s="22" t="str">
        <f>IF(R236&lt;&gt;"",VLOOKUP(P236,Constants!$D$3:$E$10,2),"")</f>
        <v/>
      </c>
    </row>
    <row r="237" spans="2:20" x14ac:dyDescent="0.25">
      <c r="B237" s="59"/>
      <c r="C237" s="59"/>
      <c r="D237" s="60"/>
      <c r="E237" s="59"/>
      <c r="F237" s="59" t="str">
        <f t="shared" si="38"/>
        <v/>
      </c>
      <c r="G237" s="59"/>
      <c r="H237" s="61"/>
      <c r="I237" s="61"/>
      <c r="J237" s="61"/>
      <c r="K237" s="62"/>
      <c r="L237" s="10" t="str">
        <f t="shared" si="39"/>
        <v/>
      </c>
      <c r="M237" s="10" t="str">
        <f t="shared" si="40"/>
        <v/>
      </c>
      <c r="N237" s="11" t="str">
        <f t="shared" si="43"/>
        <v/>
      </c>
      <c r="O237" s="10" t="str">
        <f t="shared" si="44"/>
        <v/>
      </c>
      <c r="P237" s="39" t="str">
        <f t="shared" si="45"/>
        <v/>
      </c>
      <c r="Q237" s="13" t="str">
        <f t="shared" si="41"/>
        <v/>
      </c>
      <c r="R237" s="13" t="str">
        <f t="shared" si="46"/>
        <v/>
      </c>
      <c r="S237" s="13" t="str">
        <f t="shared" si="42"/>
        <v/>
      </c>
      <c r="T237" s="22" t="str">
        <f>IF(R237&lt;&gt;"",VLOOKUP(P237,Constants!$D$3:$E$10,2),"")</f>
        <v/>
      </c>
    </row>
    <row r="238" spans="2:20" x14ac:dyDescent="0.25">
      <c r="B238" s="59"/>
      <c r="C238" s="59"/>
      <c r="D238" s="60"/>
      <c r="E238" s="59"/>
      <c r="F238" s="59" t="str">
        <f t="shared" si="38"/>
        <v/>
      </c>
      <c r="G238" s="59"/>
      <c r="H238" s="61"/>
      <c r="I238" s="61"/>
      <c r="J238" s="61"/>
      <c r="K238" s="62"/>
      <c r="L238" s="10" t="str">
        <f t="shared" si="39"/>
        <v/>
      </c>
      <c r="M238" s="10" t="str">
        <f t="shared" si="40"/>
        <v/>
      </c>
      <c r="N238" s="11" t="str">
        <f t="shared" si="43"/>
        <v/>
      </c>
      <c r="O238" s="10" t="str">
        <f t="shared" si="44"/>
        <v/>
      </c>
      <c r="P238" s="39" t="str">
        <f t="shared" si="45"/>
        <v/>
      </c>
      <c r="Q238" s="13" t="str">
        <f t="shared" si="41"/>
        <v/>
      </c>
      <c r="R238" s="13" t="str">
        <f t="shared" si="46"/>
        <v/>
      </c>
      <c r="S238" s="13" t="str">
        <f t="shared" si="42"/>
        <v/>
      </c>
      <c r="T238" s="22" t="str">
        <f>IF(R238&lt;&gt;"",VLOOKUP(P238,Constants!$D$3:$E$10,2),"")</f>
        <v/>
      </c>
    </row>
    <row r="239" spans="2:20" x14ac:dyDescent="0.25">
      <c r="B239" s="59"/>
      <c r="C239" s="59"/>
      <c r="D239" s="60"/>
      <c r="E239" s="59"/>
      <c r="F239" s="59" t="str">
        <f t="shared" si="38"/>
        <v/>
      </c>
      <c r="G239" s="59"/>
      <c r="H239" s="61"/>
      <c r="I239" s="61"/>
      <c r="J239" s="61"/>
      <c r="K239" s="62"/>
      <c r="L239" s="10" t="str">
        <f t="shared" si="39"/>
        <v/>
      </c>
      <c r="M239" s="10" t="str">
        <f t="shared" si="40"/>
        <v/>
      </c>
      <c r="N239" s="11" t="str">
        <f t="shared" si="43"/>
        <v/>
      </c>
      <c r="O239" s="10" t="str">
        <f t="shared" si="44"/>
        <v/>
      </c>
      <c r="P239" s="39" t="str">
        <f t="shared" si="45"/>
        <v/>
      </c>
      <c r="Q239" s="13" t="str">
        <f t="shared" si="41"/>
        <v/>
      </c>
      <c r="R239" s="13" t="str">
        <f t="shared" si="46"/>
        <v/>
      </c>
      <c r="S239" s="13" t="str">
        <f t="shared" si="42"/>
        <v/>
      </c>
      <c r="T239" s="22" t="str">
        <f>IF(R239&lt;&gt;"",VLOOKUP(P239,Constants!$D$3:$E$10,2),"")</f>
        <v/>
      </c>
    </row>
    <row r="240" spans="2:20" x14ac:dyDescent="0.25">
      <c r="B240" s="59"/>
      <c r="C240" s="59"/>
      <c r="D240" s="60"/>
      <c r="E240" s="59"/>
      <c r="F240" s="59" t="str">
        <f t="shared" si="38"/>
        <v/>
      </c>
      <c r="G240" s="59"/>
      <c r="H240" s="61"/>
      <c r="I240" s="61"/>
      <c r="J240" s="61"/>
      <c r="K240" s="62"/>
      <c r="L240" s="10" t="str">
        <f t="shared" si="39"/>
        <v/>
      </c>
      <c r="M240" s="10" t="str">
        <f t="shared" si="40"/>
        <v/>
      </c>
      <c r="N240" s="11" t="str">
        <f t="shared" si="43"/>
        <v/>
      </c>
      <c r="O240" s="10" t="str">
        <f t="shared" si="44"/>
        <v/>
      </c>
      <c r="P240" s="39" t="str">
        <f t="shared" si="45"/>
        <v/>
      </c>
      <c r="Q240" s="13" t="str">
        <f t="shared" si="41"/>
        <v/>
      </c>
      <c r="R240" s="13" t="str">
        <f t="shared" si="46"/>
        <v/>
      </c>
      <c r="S240" s="13" t="str">
        <f t="shared" si="42"/>
        <v/>
      </c>
      <c r="T240" s="22" t="str">
        <f>IF(R240&lt;&gt;"",VLOOKUP(P240,Constants!$D$3:$E$10,2),"")</f>
        <v/>
      </c>
    </row>
    <row r="241" spans="2:20" x14ac:dyDescent="0.25">
      <c r="B241" s="59"/>
      <c r="C241" s="59"/>
      <c r="D241" s="60"/>
      <c r="E241" s="59"/>
      <c r="F241" s="59" t="str">
        <f t="shared" si="38"/>
        <v/>
      </c>
      <c r="G241" s="59"/>
      <c r="H241" s="61"/>
      <c r="I241" s="61"/>
      <c r="J241" s="61"/>
      <c r="K241" s="62"/>
      <c r="L241" s="10" t="str">
        <f t="shared" si="39"/>
        <v/>
      </c>
      <c r="M241" s="10" t="str">
        <f t="shared" si="40"/>
        <v/>
      </c>
      <c r="N241" s="11" t="str">
        <f t="shared" si="43"/>
        <v/>
      </c>
      <c r="O241" s="10" t="str">
        <f t="shared" si="44"/>
        <v/>
      </c>
      <c r="P241" s="39" t="str">
        <f t="shared" si="45"/>
        <v/>
      </c>
      <c r="Q241" s="13" t="str">
        <f t="shared" si="41"/>
        <v/>
      </c>
      <c r="R241" s="13" t="str">
        <f t="shared" si="46"/>
        <v/>
      </c>
      <c r="S241" s="13" t="str">
        <f t="shared" si="42"/>
        <v/>
      </c>
      <c r="T241" s="22" t="str">
        <f>IF(R241&lt;&gt;"",VLOOKUP(P241,Constants!$D$3:$E$10,2),"")</f>
        <v/>
      </c>
    </row>
    <row r="242" spans="2:20" x14ac:dyDescent="0.25">
      <c r="B242" s="59"/>
      <c r="C242" s="59"/>
      <c r="D242" s="60"/>
      <c r="E242" s="59"/>
      <c r="F242" s="59" t="str">
        <f t="shared" si="38"/>
        <v/>
      </c>
      <c r="G242" s="59"/>
      <c r="H242" s="61"/>
      <c r="I242" s="61"/>
      <c r="J242" s="61"/>
      <c r="K242" s="62"/>
      <c r="L242" s="10" t="str">
        <f t="shared" si="39"/>
        <v/>
      </c>
      <c r="M242" s="10" t="str">
        <f t="shared" si="40"/>
        <v/>
      </c>
      <c r="N242" s="11" t="str">
        <f t="shared" si="43"/>
        <v/>
      </c>
      <c r="O242" s="10" t="str">
        <f t="shared" si="44"/>
        <v/>
      </c>
      <c r="P242" s="39" t="str">
        <f t="shared" si="45"/>
        <v/>
      </c>
      <c r="Q242" s="13" t="str">
        <f t="shared" si="41"/>
        <v/>
      </c>
      <c r="R242" s="13" t="str">
        <f t="shared" si="46"/>
        <v/>
      </c>
      <c r="S242" s="13" t="str">
        <f t="shared" si="42"/>
        <v/>
      </c>
      <c r="T242" s="22" t="str">
        <f>IF(R242&lt;&gt;"",VLOOKUP(P242,Constants!$D$3:$E$10,2),"")</f>
        <v/>
      </c>
    </row>
    <row r="243" spans="2:20" x14ac:dyDescent="0.25">
      <c r="B243" s="59"/>
      <c r="C243" s="59"/>
      <c r="D243" s="60"/>
      <c r="E243" s="59"/>
      <c r="F243" s="59" t="str">
        <f t="shared" si="38"/>
        <v/>
      </c>
      <c r="G243" s="59"/>
      <c r="H243" s="61"/>
      <c r="I243" s="61"/>
      <c r="J243" s="61"/>
      <c r="K243" s="62"/>
      <c r="L243" s="10" t="str">
        <f t="shared" si="39"/>
        <v/>
      </c>
      <c r="M243" s="10" t="str">
        <f t="shared" si="40"/>
        <v/>
      </c>
      <c r="N243" s="11" t="str">
        <f t="shared" si="43"/>
        <v/>
      </c>
      <c r="O243" s="10" t="str">
        <f t="shared" si="44"/>
        <v/>
      </c>
      <c r="P243" s="39" t="str">
        <f t="shared" si="45"/>
        <v/>
      </c>
      <c r="Q243" s="13" t="str">
        <f t="shared" si="41"/>
        <v/>
      </c>
      <c r="R243" s="13" t="str">
        <f t="shared" si="46"/>
        <v/>
      </c>
      <c r="S243" s="13" t="str">
        <f t="shared" si="42"/>
        <v/>
      </c>
      <c r="T243" s="22" t="str">
        <f>IF(R243&lt;&gt;"",VLOOKUP(P243,Constants!$D$3:$E$10,2),"")</f>
        <v/>
      </c>
    </row>
    <row r="244" spans="2:20" x14ac:dyDescent="0.25">
      <c r="B244" s="59"/>
      <c r="C244" s="59"/>
      <c r="D244" s="60"/>
      <c r="E244" s="59"/>
      <c r="F244" s="59" t="str">
        <f t="shared" si="38"/>
        <v/>
      </c>
      <c r="G244" s="59"/>
      <c r="H244" s="61"/>
      <c r="I244" s="61"/>
      <c r="J244" s="61"/>
      <c r="K244" s="62"/>
      <c r="L244" s="10" t="str">
        <f t="shared" si="39"/>
        <v/>
      </c>
      <c r="M244" s="10" t="str">
        <f t="shared" si="40"/>
        <v/>
      </c>
      <c r="N244" s="11" t="str">
        <f t="shared" si="43"/>
        <v/>
      </c>
      <c r="O244" s="10" t="str">
        <f t="shared" si="44"/>
        <v/>
      </c>
      <c r="P244" s="39" t="str">
        <f t="shared" si="45"/>
        <v/>
      </c>
      <c r="Q244" s="13" t="str">
        <f t="shared" si="41"/>
        <v/>
      </c>
      <c r="R244" s="13" t="str">
        <f t="shared" si="46"/>
        <v/>
      </c>
      <c r="S244" s="13" t="str">
        <f t="shared" si="42"/>
        <v/>
      </c>
      <c r="T244" s="22" t="str">
        <f>IF(R244&lt;&gt;"",VLOOKUP(P244,Constants!$D$3:$E$10,2),"")</f>
        <v/>
      </c>
    </row>
    <row r="245" spans="2:20" x14ac:dyDescent="0.25">
      <c r="B245" s="59"/>
      <c r="C245" s="59"/>
      <c r="D245" s="60"/>
      <c r="E245" s="59"/>
      <c r="F245" s="59" t="str">
        <f t="shared" si="38"/>
        <v/>
      </c>
      <c r="G245" s="59"/>
      <c r="H245" s="61"/>
      <c r="I245" s="61"/>
      <c r="J245" s="61"/>
      <c r="K245" s="62"/>
      <c r="L245" s="10" t="str">
        <f t="shared" si="39"/>
        <v/>
      </c>
      <c r="M245" s="10" t="str">
        <f t="shared" si="40"/>
        <v/>
      </c>
      <c r="N245" s="11" t="str">
        <f t="shared" si="43"/>
        <v/>
      </c>
      <c r="O245" s="10" t="str">
        <f t="shared" si="44"/>
        <v/>
      </c>
      <c r="P245" s="39" t="str">
        <f t="shared" si="45"/>
        <v/>
      </c>
      <c r="Q245" s="13" t="str">
        <f t="shared" si="41"/>
        <v/>
      </c>
      <c r="R245" s="13" t="str">
        <f t="shared" si="46"/>
        <v/>
      </c>
      <c r="S245" s="13" t="str">
        <f t="shared" si="42"/>
        <v/>
      </c>
      <c r="T245" s="22" t="str">
        <f>IF(R245&lt;&gt;"",VLOOKUP(P245,Constants!$D$3:$E$10,2),"")</f>
        <v/>
      </c>
    </row>
    <row r="246" spans="2:20" x14ac:dyDescent="0.25">
      <c r="B246" s="59"/>
      <c r="C246" s="59"/>
      <c r="D246" s="60"/>
      <c r="E246" s="59"/>
      <c r="F246" s="59" t="str">
        <f t="shared" si="38"/>
        <v/>
      </c>
      <c r="G246" s="59"/>
      <c r="H246" s="61"/>
      <c r="I246" s="61"/>
      <c r="J246" s="61"/>
      <c r="K246" s="62"/>
      <c r="L246" s="10" t="str">
        <f t="shared" si="39"/>
        <v/>
      </c>
      <c r="M246" s="10" t="str">
        <f t="shared" si="40"/>
        <v/>
      </c>
      <c r="N246" s="11" t="str">
        <f t="shared" si="43"/>
        <v/>
      </c>
      <c r="O246" s="10" t="str">
        <f t="shared" si="44"/>
        <v/>
      </c>
      <c r="P246" s="39" t="str">
        <f t="shared" si="45"/>
        <v/>
      </c>
      <c r="Q246" s="13" t="str">
        <f t="shared" si="41"/>
        <v/>
      </c>
      <c r="R246" s="13" t="str">
        <f t="shared" si="46"/>
        <v/>
      </c>
      <c r="S246" s="13" t="str">
        <f t="shared" si="42"/>
        <v/>
      </c>
      <c r="T246" s="22" t="str">
        <f>IF(R246&lt;&gt;"",VLOOKUP(P246,Constants!$D$3:$E$10,2),"")</f>
        <v/>
      </c>
    </row>
    <row r="247" spans="2:20" x14ac:dyDescent="0.25">
      <c r="B247" s="59"/>
      <c r="C247" s="59"/>
      <c r="D247" s="60"/>
      <c r="E247" s="59"/>
      <c r="F247" s="59" t="str">
        <f t="shared" si="38"/>
        <v/>
      </c>
      <c r="G247" s="59"/>
      <c r="H247" s="61"/>
      <c r="I247" s="61"/>
      <c r="J247" s="61"/>
      <c r="K247" s="62"/>
      <c r="L247" s="10" t="str">
        <f t="shared" si="39"/>
        <v/>
      </c>
      <c r="M247" s="10" t="str">
        <f t="shared" si="40"/>
        <v/>
      </c>
      <c r="N247" s="11" t="str">
        <f t="shared" si="43"/>
        <v/>
      </c>
      <c r="O247" s="10" t="str">
        <f t="shared" si="44"/>
        <v/>
      </c>
      <c r="P247" s="39" t="str">
        <f t="shared" si="45"/>
        <v/>
      </c>
      <c r="Q247" s="13" t="str">
        <f t="shared" si="41"/>
        <v/>
      </c>
      <c r="R247" s="13" t="str">
        <f t="shared" si="46"/>
        <v/>
      </c>
      <c r="S247" s="13" t="str">
        <f t="shared" si="42"/>
        <v/>
      </c>
      <c r="T247" s="22" t="str">
        <f>IF(R247&lt;&gt;"",VLOOKUP(P247,Constants!$D$3:$E$10,2),"")</f>
        <v/>
      </c>
    </row>
    <row r="248" spans="2:20" x14ac:dyDescent="0.25">
      <c r="B248" s="59"/>
      <c r="C248" s="59"/>
      <c r="D248" s="60"/>
      <c r="E248" s="59"/>
      <c r="F248" s="59" t="str">
        <f t="shared" si="38"/>
        <v/>
      </c>
      <c r="G248" s="59"/>
      <c r="H248" s="61"/>
      <c r="I248" s="61"/>
      <c r="J248" s="61"/>
      <c r="K248" s="62"/>
      <c r="L248" s="10" t="str">
        <f t="shared" si="39"/>
        <v/>
      </c>
      <c r="M248" s="10" t="str">
        <f t="shared" si="40"/>
        <v/>
      </c>
      <c r="N248" s="11" t="str">
        <f t="shared" si="43"/>
        <v/>
      </c>
      <c r="O248" s="10" t="str">
        <f t="shared" si="44"/>
        <v/>
      </c>
      <c r="P248" s="39" t="str">
        <f t="shared" si="45"/>
        <v/>
      </c>
      <c r="Q248" s="13" t="str">
        <f t="shared" si="41"/>
        <v/>
      </c>
      <c r="R248" s="13" t="str">
        <f t="shared" si="46"/>
        <v/>
      </c>
      <c r="S248" s="13" t="str">
        <f t="shared" si="42"/>
        <v/>
      </c>
      <c r="T248" s="22" t="str">
        <f>IF(R248&lt;&gt;"",VLOOKUP(P248,Constants!$D$3:$E$10,2),"")</f>
        <v/>
      </c>
    </row>
    <row r="249" spans="2:20" x14ac:dyDescent="0.25">
      <c r="B249" s="59"/>
      <c r="C249" s="59"/>
      <c r="D249" s="60"/>
      <c r="E249" s="59"/>
      <c r="F249" s="59" t="str">
        <f t="shared" si="38"/>
        <v/>
      </c>
      <c r="G249" s="59"/>
      <c r="H249" s="61"/>
      <c r="I249" s="61"/>
      <c r="J249" s="61"/>
      <c r="K249" s="62"/>
      <c r="L249" s="10" t="str">
        <f t="shared" si="39"/>
        <v/>
      </c>
      <c r="M249" s="10" t="str">
        <f t="shared" si="40"/>
        <v/>
      </c>
      <c r="N249" s="11" t="str">
        <f t="shared" si="43"/>
        <v/>
      </c>
      <c r="O249" s="10" t="str">
        <f t="shared" si="44"/>
        <v/>
      </c>
      <c r="P249" s="39" t="str">
        <f t="shared" si="45"/>
        <v/>
      </c>
      <c r="Q249" s="13" t="str">
        <f t="shared" si="41"/>
        <v/>
      </c>
      <c r="R249" s="13" t="str">
        <f t="shared" si="46"/>
        <v/>
      </c>
      <c r="S249" s="13" t="str">
        <f t="shared" si="42"/>
        <v/>
      </c>
      <c r="T249" s="22" t="str">
        <f>IF(R249&lt;&gt;"",VLOOKUP(P249,Constants!$D$3:$E$10,2),"")</f>
        <v/>
      </c>
    </row>
    <row r="250" spans="2:20" x14ac:dyDescent="0.25">
      <c r="B250" s="59"/>
      <c r="C250" s="59"/>
      <c r="D250" s="60"/>
      <c r="E250" s="59"/>
      <c r="F250" s="59" t="str">
        <f t="shared" si="38"/>
        <v/>
      </c>
      <c r="G250" s="59"/>
      <c r="H250" s="61"/>
      <c r="I250" s="61"/>
      <c r="J250" s="61"/>
      <c r="K250" s="62"/>
      <c r="L250" s="10" t="str">
        <f t="shared" si="39"/>
        <v/>
      </c>
      <c r="M250" s="10" t="str">
        <f t="shared" si="40"/>
        <v/>
      </c>
      <c r="N250" s="11" t="str">
        <f t="shared" si="43"/>
        <v/>
      </c>
      <c r="O250" s="10" t="str">
        <f t="shared" si="44"/>
        <v/>
      </c>
      <c r="P250" s="39" t="str">
        <f t="shared" si="45"/>
        <v/>
      </c>
      <c r="Q250" s="13" t="str">
        <f t="shared" si="41"/>
        <v/>
      </c>
      <c r="R250" s="13" t="str">
        <f t="shared" si="46"/>
        <v/>
      </c>
      <c r="S250" s="13" t="str">
        <f t="shared" si="42"/>
        <v/>
      </c>
      <c r="T250" s="22" t="str">
        <f>IF(R250&lt;&gt;"",VLOOKUP(P250,Constants!$D$3:$E$10,2),"")</f>
        <v/>
      </c>
    </row>
    <row r="251" spans="2:20" x14ac:dyDescent="0.25">
      <c r="B251" s="59"/>
      <c r="C251" s="59"/>
      <c r="D251" s="60"/>
      <c r="E251" s="59"/>
      <c r="F251" s="59" t="str">
        <f t="shared" si="38"/>
        <v/>
      </c>
      <c r="G251" s="59"/>
      <c r="H251" s="61"/>
      <c r="I251" s="61"/>
      <c r="J251" s="61"/>
      <c r="K251" s="62"/>
      <c r="L251" s="10" t="str">
        <f t="shared" si="39"/>
        <v/>
      </c>
      <c r="M251" s="10" t="str">
        <f t="shared" si="40"/>
        <v/>
      </c>
      <c r="N251" s="11" t="str">
        <f t="shared" si="43"/>
        <v/>
      </c>
      <c r="O251" s="10" t="str">
        <f t="shared" si="44"/>
        <v/>
      </c>
      <c r="P251" s="39" t="str">
        <f t="shared" si="45"/>
        <v/>
      </c>
      <c r="Q251" s="13" t="str">
        <f t="shared" si="41"/>
        <v/>
      </c>
      <c r="R251" s="13" t="str">
        <f t="shared" si="46"/>
        <v/>
      </c>
      <c r="S251" s="13" t="str">
        <f t="shared" si="42"/>
        <v/>
      </c>
      <c r="T251" s="22" t="str">
        <f>IF(R251&lt;&gt;"",VLOOKUP(P251,Constants!$D$3:$E$10,2),"")</f>
        <v/>
      </c>
    </row>
    <row r="252" spans="2:20" x14ac:dyDescent="0.25">
      <c r="B252" s="59"/>
      <c r="C252" s="59"/>
      <c r="D252" s="60"/>
      <c r="E252" s="59"/>
      <c r="F252" s="59" t="str">
        <f t="shared" si="38"/>
        <v/>
      </c>
      <c r="G252" s="59"/>
      <c r="H252" s="61"/>
      <c r="I252" s="61"/>
      <c r="J252" s="61"/>
      <c r="K252" s="62"/>
      <c r="L252" s="10" t="str">
        <f t="shared" si="39"/>
        <v/>
      </c>
      <c r="M252" s="10" t="str">
        <f t="shared" si="40"/>
        <v/>
      </c>
      <c r="N252" s="11" t="str">
        <f t="shared" si="43"/>
        <v/>
      </c>
      <c r="O252" s="10" t="str">
        <f t="shared" si="44"/>
        <v/>
      </c>
      <c r="P252" s="39" t="str">
        <f t="shared" si="45"/>
        <v/>
      </c>
      <c r="Q252" s="13" t="str">
        <f t="shared" si="41"/>
        <v/>
      </c>
      <c r="R252" s="13" t="str">
        <f t="shared" si="46"/>
        <v/>
      </c>
      <c r="S252" s="13" t="str">
        <f t="shared" si="42"/>
        <v/>
      </c>
      <c r="T252" s="22" t="str">
        <f>IF(R252&lt;&gt;"",VLOOKUP(P252,Constants!$D$3:$E$10,2),"")</f>
        <v/>
      </c>
    </row>
    <row r="253" spans="2:20" x14ac:dyDescent="0.25">
      <c r="B253" s="59"/>
      <c r="C253" s="59"/>
      <c r="D253" s="60"/>
      <c r="E253" s="59"/>
      <c r="F253" s="59" t="str">
        <f t="shared" si="38"/>
        <v/>
      </c>
      <c r="G253" s="59"/>
      <c r="H253" s="61"/>
      <c r="I253" s="61"/>
      <c r="J253" s="61"/>
      <c r="K253" s="62"/>
      <c r="L253" s="10" t="str">
        <f t="shared" si="39"/>
        <v/>
      </c>
      <c r="M253" s="10" t="str">
        <f t="shared" si="40"/>
        <v/>
      </c>
      <c r="N253" s="11" t="str">
        <f t="shared" si="43"/>
        <v/>
      </c>
      <c r="O253" s="10" t="str">
        <f t="shared" si="44"/>
        <v/>
      </c>
      <c r="P253" s="39" t="str">
        <f t="shared" si="45"/>
        <v/>
      </c>
      <c r="Q253" s="13" t="str">
        <f t="shared" si="41"/>
        <v/>
      </c>
      <c r="R253" s="13" t="str">
        <f t="shared" si="46"/>
        <v/>
      </c>
      <c r="S253" s="13" t="str">
        <f t="shared" si="42"/>
        <v/>
      </c>
      <c r="T253" s="22" t="str">
        <f>IF(R253&lt;&gt;"",VLOOKUP(P253,Constants!$D$3:$E$10,2),"")</f>
        <v/>
      </c>
    </row>
    <row r="254" spans="2:20" x14ac:dyDescent="0.25">
      <c r="B254" s="59"/>
      <c r="C254" s="59"/>
      <c r="D254" s="60"/>
      <c r="E254" s="59"/>
      <c r="F254" s="59" t="str">
        <f t="shared" si="38"/>
        <v/>
      </c>
      <c r="G254" s="59"/>
      <c r="H254" s="61"/>
      <c r="I254" s="61"/>
      <c r="J254" s="61"/>
      <c r="K254" s="62"/>
      <c r="L254" s="10" t="str">
        <f t="shared" si="39"/>
        <v/>
      </c>
      <c r="M254" s="10" t="str">
        <f t="shared" si="40"/>
        <v/>
      </c>
      <c r="N254" s="11" t="str">
        <f t="shared" si="43"/>
        <v/>
      </c>
      <c r="O254" s="10" t="str">
        <f t="shared" si="44"/>
        <v/>
      </c>
      <c r="P254" s="39" t="str">
        <f t="shared" si="45"/>
        <v/>
      </c>
      <c r="Q254" s="13" t="str">
        <f t="shared" si="41"/>
        <v/>
      </c>
      <c r="R254" s="13" t="str">
        <f t="shared" si="46"/>
        <v/>
      </c>
      <c r="S254" s="13" t="str">
        <f t="shared" si="42"/>
        <v/>
      </c>
      <c r="T254" s="22" t="str">
        <f>IF(R254&lt;&gt;"",VLOOKUP(P254,Constants!$D$3:$E$10,2),"")</f>
        <v/>
      </c>
    </row>
    <row r="255" spans="2:20" x14ac:dyDescent="0.25">
      <c r="B255" s="59"/>
      <c r="C255" s="59"/>
      <c r="D255" s="60"/>
      <c r="E255" s="59"/>
      <c r="F255" s="59" t="str">
        <f t="shared" si="38"/>
        <v/>
      </c>
      <c r="G255" s="59"/>
      <c r="H255" s="61"/>
      <c r="I255" s="61"/>
      <c r="J255" s="61"/>
      <c r="K255" s="62"/>
      <c r="L255" s="10" t="str">
        <f t="shared" si="39"/>
        <v/>
      </c>
      <c r="M255" s="10" t="str">
        <f t="shared" si="40"/>
        <v/>
      </c>
      <c r="N255" s="11" t="str">
        <f t="shared" si="43"/>
        <v/>
      </c>
      <c r="O255" s="10" t="str">
        <f t="shared" si="44"/>
        <v/>
      </c>
      <c r="P255" s="39" t="str">
        <f t="shared" si="45"/>
        <v/>
      </c>
      <c r="Q255" s="13" t="str">
        <f t="shared" si="41"/>
        <v/>
      </c>
      <c r="R255" s="13" t="str">
        <f t="shared" si="46"/>
        <v/>
      </c>
      <c r="S255" s="13" t="str">
        <f t="shared" si="42"/>
        <v/>
      </c>
      <c r="T255" s="22" t="str">
        <f>IF(R255&lt;&gt;"",VLOOKUP(P255,Constants!$D$3:$E$10,2),"")</f>
        <v/>
      </c>
    </row>
    <row r="256" spans="2:20" x14ac:dyDescent="0.25">
      <c r="B256" s="59"/>
      <c r="C256" s="59"/>
      <c r="D256" s="60"/>
      <c r="E256" s="59"/>
      <c r="F256" s="59" t="str">
        <f t="shared" si="38"/>
        <v/>
      </c>
      <c r="G256" s="59"/>
      <c r="H256" s="61"/>
      <c r="I256" s="61"/>
      <c r="J256" s="61"/>
      <c r="K256" s="62"/>
      <c r="L256" s="10" t="str">
        <f t="shared" si="39"/>
        <v/>
      </c>
      <c r="M256" s="10" t="str">
        <f t="shared" si="40"/>
        <v/>
      </c>
      <c r="N256" s="11" t="str">
        <f t="shared" si="43"/>
        <v/>
      </c>
      <c r="O256" s="10" t="str">
        <f t="shared" si="44"/>
        <v/>
      </c>
      <c r="P256" s="39" t="str">
        <f t="shared" si="45"/>
        <v/>
      </c>
      <c r="Q256" s="13" t="str">
        <f t="shared" si="41"/>
        <v/>
      </c>
      <c r="R256" s="13" t="str">
        <f t="shared" si="46"/>
        <v/>
      </c>
      <c r="S256" s="13" t="str">
        <f t="shared" si="42"/>
        <v/>
      </c>
      <c r="T256" s="22" t="str">
        <f>IF(R256&lt;&gt;"",VLOOKUP(P256,Constants!$D$3:$E$10,2),"")</f>
        <v/>
      </c>
    </row>
    <row r="257" spans="2:20" x14ac:dyDescent="0.25">
      <c r="B257" s="59"/>
      <c r="C257" s="59"/>
      <c r="D257" s="60"/>
      <c r="E257" s="59"/>
      <c r="F257" s="59" t="str">
        <f t="shared" si="38"/>
        <v/>
      </c>
      <c r="G257" s="59"/>
      <c r="H257" s="61"/>
      <c r="I257" s="61"/>
      <c r="J257" s="61"/>
      <c r="K257" s="62"/>
      <c r="L257" s="10" t="str">
        <f t="shared" si="39"/>
        <v/>
      </c>
      <c r="M257" s="10" t="str">
        <f t="shared" si="40"/>
        <v/>
      </c>
      <c r="N257" s="11" t="str">
        <f t="shared" si="43"/>
        <v/>
      </c>
      <c r="O257" s="10" t="str">
        <f t="shared" si="44"/>
        <v/>
      </c>
      <c r="P257" s="39" t="str">
        <f t="shared" si="45"/>
        <v/>
      </c>
      <c r="Q257" s="13" t="str">
        <f t="shared" si="41"/>
        <v/>
      </c>
      <c r="R257" s="13" t="str">
        <f t="shared" si="46"/>
        <v/>
      </c>
      <c r="S257" s="13" t="str">
        <f t="shared" si="42"/>
        <v/>
      </c>
      <c r="T257" s="22" t="str">
        <f>IF(R257&lt;&gt;"",VLOOKUP(P257,Constants!$D$3:$E$10,2),"")</f>
        <v/>
      </c>
    </row>
    <row r="258" spans="2:20" x14ac:dyDescent="0.25">
      <c r="B258" s="59"/>
      <c r="C258" s="59"/>
      <c r="D258" s="60"/>
      <c r="E258" s="59"/>
      <c r="F258" s="59" t="str">
        <f t="shared" si="38"/>
        <v/>
      </c>
      <c r="G258" s="59"/>
      <c r="H258" s="61"/>
      <c r="I258" s="61"/>
      <c r="J258" s="61"/>
      <c r="K258" s="62"/>
      <c r="L258" s="10" t="str">
        <f t="shared" si="39"/>
        <v/>
      </c>
      <c r="M258" s="10" t="str">
        <f t="shared" si="40"/>
        <v/>
      </c>
      <c r="N258" s="11" t="str">
        <f t="shared" si="43"/>
        <v/>
      </c>
      <c r="O258" s="10" t="str">
        <f t="shared" si="44"/>
        <v/>
      </c>
      <c r="P258" s="39" t="str">
        <f t="shared" si="45"/>
        <v/>
      </c>
      <c r="Q258" s="13" t="str">
        <f t="shared" si="41"/>
        <v/>
      </c>
      <c r="R258" s="13" t="str">
        <f t="shared" si="46"/>
        <v/>
      </c>
      <c r="S258" s="13" t="str">
        <f t="shared" si="42"/>
        <v/>
      </c>
      <c r="T258" s="22" t="str">
        <f>IF(R258&lt;&gt;"",VLOOKUP(P258,Constants!$D$3:$E$10,2),"")</f>
        <v/>
      </c>
    </row>
    <row r="259" spans="2:20" x14ac:dyDescent="0.25">
      <c r="B259" s="59"/>
      <c r="C259" s="59"/>
      <c r="D259" s="60"/>
      <c r="E259" s="59"/>
      <c r="F259" s="59" t="str">
        <f t="shared" si="38"/>
        <v/>
      </c>
      <c r="G259" s="59"/>
      <c r="H259" s="61"/>
      <c r="I259" s="61"/>
      <c r="J259" s="61"/>
      <c r="K259" s="62"/>
      <c r="L259" s="10" t="str">
        <f t="shared" si="39"/>
        <v/>
      </c>
      <c r="M259" s="10" t="str">
        <f t="shared" si="40"/>
        <v/>
      </c>
      <c r="N259" s="11" t="str">
        <f t="shared" si="43"/>
        <v/>
      </c>
      <c r="O259" s="10" t="str">
        <f t="shared" si="44"/>
        <v/>
      </c>
      <c r="P259" s="39" t="str">
        <f t="shared" si="45"/>
        <v/>
      </c>
      <c r="Q259" s="13" t="str">
        <f t="shared" si="41"/>
        <v/>
      </c>
      <c r="R259" s="13" t="str">
        <f t="shared" si="46"/>
        <v/>
      </c>
      <c r="S259" s="13" t="str">
        <f t="shared" si="42"/>
        <v/>
      </c>
      <c r="T259" s="22" t="str">
        <f>IF(R259&lt;&gt;"",VLOOKUP(P259,Constants!$D$3:$E$10,2),"")</f>
        <v/>
      </c>
    </row>
    <row r="260" spans="2:20" x14ac:dyDescent="0.25">
      <c r="B260" s="59"/>
      <c r="C260" s="59"/>
      <c r="D260" s="60"/>
      <c r="E260" s="59"/>
      <c r="F260" s="59" t="str">
        <f t="shared" si="38"/>
        <v/>
      </c>
      <c r="G260" s="59"/>
      <c r="H260" s="61"/>
      <c r="I260" s="61"/>
      <c r="J260" s="61"/>
      <c r="K260" s="62"/>
      <c r="L260" s="10" t="str">
        <f t="shared" si="39"/>
        <v/>
      </c>
      <c r="M260" s="10" t="str">
        <f t="shared" si="40"/>
        <v/>
      </c>
      <c r="N260" s="11" t="str">
        <f t="shared" si="43"/>
        <v/>
      </c>
      <c r="O260" s="10" t="str">
        <f t="shared" si="44"/>
        <v/>
      </c>
      <c r="P260" s="39" t="str">
        <f t="shared" si="45"/>
        <v/>
      </c>
      <c r="Q260" s="13" t="str">
        <f t="shared" si="41"/>
        <v/>
      </c>
      <c r="R260" s="13" t="str">
        <f t="shared" si="46"/>
        <v/>
      </c>
      <c r="S260" s="13" t="str">
        <f t="shared" si="42"/>
        <v/>
      </c>
      <c r="T260" s="22" t="str">
        <f>IF(R260&lt;&gt;"",VLOOKUP(P260,Constants!$D$3:$E$10,2),"")</f>
        <v/>
      </c>
    </row>
    <row r="261" spans="2:20" x14ac:dyDescent="0.25">
      <c r="B261" s="59"/>
      <c r="C261" s="59"/>
      <c r="D261" s="60"/>
      <c r="E261" s="59"/>
      <c r="F261" s="59" t="str">
        <f t="shared" si="38"/>
        <v/>
      </c>
      <c r="G261" s="59"/>
      <c r="H261" s="61"/>
      <c r="I261" s="61"/>
      <c r="J261" s="61"/>
      <c r="K261" s="62"/>
      <c r="L261" s="10" t="str">
        <f t="shared" si="39"/>
        <v/>
      </c>
      <c r="M261" s="10" t="str">
        <f t="shared" si="40"/>
        <v/>
      </c>
      <c r="N261" s="11" t="str">
        <f t="shared" si="43"/>
        <v/>
      </c>
      <c r="O261" s="10" t="str">
        <f t="shared" si="44"/>
        <v/>
      </c>
      <c r="P261" s="39" t="str">
        <f t="shared" si="45"/>
        <v/>
      </c>
      <c r="Q261" s="13" t="str">
        <f t="shared" si="41"/>
        <v/>
      </c>
      <c r="R261" s="13" t="str">
        <f t="shared" si="46"/>
        <v/>
      </c>
      <c r="S261" s="13" t="str">
        <f t="shared" si="42"/>
        <v/>
      </c>
      <c r="T261" s="22" t="str">
        <f>IF(R261&lt;&gt;"",VLOOKUP(P261,Constants!$D$3:$E$10,2),"")</f>
        <v/>
      </c>
    </row>
    <row r="262" spans="2:20" x14ac:dyDescent="0.25">
      <c r="B262" s="59"/>
      <c r="C262" s="59"/>
      <c r="D262" s="60"/>
      <c r="E262" s="59"/>
      <c r="F262" s="59" t="str">
        <f t="shared" si="38"/>
        <v/>
      </c>
      <c r="G262" s="59"/>
      <c r="H262" s="61"/>
      <c r="I262" s="61"/>
      <c r="J262" s="61"/>
      <c r="K262" s="62"/>
      <c r="L262" s="10" t="str">
        <f t="shared" si="39"/>
        <v/>
      </c>
      <c r="M262" s="10" t="str">
        <f t="shared" si="40"/>
        <v/>
      </c>
      <c r="N262" s="11" t="str">
        <f t="shared" si="43"/>
        <v/>
      </c>
      <c r="O262" s="10" t="str">
        <f t="shared" si="44"/>
        <v/>
      </c>
      <c r="P262" s="39" t="str">
        <f t="shared" si="45"/>
        <v/>
      </c>
      <c r="Q262" s="13" t="str">
        <f t="shared" si="41"/>
        <v/>
      </c>
      <c r="R262" s="13" t="str">
        <f t="shared" si="46"/>
        <v/>
      </c>
      <c r="S262" s="13" t="str">
        <f t="shared" si="42"/>
        <v/>
      </c>
      <c r="T262" s="22" t="str">
        <f>IF(R262&lt;&gt;"",VLOOKUP(P262,Constants!$D$3:$E$10,2),"")</f>
        <v/>
      </c>
    </row>
    <row r="263" spans="2:20" x14ac:dyDescent="0.25">
      <c r="B263" s="59"/>
      <c r="C263" s="59"/>
      <c r="D263" s="60"/>
      <c r="E263" s="59"/>
      <c r="F263" s="59" t="str">
        <f t="shared" si="38"/>
        <v/>
      </c>
      <c r="G263" s="59"/>
      <c r="H263" s="61"/>
      <c r="I263" s="61"/>
      <c r="J263" s="61"/>
      <c r="K263" s="62"/>
      <c r="L263" s="10" t="str">
        <f t="shared" si="39"/>
        <v/>
      </c>
      <c r="M263" s="10" t="str">
        <f t="shared" si="40"/>
        <v/>
      </c>
      <c r="N263" s="11" t="str">
        <f t="shared" si="43"/>
        <v/>
      </c>
      <c r="O263" s="10" t="str">
        <f t="shared" si="44"/>
        <v/>
      </c>
      <c r="P263" s="39" t="str">
        <f t="shared" si="45"/>
        <v/>
      </c>
      <c r="Q263" s="13" t="str">
        <f t="shared" si="41"/>
        <v/>
      </c>
      <c r="R263" s="13" t="str">
        <f t="shared" si="46"/>
        <v/>
      </c>
      <c r="S263" s="13" t="str">
        <f t="shared" si="42"/>
        <v/>
      </c>
      <c r="T263" s="22" t="str">
        <f>IF(R263&lt;&gt;"",VLOOKUP(P263,Constants!$D$3:$E$10,2),"")</f>
        <v/>
      </c>
    </row>
    <row r="264" spans="2:20" x14ac:dyDescent="0.25">
      <c r="B264" s="59"/>
      <c r="C264" s="59"/>
      <c r="D264" s="60"/>
      <c r="E264" s="59"/>
      <c r="F264" s="59" t="str">
        <f t="shared" ref="F264:F327" si="47">IF($D264&lt;&gt;"",1,"")</f>
        <v/>
      </c>
      <c r="G264" s="59"/>
      <c r="H264" s="61"/>
      <c r="I264" s="61"/>
      <c r="J264" s="61"/>
      <c r="K264" s="62"/>
      <c r="L264" s="10" t="str">
        <f t="shared" ref="L264:L327" si="48">IF($D264&lt;&gt;"",$D264*$E264/1000,"")</f>
        <v/>
      </c>
      <c r="M264" s="10" t="str">
        <f t="shared" ref="M264:M327" si="49">IF($D264&lt;&gt;"",$D264*$F264/1000,"")</f>
        <v/>
      </c>
      <c r="N264" s="11" t="str">
        <f t="shared" si="43"/>
        <v/>
      </c>
      <c r="O264" s="10" t="str">
        <f t="shared" si="44"/>
        <v/>
      </c>
      <c r="P264" s="39" t="str">
        <f t="shared" si="45"/>
        <v/>
      </c>
      <c r="Q264" s="13" t="str">
        <f t="shared" ref="Q264:Q327" si="50">IF(F264&lt;&gt;"",F264*E264/1000,"")</f>
        <v/>
      </c>
      <c r="R264" s="13" t="str">
        <f t="shared" si="46"/>
        <v/>
      </c>
      <c r="S264" s="13" t="str">
        <f t="shared" ref="S264:S327" si="51">IF(R264&lt;&gt;"",Q264/R264*1000,"")</f>
        <v/>
      </c>
      <c r="T264" s="22" t="str">
        <f>IF(R264&lt;&gt;"",VLOOKUP(P264,Constants!$D$3:$E$10,2),"")</f>
        <v/>
      </c>
    </row>
    <row r="265" spans="2:20" x14ac:dyDescent="0.25">
      <c r="B265" s="59"/>
      <c r="C265" s="59"/>
      <c r="D265" s="60"/>
      <c r="E265" s="59"/>
      <c r="F265" s="59" t="str">
        <f t="shared" si="47"/>
        <v/>
      </c>
      <c r="G265" s="59"/>
      <c r="H265" s="61"/>
      <c r="I265" s="61"/>
      <c r="J265" s="61"/>
      <c r="K265" s="62"/>
      <c r="L265" s="10" t="str">
        <f t="shared" si="48"/>
        <v/>
      </c>
      <c r="M265" s="10" t="str">
        <f t="shared" si="49"/>
        <v/>
      </c>
      <c r="N265" s="11" t="str">
        <f t="shared" si="43"/>
        <v/>
      </c>
      <c r="O265" s="10" t="str">
        <f t="shared" si="44"/>
        <v/>
      </c>
      <c r="P265" s="39" t="str">
        <f t="shared" si="45"/>
        <v/>
      </c>
      <c r="Q265" s="13" t="str">
        <f t="shared" si="50"/>
        <v/>
      </c>
      <c r="R265" s="13" t="str">
        <f t="shared" si="46"/>
        <v/>
      </c>
      <c r="S265" s="13" t="str">
        <f t="shared" si="51"/>
        <v/>
      </c>
      <c r="T265" s="22" t="str">
        <f>IF(R265&lt;&gt;"",VLOOKUP(P265,Constants!$D$3:$E$10,2),"")</f>
        <v/>
      </c>
    </row>
    <row r="266" spans="2:20" x14ac:dyDescent="0.25">
      <c r="B266" s="59"/>
      <c r="C266" s="59"/>
      <c r="D266" s="60"/>
      <c r="E266" s="59"/>
      <c r="F266" s="59" t="str">
        <f t="shared" si="47"/>
        <v/>
      </c>
      <c r="G266" s="59"/>
      <c r="H266" s="61"/>
      <c r="I266" s="61"/>
      <c r="J266" s="61"/>
      <c r="K266" s="62"/>
      <c r="L266" s="10" t="str">
        <f t="shared" si="48"/>
        <v/>
      </c>
      <c r="M266" s="10" t="str">
        <f t="shared" si="49"/>
        <v/>
      </c>
      <c r="N266" s="11" t="str">
        <f t="shared" si="43"/>
        <v/>
      </c>
      <c r="O266" s="10" t="str">
        <f t="shared" si="44"/>
        <v/>
      </c>
      <c r="P266" s="39" t="str">
        <f t="shared" si="45"/>
        <v/>
      </c>
      <c r="Q266" s="13" t="str">
        <f t="shared" si="50"/>
        <v/>
      </c>
      <c r="R266" s="13" t="str">
        <f t="shared" si="46"/>
        <v/>
      </c>
      <c r="S266" s="13" t="str">
        <f t="shared" si="51"/>
        <v/>
      </c>
      <c r="T266" s="22" t="str">
        <f>IF(R266&lt;&gt;"",VLOOKUP(P266,Constants!$D$3:$E$10,2),"")</f>
        <v/>
      </c>
    </row>
    <row r="267" spans="2:20" x14ac:dyDescent="0.25">
      <c r="B267" s="59"/>
      <c r="C267" s="59"/>
      <c r="D267" s="60"/>
      <c r="E267" s="59"/>
      <c r="F267" s="59" t="str">
        <f t="shared" si="47"/>
        <v/>
      </c>
      <c r="G267" s="59"/>
      <c r="H267" s="61"/>
      <c r="I267" s="61"/>
      <c r="J267" s="61"/>
      <c r="K267" s="62"/>
      <c r="L267" s="10" t="str">
        <f t="shared" si="48"/>
        <v/>
      </c>
      <c r="M267" s="10" t="str">
        <f t="shared" si="49"/>
        <v/>
      </c>
      <c r="N267" s="11" t="str">
        <f t="shared" si="43"/>
        <v/>
      </c>
      <c r="O267" s="10" t="str">
        <f t="shared" si="44"/>
        <v/>
      </c>
      <c r="P267" s="39" t="str">
        <f t="shared" si="45"/>
        <v/>
      </c>
      <c r="Q267" s="13" t="str">
        <f t="shared" si="50"/>
        <v/>
      </c>
      <c r="R267" s="13" t="str">
        <f t="shared" si="46"/>
        <v/>
      </c>
      <c r="S267" s="13" t="str">
        <f t="shared" si="51"/>
        <v/>
      </c>
      <c r="T267" s="22" t="str">
        <f>IF(R267&lt;&gt;"",VLOOKUP(P267,Constants!$D$3:$E$10,2),"")</f>
        <v/>
      </c>
    </row>
    <row r="268" spans="2:20" x14ac:dyDescent="0.25">
      <c r="B268" s="59"/>
      <c r="C268" s="59"/>
      <c r="D268" s="60"/>
      <c r="E268" s="59"/>
      <c r="F268" s="59" t="str">
        <f t="shared" si="47"/>
        <v/>
      </c>
      <c r="G268" s="59"/>
      <c r="H268" s="61"/>
      <c r="I268" s="61"/>
      <c r="J268" s="61"/>
      <c r="K268" s="62"/>
      <c r="L268" s="10" t="str">
        <f t="shared" si="48"/>
        <v/>
      </c>
      <c r="M268" s="10" t="str">
        <f t="shared" si="49"/>
        <v/>
      </c>
      <c r="N268" s="11" t="str">
        <f t="shared" si="43"/>
        <v/>
      </c>
      <c r="O268" s="10" t="str">
        <f t="shared" si="44"/>
        <v/>
      </c>
      <c r="P268" s="39" t="str">
        <f t="shared" si="45"/>
        <v/>
      </c>
      <c r="Q268" s="13" t="str">
        <f t="shared" si="50"/>
        <v/>
      </c>
      <c r="R268" s="13" t="str">
        <f t="shared" si="46"/>
        <v/>
      </c>
      <c r="S268" s="13" t="str">
        <f t="shared" si="51"/>
        <v/>
      </c>
      <c r="T268" s="22" t="str">
        <f>IF(R268&lt;&gt;"",VLOOKUP(P268,Constants!$D$3:$E$10,2),"")</f>
        <v/>
      </c>
    </row>
    <row r="269" spans="2:20" x14ac:dyDescent="0.25">
      <c r="B269" s="59"/>
      <c r="C269" s="59"/>
      <c r="D269" s="60"/>
      <c r="E269" s="59"/>
      <c r="F269" s="59" t="str">
        <f t="shared" si="47"/>
        <v/>
      </c>
      <c r="G269" s="59"/>
      <c r="H269" s="61"/>
      <c r="I269" s="61"/>
      <c r="J269" s="61"/>
      <c r="K269" s="62"/>
      <c r="L269" s="10" t="str">
        <f t="shared" si="48"/>
        <v/>
      </c>
      <c r="M269" s="10" t="str">
        <f t="shared" si="49"/>
        <v/>
      </c>
      <c r="N269" s="11" t="str">
        <f t="shared" si="43"/>
        <v/>
      </c>
      <c r="O269" s="10" t="str">
        <f t="shared" si="44"/>
        <v/>
      </c>
      <c r="P269" s="39" t="str">
        <f t="shared" si="45"/>
        <v/>
      </c>
      <c r="Q269" s="13" t="str">
        <f t="shared" si="50"/>
        <v/>
      </c>
      <c r="R269" s="13" t="str">
        <f t="shared" si="46"/>
        <v/>
      </c>
      <c r="S269" s="13" t="str">
        <f t="shared" si="51"/>
        <v/>
      </c>
      <c r="T269" s="22" t="str">
        <f>IF(R269&lt;&gt;"",VLOOKUP(P269,Constants!$D$3:$E$10,2),"")</f>
        <v/>
      </c>
    </row>
    <row r="270" spans="2:20" x14ac:dyDescent="0.25">
      <c r="B270" s="59"/>
      <c r="C270" s="59"/>
      <c r="D270" s="60"/>
      <c r="E270" s="59"/>
      <c r="F270" s="59" t="str">
        <f t="shared" si="47"/>
        <v/>
      </c>
      <c r="G270" s="59"/>
      <c r="H270" s="61"/>
      <c r="I270" s="61"/>
      <c r="J270" s="61"/>
      <c r="K270" s="62"/>
      <c r="L270" s="10" t="str">
        <f t="shared" si="48"/>
        <v/>
      </c>
      <c r="M270" s="10" t="str">
        <f t="shared" si="49"/>
        <v/>
      </c>
      <c r="N270" s="11" t="str">
        <f t="shared" si="43"/>
        <v/>
      </c>
      <c r="O270" s="10" t="str">
        <f t="shared" si="44"/>
        <v/>
      </c>
      <c r="P270" s="39" t="str">
        <f t="shared" si="45"/>
        <v/>
      </c>
      <c r="Q270" s="13" t="str">
        <f t="shared" si="50"/>
        <v/>
      </c>
      <c r="R270" s="13" t="str">
        <f t="shared" si="46"/>
        <v/>
      </c>
      <c r="S270" s="13" t="str">
        <f t="shared" si="51"/>
        <v/>
      </c>
      <c r="T270" s="22" t="str">
        <f>IF(R270&lt;&gt;"",VLOOKUP(P270,Constants!$D$3:$E$10,2),"")</f>
        <v/>
      </c>
    </row>
    <row r="271" spans="2:20" x14ac:dyDescent="0.25">
      <c r="B271" s="59"/>
      <c r="C271" s="59"/>
      <c r="D271" s="60"/>
      <c r="E271" s="59"/>
      <c r="F271" s="59" t="str">
        <f t="shared" si="47"/>
        <v/>
      </c>
      <c r="G271" s="59"/>
      <c r="H271" s="61"/>
      <c r="I271" s="61"/>
      <c r="J271" s="61"/>
      <c r="K271" s="62"/>
      <c r="L271" s="10" t="str">
        <f t="shared" si="48"/>
        <v/>
      </c>
      <c r="M271" s="10" t="str">
        <f t="shared" si="49"/>
        <v/>
      </c>
      <c r="N271" s="11" t="str">
        <f t="shared" si="43"/>
        <v/>
      </c>
      <c r="O271" s="10" t="str">
        <f t="shared" si="44"/>
        <v/>
      </c>
      <c r="P271" s="39" t="str">
        <f t="shared" si="45"/>
        <v/>
      </c>
      <c r="Q271" s="13" t="str">
        <f t="shared" si="50"/>
        <v/>
      </c>
      <c r="R271" s="13" t="str">
        <f t="shared" si="46"/>
        <v/>
      </c>
      <c r="S271" s="13" t="str">
        <f t="shared" si="51"/>
        <v/>
      </c>
      <c r="T271" s="22" t="str">
        <f>IF(R271&lt;&gt;"",VLOOKUP(P271,Constants!$D$3:$E$10,2),"")</f>
        <v/>
      </c>
    </row>
    <row r="272" spans="2:20" x14ac:dyDescent="0.25">
      <c r="B272" s="59"/>
      <c r="C272" s="59"/>
      <c r="D272" s="60"/>
      <c r="E272" s="59"/>
      <c r="F272" s="59" t="str">
        <f t="shared" si="47"/>
        <v/>
      </c>
      <c r="G272" s="59"/>
      <c r="H272" s="61"/>
      <c r="I272" s="61"/>
      <c r="J272" s="61"/>
      <c r="K272" s="62"/>
      <c r="L272" s="10" t="str">
        <f t="shared" si="48"/>
        <v/>
      </c>
      <c r="M272" s="10" t="str">
        <f t="shared" si="49"/>
        <v/>
      </c>
      <c r="N272" s="11" t="str">
        <f t="shared" ref="N272:N335" si="52">IF($L272&lt;&gt;"",SQRT($L272*$L272+$M272*$M272),"")</f>
        <v/>
      </c>
      <c r="O272" s="10" t="str">
        <f t="shared" si="44"/>
        <v/>
      </c>
      <c r="P272" s="39" t="str">
        <f t="shared" si="45"/>
        <v/>
      </c>
      <c r="Q272" s="13" t="str">
        <f t="shared" si="50"/>
        <v/>
      </c>
      <c r="R272" s="13" t="str">
        <f t="shared" si="46"/>
        <v/>
      </c>
      <c r="S272" s="13" t="str">
        <f t="shared" si="51"/>
        <v/>
      </c>
      <c r="T272" s="22" t="str">
        <f>IF(R272&lt;&gt;"",VLOOKUP(P272,Constants!$D$3:$E$10,2),"")</f>
        <v/>
      </c>
    </row>
    <row r="273" spans="2:20" x14ac:dyDescent="0.25">
      <c r="B273" s="59"/>
      <c r="C273" s="59"/>
      <c r="D273" s="60"/>
      <c r="E273" s="59"/>
      <c r="F273" s="59" t="str">
        <f t="shared" si="47"/>
        <v/>
      </c>
      <c r="G273" s="59"/>
      <c r="H273" s="61"/>
      <c r="I273" s="61"/>
      <c r="J273" s="61"/>
      <c r="K273" s="62"/>
      <c r="L273" s="10" t="str">
        <f t="shared" si="48"/>
        <v/>
      </c>
      <c r="M273" s="10" t="str">
        <f t="shared" si="49"/>
        <v/>
      </c>
      <c r="N273" s="11" t="str">
        <f t="shared" si="52"/>
        <v/>
      </c>
      <c r="O273" s="10" t="str">
        <f t="shared" si="44"/>
        <v/>
      </c>
      <c r="P273" s="39" t="str">
        <f t="shared" si="45"/>
        <v/>
      </c>
      <c r="Q273" s="13" t="str">
        <f t="shared" si="50"/>
        <v/>
      </c>
      <c r="R273" s="13" t="str">
        <f t="shared" si="46"/>
        <v/>
      </c>
      <c r="S273" s="13" t="str">
        <f t="shared" si="51"/>
        <v/>
      </c>
      <c r="T273" s="22" t="str">
        <f>IF(R273&lt;&gt;"",VLOOKUP(P273,Constants!$D$3:$E$10,2),"")</f>
        <v/>
      </c>
    </row>
    <row r="274" spans="2:20" x14ac:dyDescent="0.25">
      <c r="B274" s="59"/>
      <c r="C274" s="59"/>
      <c r="D274" s="60"/>
      <c r="E274" s="59"/>
      <c r="F274" s="59" t="str">
        <f t="shared" si="47"/>
        <v/>
      </c>
      <c r="G274" s="59"/>
      <c r="H274" s="61"/>
      <c r="I274" s="61"/>
      <c r="J274" s="61"/>
      <c r="K274" s="62"/>
      <c r="L274" s="10" t="str">
        <f t="shared" si="48"/>
        <v/>
      </c>
      <c r="M274" s="10" t="str">
        <f t="shared" si="49"/>
        <v/>
      </c>
      <c r="N274" s="11" t="str">
        <f t="shared" si="52"/>
        <v/>
      </c>
      <c r="O274" s="10" t="str">
        <f t="shared" si="44"/>
        <v/>
      </c>
      <c r="P274" s="39" t="str">
        <f t="shared" si="45"/>
        <v/>
      </c>
      <c r="Q274" s="13" t="str">
        <f t="shared" si="50"/>
        <v/>
      </c>
      <c r="R274" s="13" t="str">
        <f t="shared" si="46"/>
        <v/>
      </c>
      <c r="S274" s="13" t="str">
        <f t="shared" si="51"/>
        <v/>
      </c>
      <c r="T274" s="22" t="str">
        <f>IF(R274&lt;&gt;"",VLOOKUP(P274,Constants!$D$3:$E$10,2),"")</f>
        <v/>
      </c>
    </row>
    <row r="275" spans="2:20" x14ac:dyDescent="0.25">
      <c r="B275" s="59"/>
      <c r="C275" s="59"/>
      <c r="D275" s="60"/>
      <c r="E275" s="59"/>
      <c r="F275" s="59" t="str">
        <f t="shared" si="47"/>
        <v/>
      </c>
      <c r="G275" s="59"/>
      <c r="H275" s="61"/>
      <c r="I275" s="61"/>
      <c r="J275" s="61"/>
      <c r="K275" s="62"/>
      <c r="L275" s="10" t="str">
        <f t="shared" si="48"/>
        <v/>
      </c>
      <c r="M275" s="10" t="str">
        <f t="shared" si="49"/>
        <v/>
      </c>
      <c r="N275" s="11" t="str">
        <f t="shared" si="52"/>
        <v/>
      </c>
      <c r="O275" s="10" t="str">
        <f t="shared" si="44"/>
        <v/>
      </c>
      <c r="P275" s="39" t="str">
        <f t="shared" si="45"/>
        <v/>
      </c>
      <c r="Q275" s="13" t="str">
        <f t="shared" si="50"/>
        <v/>
      </c>
      <c r="R275" s="13" t="str">
        <f t="shared" si="46"/>
        <v/>
      </c>
      <c r="S275" s="13" t="str">
        <f t="shared" si="51"/>
        <v/>
      </c>
      <c r="T275" s="22" t="str">
        <f>IF(R275&lt;&gt;"",VLOOKUP(P275,Constants!$D$3:$E$10,2),"")</f>
        <v/>
      </c>
    </row>
    <row r="276" spans="2:20" x14ac:dyDescent="0.25">
      <c r="B276" s="59"/>
      <c r="C276" s="59"/>
      <c r="D276" s="60"/>
      <c r="E276" s="59"/>
      <c r="F276" s="59" t="str">
        <f t="shared" si="47"/>
        <v/>
      </c>
      <c r="G276" s="59"/>
      <c r="H276" s="61"/>
      <c r="I276" s="61"/>
      <c r="J276" s="61"/>
      <c r="K276" s="62"/>
      <c r="L276" s="10" t="str">
        <f t="shared" si="48"/>
        <v/>
      </c>
      <c r="M276" s="10" t="str">
        <f t="shared" si="49"/>
        <v/>
      </c>
      <c r="N276" s="11" t="str">
        <f t="shared" si="52"/>
        <v/>
      </c>
      <c r="O276" s="10" t="str">
        <f t="shared" si="44"/>
        <v/>
      </c>
      <c r="P276" s="39" t="str">
        <f t="shared" si="45"/>
        <v/>
      </c>
      <c r="Q276" s="13" t="str">
        <f t="shared" si="50"/>
        <v/>
      </c>
      <c r="R276" s="13" t="str">
        <f t="shared" si="46"/>
        <v/>
      </c>
      <c r="S276" s="13" t="str">
        <f t="shared" si="51"/>
        <v/>
      </c>
      <c r="T276" s="22" t="str">
        <f>IF(R276&lt;&gt;"",VLOOKUP(P276,Constants!$D$3:$E$10,2),"")</f>
        <v/>
      </c>
    </row>
    <row r="277" spans="2:20" x14ac:dyDescent="0.25">
      <c r="B277" s="59"/>
      <c r="C277" s="59"/>
      <c r="D277" s="60"/>
      <c r="E277" s="59"/>
      <c r="F277" s="59" t="str">
        <f t="shared" si="47"/>
        <v/>
      </c>
      <c r="G277" s="59"/>
      <c r="H277" s="61"/>
      <c r="I277" s="61"/>
      <c r="J277" s="61"/>
      <c r="K277" s="62"/>
      <c r="L277" s="10" t="str">
        <f t="shared" si="48"/>
        <v/>
      </c>
      <c r="M277" s="10" t="str">
        <f t="shared" si="49"/>
        <v/>
      </c>
      <c r="N277" s="11" t="str">
        <f t="shared" si="52"/>
        <v/>
      </c>
      <c r="O277" s="10" t="str">
        <f t="shared" si="44"/>
        <v/>
      </c>
      <c r="P277" s="39" t="str">
        <f t="shared" si="45"/>
        <v/>
      </c>
      <c r="Q277" s="13" t="str">
        <f t="shared" si="50"/>
        <v/>
      </c>
      <c r="R277" s="13" t="str">
        <f t="shared" si="46"/>
        <v/>
      </c>
      <c r="S277" s="13" t="str">
        <f t="shared" si="51"/>
        <v/>
      </c>
      <c r="T277" s="22" t="str">
        <f>IF(R277&lt;&gt;"",VLOOKUP(P277,Constants!$D$3:$E$10,2),"")</f>
        <v/>
      </c>
    </row>
    <row r="278" spans="2:20" x14ac:dyDescent="0.25">
      <c r="B278" s="59"/>
      <c r="C278" s="59"/>
      <c r="D278" s="60"/>
      <c r="E278" s="59"/>
      <c r="F278" s="59" t="str">
        <f t="shared" si="47"/>
        <v/>
      </c>
      <c r="G278" s="59"/>
      <c r="H278" s="61"/>
      <c r="I278" s="61"/>
      <c r="J278" s="61"/>
      <c r="K278" s="62"/>
      <c r="L278" s="10" t="str">
        <f t="shared" si="48"/>
        <v/>
      </c>
      <c r="M278" s="10" t="str">
        <f t="shared" si="49"/>
        <v/>
      </c>
      <c r="N278" s="11" t="str">
        <f t="shared" si="52"/>
        <v/>
      </c>
      <c r="O278" s="10" t="str">
        <f t="shared" si="44"/>
        <v/>
      </c>
      <c r="P278" s="39" t="str">
        <f t="shared" si="45"/>
        <v/>
      </c>
      <c r="Q278" s="13" t="str">
        <f t="shared" si="50"/>
        <v/>
      </c>
      <c r="R278" s="13" t="str">
        <f t="shared" si="46"/>
        <v/>
      </c>
      <c r="S278" s="13" t="str">
        <f t="shared" si="51"/>
        <v/>
      </c>
      <c r="T278" s="22" t="str">
        <f>IF(R278&lt;&gt;"",VLOOKUP(P278,Constants!$D$3:$E$10,2),"")</f>
        <v/>
      </c>
    </row>
    <row r="279" spans="2:20" x14ac:dyDescent="0.25">
      <c r="B279" s="59"/>
      <c r="C279" s="59"/>
      <c r="D279" s="60"/>
      <c r="E279" s="59"/>
      <c r="F279" s="59" t="str">
        <f t="shared" si="47"/>
        <v/>
      </c>
      <c r="G279" s="59"/>
      <c r="H279" s="61"/>
      <c r="I279" s="61"/>
      <c r="J279" s="61"/>
      <c r="K279" s="62"/>
      <c r="L279" s="10" t="str">
        <f t="shared" si="48"/>
        <v/>
      </c>
      <c r="M279" s="10" t="str">
        <f t="shared" si="49"/>
        <v/>
      </c>
      <c r="N279" s="11" t="str">
        <f t="shared" si="52"/>
        <v/>
      </c>
      <c r="O279" s="10" t="str">
        <f t="shared" ref="O279:O342" si="53">IF(D279&lt;&gt;"",1000/(2*D279),"")</f>
        <v/>
      </c>
      <c r="P279" s="39" t="str">
        <f t="shared" ref="P279:P342" si="54">IF($N279&lt;&gt;"",D279*SQRT(E279*E279+F279*F279)/16000,"")</f>
        <v/>
      </c>
      <c r="Q279" s="13" t="str">
        <f t="shared" si="50"/>
        <v/>
      </c>
      <c r="R279" s="13" t="str">
        <f t="shared" ref="R279:R342" si="55">IF(G279&lt;&gt;"",1000/G279,"")</f>
        <v/>
      </c>
      <c r="S279" s="13" t="str">
        <f t="shared" si="51"/>
        <v/>
      </c>
      <c r="T279" s="22" t="str">
        <f>IF(R279&lt;&gt;"",VLOOKUP(P279,Constants!$D$3:$E$10,2),"")</f>
        <v/>
      </c>
    </row>
    <row r="280" spans="2:20" x14ac:dyDescent="0.25">
      <c r="B280" s="59"/>
      <c r="C280" s="59"/>
      <c r="D280" s="60"/>
      <c r="E280" s="59"/>
      <c r="F280" s="59" t="str">
        <f t="shared" si="47"/>
        <v/>
      </c>
      <c r="G280" s="59"/>
      <c r="H280" s="61"/>
      <c r="I280" s="61"/>
      <c r="J280" s="61"/>
      <c r="K280" s="62"/>
      <c r="L280" s="10" t="str">
        <f t="shared" si="48"/>
        <v/>
      </c>
      <c r="M280" s="10" t="str">
        <f t="shared" si="49"/>
        <v/>
      </c>
      <c r="N280" s="11" t="str">
        <f t="shared" si="52"/>
        <v/>
      </c>
      <c r="O280" s="10" t="str">
        <f t="shared" si="53"/>
        <v/>
      </c>
      <c r="P280" s="39" t="str">
        <f t="shared" si="54"/>
        <v/>
      </c>
      <c r="Q280" s="13" t="str">
        <f t="shared" si="50"/>
        <v/>
      </c>
      <c r="R280" s="13" t="str">
        <f t="shared" si="55"/>
        <v/>
      </c>
      <c r="S280" s="13" t="str">
        <f t="shared" si="51"/>
        <v/>
      </c>
      <c r="T280" s="22" t="str">
        <f>IF(R280&lt;&gt;"",VLOOKUP(P280,Constants!$D$3:$E$10,2),"")</f>
        <v/>
      </c>
    </row>
    <row r="281" spans="2:20" x14ac:dyDescent="0.25">
      <c r="B281" s="59"/>
      <c r="C281" s="59"/>
      <c r="D281" s="60"/>
      <c r="E281" s="59"/>
      <c r="F281" s="59" t="str">
        <f t="shared" si="47"/>
        <v/>
      </c>
      <c r="G281" s="59"/>
      <c r="H281" s="61"/>
      <c r="I281" s="61"/>
      <c r="J281" s="61"/>
      <c r="K281" s="62"/>
      <c r="L281" s="10" t="str">
        <f t="shared" si="48"/>
        <v/>
      </c>
      <c r="M281" s="10" t="str">
        <f t="shared" si="49"/>
        <v/>
      </c>
      <c r="N281" s="11" t="str">
        <f t="shared" si="52"/>
        <v/>
      </c>
      <c r="O281" s="10" t="str">
        <f t="shared" si="53"/>
        <v/>
      </c>
      <c r="P281" s="39" t="str">
        <f t="shared" si="54"/>
        <v/>
      </c>
      <c r="Q281" s="13" t="str">
        <f t="shared" si="50"/>
        <v/>
      </c>
      <c r="R281" s="13" t="str">
        <f t="shared" si="55"/>
        <v/>
      </c>
      <c r="S281" s="13" t="str">
        <f t="shared" si="51"/>
        <v/>
      </c>
      <c r="T281" s="22" t="str">
        <f>IF(R281&lt;&gt;"",VLOOKUP(P281,Constants!$D$3:$E$10,2),"")</f>
        <v/>
      </c>
    </row>
    <row r="282" spans="2:20" x14ac:dyDescent="0.25">
      <c r="B282" s="59"/>
      <c r="C282" s="59"/>
      <c r="D282" s="60"/>
      <c r="E282" s="59"/>
      <c r="F282" s="59" t="str">
        <f t="shared" si="47"/>
        <v/>
      </c>
      <c r="G282" s="59"/>
      <c r="H282" s="61"/>
      <c r="I282" s="61"/>
      <c r="J282" s="61"/>
      <c r="K282" s="62"/>
      <c r="L282" s="10" t="str">
        <f t="shared" si="48"/>
        <v/>
      </c>
      <c r="M282" s="10" t="str">
        <f t="shared" si="49"/>
        <v/>
      </c>
      <c r="N282" s="11" t="str">
        <f t="shared" si="52"/>
        <v/>
      </c>
      <c r="O282" s="10" t="str">
        <f t="shared" si="53"/>
        <v/>
      </c>
      <c r="P282" s="39" t="str">
        <f t="shared" si="54"/>
        <v/>
      </c>
      <c r="Q282" s="13" t="str">
        <f t="shared" si="50"/>
        <v/>
      </c>
      <c r="R282" s="13" t="str">
        <f t="shared" si="55"/>
        <v/>
      </c>
      <c r="S282" s="13" t="str">
        <f t="shared" si="51"/>
        <v/>
      </c>
      <c r="T282" s="22" t="str">
        <f>IF(R282&lt;&gt;"",VLOOKUP(P282,Constants!$D$3:$E$10,2),"")</f>
        <v/>
      </c>
    </row>
    <row r="283" spans="2:20" x14ac:dyDescent="0.25">
      <c r="B283" s="59"/>
      <c r="C283" s="59"/>
      <c r="D283" s="60"/>
      <c r="E283" s="59"/>
      <c r="F283" s="59" t="str">
        <f t="shared" si="47"/>
        <v/>
      </c>
      <c r="G283" s="59"/>
      <c r="H283" s="61"/>
      <c r="I283" s="61"/>
      <c r="J283" s="61"/>
      <c r="K283" s="62"/>
      <c r="L283" s="10" t="str">
        <f t="shared" si="48"/>
        <v/>
      </c>
      <c r="M283" s="10" t="str">
        <f t="shared" si="49"/>
        <v/>
      </c>
      <c r="N283" s="11" t="str">
        <f t="shared" si="52"/>
        <v/>
      </c>
      <c r="O283" s="10" t="str">
        <f t="shared" si="53"/>
        <v/>
      </c>
      <c r="P283" s="39" t="str">
        <f t="shared" si="54"/>
        <v/>
      </c>
      <c r="Q283" s="13" t="str">
        <f t="shared" si="50"/>
        <v/>
      </c>
      <c r="R283" s="13" t="str">
        <f t="shared" si="55"/>
        <v/>
      </c>
      <c r="S283" s="13" t="str">
        <f t="shared" si="51"/>
        <v/>
      </c>
      <c r="T283" s="22" t="str">
        <f>IF(R283&lt;&gt;"",VLOOKUP(P283,Constants!$D$3:$E$10,2),"")</f>
        <v/>
      </c>
    </row>
    <row r="284" spans="2:20" x14ac:dyDescent="0.25">
      <c r="B284" s="59"/>
      <c r="C284" s="59"/>
      <c r="D284" s="60"/>
      <c r="E284" s="59"/>
      <c r="F284" s="59" t="str">
        <f t="shared" si="47"/>
        <v/>
      </c>
      <c r="G284" s="59"/>
      <c r="H284" s="61"/>
      <c r="I284" s="61"/>
      <c r="J284" s="61"/>
      <c r="K284" s="62"/>
      <c r="L284" s="10" t="str">
        <f t="shared" si="48"/>
        <v/>
      </c>
      <c r="M284" s="10" t="str">
        <f t="shared" si="49"/>
        <v/>
      </c>
      <c r="N284" s="11" t="str">
        <f t="shared" si="52"/>
        <v/>
      </c>
      <c r="O284" s="10" t="str">
        <f t="shared" si="53"/>
        <v/>
      </c>
      <c r="P284" s="39" t="str">
        <f t="shared" si="54"/>
        <v/>
      </c>
      <c r="Q284" s="13" t="str">
        <f t="shared" si="50"/>
        <v/>
      </c>
      <c r="R284" s="13" t="str">
        <f t="shared" si="55"/>
        <v/>
      </c>
      <c r="S284" s="13" t="str">
        <f t="shared" si="51"/>
        <v/>
      </c>
      <c r="T284" s="22" t="str">
        <f>IF(R284&lt;&gt;"",VLOOKUP(P284,Constants!$D$3:$E$10,2),"")</f>
        <v/>
      </c>
    </row>
    <row r="285" spans="2:20" x14ac:dyDescent="0.25">
      <c r="B285" s="59"/>
      <c r="C285" s="59"/>
      <c r="D285" s="60"/>
      <c r="E285" s="59"/>
      <c r="F285" s="59" t="str">
        <f t="shared" si="47"/>
        <v/>
      </c>
      <c r="G285" s="59"/>
      <c r="H285" s="61"/>
      <c r="I285" s="61"/>
      <c r="J285" s="61"/>
      <c r="K285" s="62"/>
      <c r="L285" s="10" t="str">
        <f t="shared" si="48"/>
        <v/>
      </c>
      <c r="M285" s="10" t="str">
        <f t="shared" si="49"/>
        <v/>
      </c>
      <c r="N285" s="11" t="str">
        <f t="shared" si="52"/>
        <v/>
      </c>
      <c r="O285" s="10" t="str">
        <f t="shared" si="53"/>
        <v/>
      </c>
      <c r="P285" s="39" t="str">
        <f t="shared" si="54"/>
        <v/>
      </c>
      <c r="Q285" s="13" t="str">
        <f t="shared" si="50"/>
        <v/>
      </c>
      <c r="R285" s="13" t="str">
        <f t="shared" si="55"/>
        <v/>
      </c>
      <c r="S285" s="13" t="str">
        <f t="shared" si="51"/>
        <v/>
      </c>
      <c r="T285" s="22" t="str">
        <f>IF(R285&lt;&gt;"",VLOOKUP(P285,Constants!$D$3:$E$10,2),"")</f>
        <v/>
      </c>
    </row>
    <row r="286" spans="2:20" x14ac:dyDescent="0.25">
      <c r="B286" s="59"/>
      <c r="C286" s="59"/>
      <c r="D286" s="60"/>
      <c r="E286" s="59"/>
      <c r="F286" s="59" t="str">
        <f t="shared" si="47"/>
        <v/>
      </c>
      <c r="G286" s="59"/>
      <c r="H286" s="61"/>
      <c r="I286" s="61"/>
      <c r="J286" s="61"/>
      <c r="K286" s="62"/>
      <c r="L286" s="10" t="str">
        <f t="shared" si="48"/>
        <v/>
      </c>
      <c r="M286" s="10" t="str">
        <f t="shared" si="49"/>
        <v/>
      </c>
      <c r="N286" s="11" t="str">
        <f t="shared" si="52"/>
        <v/>
      </c>
      <c r="O286" s="10" t="str">
        <f t="shared" si="53"/>
        <v/>
      </c>
      <c r="P286" s="39" t="str">
        <f t="shared" si="54"/>
        <v/>
      </c>
      <c r="Q286" s="13" t="str">
        <f t="shared" si="50"/>
        <v/>
      </c>
      <c r="R286" s="13" t="str">
        <f t="shared" si="55"/>
        <v/>
      </c>
      <c r="S286" s="13" t="str">
        <f t="shared" si="51"/>
        <v/>
      </c>
      <c r="T286" s="22" t="str">
        <f>IF(R286&lt;&gt;"",VLOOKUP(P286,Constants!$D$3:$E$10,2),"")</f>
        <v/>
      </c>
    </row>
    <row r="287" spans="2:20" x14ac:dyDescent="0.25">
      <c r="B287" s="59"/>
      <c r="C287" s="59"/>
      <c r="D287" s="60"/>
      <c r="E287" s="59"/>
      <c r="F287" s="59" t="str">
        <f t="shared" si="47"/>
        <v/>
      </c>
      <c r="G287" s="59"/>
      <c r="H287" s="61"/>
      <c r="I287" s="61"/>
      <c r="J287" s="61"/>
      <c r="K287" s="62"/>
      <c r="L287" s="10" t="str">
        <f t="shared" si="48"/>
        <v/>
      </c>
      <c r="M287" s="10" t="str">
        <f t="shared" si="49"/>
        <v/>
      </c>
      <c r="N287" s="11" t="str">
        <f t="shared" si="52"/>
        <v/>
      </c>
      <c r="O287" s="10" t="str">
        <f t="shared" si="53"/>
        <v/>
      </c>
      <c r="P287" s="39" t="str">
        <f t="shared" si="54"/>
        <v/>
      </c>
      <c r="Q287" s="13" t="str">
        <f t="shared" si="50"/>
        <v/>
      </c>
      <c r="R287" s="13" t="str">
        <f t="shared" si="55"/>
        <v/>
      </c>
      <c r="S287" s="13" t="str">
        <f t="shared" si="51"/>
        <v/>
      </c>
      <c r="T287" s="22" t="str">
        <f>IF(R287&lt;&gt;"",VLOOKUP(P287,Constants!$D$3:$E$10,2),"")</f>
        <v/>
      </c>
    </row>
    <row r="288" spans="2:20" x14ac:dyDescent="0.25">
      <c r="B288" s="59"/>
      <c r="C288" s="59"/>
      <c r="D288" s="60"/>
      <c r="E288" s="59"/>
      <c r="F288" s="59" t="str">
        <f t="shared" si="47"/>
        <v/>
      </c>
      <c r="G288" s="59"/>
      <c r="H288" s="61"/>
      <c r="I288" s="61"/>
      <c r="J288" s="61"/>
      <c r="K288" s="62"/>
      <c r="L288" s="10" t="str">
        <f t="shared" si="48"/>
        <v/>
      </c>
      <c r="M288" s="10" t="str">
        <f t="shared" si="49"/>
        <v/>
      </c>
      <c r="N288" s="11" t="str">
        <f t="shared" si="52"/>
        <v/>
      </c>
      <c r="O288" s="10" t="str">
        <f t="shared" si="53"/>
        <v/>
      </c>
      <c r="P288" s="39" t="str">
        <f t="shared" si="54"/>
        <v/>
      </c>
      <c r="Q288" s="13" t="str">
        <f t="shared" si="50"/>
        <v/>
      </c>
      <c r="R288" s="13" t="str">
        <f t="shared" si="55"/>
        <v/>
      </c>
      <c r="S288" s="13" t="str">
        <f t="shared" si="51"/>
        <v/>
      </c>
      <c r="T288" s="22" t="str">
        <f>IF(R288&lt;&gt;"",VLOOKUP(P288,Constants!$D$3:$E$10,2),"")</f>
        <v/>
      </c>
    </row>
    <row r="289" spans="2:20" x14ac:dyDescent="0.25">
      <c r="B289" s="59"/>
      <c r="C289" s="59"/>
      <c r="D289" s="60"/>
      <c r="E289" s="59"/>
      <c r="F289" s="59" t="str">
        <f t="shared" si="47"/>
        <v/>
      </c>
      <c r="G289" s="59"/>
      <c r="H289" s="61"/>
      <c r="I289" s="61"/>
      <c r="J289" s="61"/>
      <c r="K289" s="62"/>
      <c r="L289" s="10" t="str">
        <f t="shared" si="48"/>
        <v/>
      </c>
      <c r="M289" s="10" t="str">
        <f t="shared" si="49"/>
        <v/>
      </c>
      <c r="N289" s="11" t="str">
        <f t="shared" si="52"/>
        <v/>
      </c>
      <c r="O289" s="10" t="str">
        <f t="shared" si="53"/>
        <v/>
      </c>
      <c r="P289" s="39" t="str">
        <f t="shared" si="54"/>
        <v/>
      </c>
      <c r="Q289" s="13" t="str">
        <f t="shared" si="50"/>
        <v/>
      </c>
      <c r="R289" s="13" t="str">
        <f t="shared" si="55"/>
        <v/>
      </c>
      <c r="S289" s="13" t="str">
        <f t="shared" si="51"/>
        <v/>
      </c>
      <c r="T289" s="22" t="str">
        <f>IF(R289&lt;&gt;"",VLOOKUP(P289,Constants!$D$3:$E$10,2),"")</f>
        <v/>
      </c>
    </row>
    <row r="290" spans="2:20" x14ac:dyDescent="0.25">
      <c r="B290" s="59"/>
      <c r="C290" s="59"/>
      <c r="D290" s="60"/>
      <c r="E290" s="59"/>
      <c r="F290" s="59" t="str">
        <f t="shared" si="47"/>
        <v/>
      </c>
      <c r="G290" s="59"/>
      <c r="H290" s="61"/>
      <c r="I290" s="61"/>
      <c r="J290" s="61"/>
      <c r="K290" s="62"/>
      <c r="L290" s="10" t="str">
        <f t="shared" si="48"/>
        <v/>
      </c>
      <c r="M290" s="10" t="str">
        <f t="shared" si="49"/>
        <v/>
      </c>
      <c r="N290" s="11" t="str">
        <f t="shared" si="52"/>
        <v/>
      </c>
      <c r="O290" s="10" t="str">
        <f t="shared" si="53"/>
        <v/>
      </c>
      <c r="P290" s="39" t="str">
        <f t="shared" si="54"/>
        <v/>
      </c>
      <c r="Q290" s="13" t="str">
        <f t="shared" si="50"/>
        <v/>
      </c>
      <c r="R290" s="13" t="str">
        <f t="shared" si="55"/>
        <v/>
      </c>
      <c r="S290" s="13" t="str">
        <f t="shared" si="51"/>
        <v/>
      </c>
      <c r="T290" s="22" t="str">
        <f>IF(R290&lt;&gt;"",VLOOKUP(P290,Constants!$D$3:$E$10,2),"")</f>
        <v/>
      </c>
    </row>
    <row r="291" spans="2:20" x14ac:dyDescent="0.25">
      <c r="B291" s="59"/>
      <c r="C291" s="59"/>
      <c r="D291" s="60"/>
      <c r="E291" s="59"/>
      <c r="F291" s="59" t="str">
        <f t="shared" si="47"/>
        <v/>
      </c>
      <c r="G291" s="59"/>
      <c r="H291" s="61"/>
      <c r="I291" s="61"/>
      <c r="J291" s="61"/>
      <c r="K291" s="62"/>
      <c r="L291" s="10" t="str">
        <f t="shared" si="48"/>
        <v/>
      </c>
      <c r="M291" s="10" t="str">
        <f t="shared" si="49"/>
        <v/>
      </c>
      <c r="N291" s="11" t="str">
        <f t="shared" si="52"/>
        <v/>
      </c>
      <c r="O291" s="10" t="str">
        <f t="shared" si="53"/>
        <v/>
      </c>
      <c r="P291" s="39" t="str">
        <f t="shared" si="54"/>
        <v/>
      </c>
      <c r="Q291" s="13" t="str">
        <f t="shared" si="50"/>
        <v/>
      </c>
      <c r="R291" s="13" t="str">
        <f t="shared" si="55"/>
        <v/>
      </c>
      <c r="S291" s="13" t="str">
        <f t="shared" si="51"/>
        <v/>
      </c>
      <c r="T291" s="22" t="str">
        <f>IF(R291&lt;&gt;"",VLOOKUP(P291,Constants!$D$3:$E$10,2),"")</f>
        <v/>
      </c>
    </row>
    <row r="292" spans="2:20" x14ac:dyDescent="0.25">
      <c r="B292" s="59"/>
      <c r="C292" s="59"/>
      <c r="D292" s="60"/>
      <c r="E292" s="59"/>
      <c r="F292" s="59" t="str">
        <f t="shared" si="47"/>
        <v/>
      </c>
      <c r="G292" s="59"/>
      <c r="H292" s="61"/>
      <c r="I292" s="61"/>
      <c r="J292" s="61"/>
      <c r="K292" s="62"/>
      <c r="L292" s="10" t="str">
        <f t="shared" si="48"/>
        <v/>
      </c>
      <c r="M292" s="10" t="str">
        <f t="shared" si="49"/>
        <v/>
      </c>
      <c r="N292" s="11" t="str">
        <f t="shared" si="52"/>
        <v/>
      </c>
      <c r="O292" s="10" t="str">
        <f t="shared" si="53"/>
        <v/>
      </c>
      <c r="P292" s="39" t="str">
        <f t="shared" si="54"/>
        <v/>
      </c>
      <c r="Q292" s="13" t="str">
        <f t="shared" si="50"/>
        <v/>
      </c>
      <c r="R292" s="13" t="str">
        <f t="shared" si="55"/>
        <v/>
      </c>
      <c r="S292" s="13" t="str">
        <f t="shared" si="51"/>
        <v/>
      </c>
      <c r="T292" s="22" t="str">
        <f>IF(R292&lt;&gt;"",VLOOKUP(P292,Constants!$D$3:$E$10,2),"")</f>
        <v/>
      </c>
    </row>
    <row r="293" spans="2:20" x14ac:dyDescent="0.25">
      <c r="B293" s="59"/>
      <c r="C293" s="59"/>
      <c r="D293" s="60"/>
      <c r="E293" s="59"/>
      <c r="F293" s="59" t="str">
        <f t="shared" si="47"/>
        <v/>
      </c>
      <c r="G293" s="59"/>
      <c r="H293" s="61"/>
      <c r="I293" s="61"/>
      <c r="J293" s="61"/>
      <c r="K293" s="62"/>
      <c r="L293" s="10" t="str">
        <f t="shared" si="48"/>
        <v/>
      </c>
      <c r="M293" s="10" t="str">
        <f t="shared" si="49"/>
        <v/>
      </c>
      <c r="N293" s="11" t="str">
        <f t="shared" si="52"/>
        <v/>
      </c>
      <c r="O293" s="10" t="str">
        <f t="shared" si="53"/>
        <v/>
      </c>
      <c r="P293" s="39" t="str">
        <f t="shared" si="54"/>
        <v/>
      </c>
      <c r="Q293" s="13" t="str">
        <f t="shared" si="50"/>
        <v/>
      </c>
      <c r="R293" s="13" t="str">
        <f t="shared" si="55"/>
        <v/>
      </c>
      <c r="S293" s="13" t="str">
        <f t="shared" si="51"/>
        <v/>
      </c>
      <c r="T293" s="22" t="str">
        <f>IF(R293&lt;&gt;"",VLOOKUP(P293,Constants!$D$3:$E$10,2),"")</f>
        <v/>
      </c>
    </row>
    <row r="294" spans="2:20" x14ac:dyDescent="0.25">
      <c r="B294" s="59"/>
      <c r="C294" s="59"/>
      <c r="D294" s="60"/>
      <c r="E294" s="59"/>
      <c r="F294" s="59" t="str">
        <f t="shared" si="47"/>
        <v/>
      </c>
      <c r="G294" s="59"/>
      <c r="H294" s="61"/>
      <c r="I294" s="61"/>
      <c r="J294" s="61"/>
      <c r="K294" s="62"/>
      <c r="L294" s="10" t="str">
        <f t="shared" si="48"/>
        <v/>
      </c>
      <c r="M294" s="10" t="str">
        <f t="shared" si="49"/>
        <v/>
      </c>
      <c r="N294" s="11" t="str">
        <f t="shared" si="52"/>
        <v/>
      </c>
      <c r="O294" s="10" t="str">
        <f t="shared" si="53"/>
        <v/>
      </c>
      <c r="P294" s="39" t="str">
        <f t="shared" si="54"/>
        <v/>
      </c>
      <c r="Q294" s="13" t="str">
        <f t="shared" si="50"/>
        <v/>
      </c>
      <c r="R294" s="13" t="str">
        <f t="shared" si="55"/>
        <v/>
      </c>
      <c r="S294" s="13" t="str">
        <f t="shared" si="51"/>
        <v/>
      </c>
      <c r="T294" s="22" t="str">
        <f>IF(R294&lt;&gt;"",VLOOKUP(P294,Constants!$D$3:$E$10,2),"")</f>
        <v/>
      </c>
    </row>
    <row r="295" spans="2:20" x14ac:dyDescent="0.25">
      <c r="B295" s="59"/>
      <c r="C295" s="59"/>
      <c r="D295" s="60"/>
      <c r="E295" s="59"/>
      <c r="F295" s="59" t="str">
        <f t="shared" si="47"/>
        <v/>
      </c>
      <c r="G295" s="59"/>
      <c r="H295" s="61"/>
      <c r="I295" s="61"/>
      <c r="J295" s="61"/>
      <c r="K295" s="62"/>
      <c r="L295" s="10" t="str">
        <f t="shared" si="48"/>
        <v/>
      </c>
      <c r="M295" s="10" t="str">
        <f t="shared" si="49"/>
        <v/>
      </c>
      <c r="N295" s="11" t="str">
        <f t="shared" si="52"/>
        <v/>
      </c>
      <c r="O295" s="10" t="str">
        <f t="shared" si="53"/>
        <v/>
      </c>
      <c r="P295" s="39" t="str">
        <f t="shared" si="54"/>
        <v/>
      </c>
      <c r="Q295" s="13" t="str">
        <f t="shared" si="50"/>
        <v/>
      </c>
      <c r="R295" s="13" t="str">
        <f t="shared" si="55"/>
        <v/>
      </c>
      <c r="S295" s="13" t="str">
        <f t="shared" si="51"/>
        <v/>
      </c>
      <c r="T295" s="22" t="str">
        <f>IF(R295&lt;&gt;"",VLOOKUP(P295,Constants!$D$3:$E$10,2),"")</f>
        <v/>
      </c>
    </row>
    <row r="296" spans="2:20" x14ac:dyDescent="0.25">
      <c r="B296" s="59"/>
      <c r="C296" s="59"/>
      <c r="D296" s="60"/>
      <c r="E296" s="59"/>
      <c r="F296" s="59" t="str">
        <f t="shared" si="47"/>
        <v/>
      </c>
      <c r="G296" s="59"/>
      <c r="H296" s="61"/>
      <c r="I296" s="61"/>
      <c r="J296" s="61"/>
      <c r="K296" s="62"/>
      <c r="L296" s="10" t="str">
        <f t="shared" si="48"/>
        <v/>
      </c>
      <c r="M296" s="10" t="str">
        <f t="shared" si="49"/>
        <v/>
      </c>
      <c r="N296" s="11" t="str">
        <f t="shared" si="52"/>
        <v/>
      </c>
      <c r="O296" s="10" t="str">
        <f t="shared" si="53"/>
        <v/>
      </c>
      <c r="P296" s="39" t="str">
        <f t="shared" si="54"/>
        <v/>
      </c>
      <c r="Q296" s="13" t="str">
        <f t="shared" si="50"/>
        <v/>
      </c>
      <c r="R296" s="13" t="str">
        <f t="shared" si="55"/>
        <v/>
      </c>
      <c r="S296" s="13" t="str">
        <f t="shared" si="51"/>
        <v/>
      </c>
      <c r="T296" s="22" t="str">
        <f>IF(R296&lt;&gt;"",VLOOKUP(P296,Constants!$D$3:$E$10,2),"")</f>
        <v/>
      </c>
    </row>
    <row r="297" spans="2:20" x14ac:dyDescent="0.25">
      <c r="B297" s="59"/>
      <c r="C297" s="59"/>
      <c r="D297" s="60"/>
      <c r="E297" s="59"/>
      <c r="F297" s="59" t="str">
        <f t="shared" si="47"/>
        <v/>
      </c>
      <c r="G297" s="59"/>
      <c r="H297" s="61"/>
      <c r="I297" s="61"/>
      <c r="J297" s="61"/>
      <c r="K297" s="62"/>
      <c r="L297" s="10" t="str">
        <f t="shared" si="48"/>
        <v/>
      </c>
      <c r="M297" s="10" t="str">
        <f t="shared" si="49"/>
        <v/>
      </c>
      <c r="N297" s="11" t="str">
        <f t="shared" si="52"/>
        <v/>
      </c>
      <c r="O297" s="10" t="str">
        <f t="shared" si="53"/>
        <v/>
      </c>
      <c r="P297" s="39" t="str">
        <f t="shared" si="54"/>
        <v/>
      </c>
      <c r="Q297" s="13" t="str">
        <f t="shared" si="50"/>
        <v/>
      </c>
      <c r="R297" s="13" t="str">
        <f t="shared" si="55"/>
        <v/>
      </c>
      <c r="S297" s="13" t="str">
        <f t="shared" si="51"/>
        <v/>
      </c>
      <c r="T297" s="22" t="str">
        <f>IF(R297&lt;&gt;"",VLOOKUP(P297,Constants!$D$3:$E$10,2),"")</f>
        <v/>
      </c>
    </row>
    <row r="298" spans="2:20" x14ac:dyDescent="0.25">
      <c r="B298" s="59"/>
      <c r="C298" s="59"/>
      <c r="D298" s="60"/>
      <c r="E298" s="59"/>
      <c r="F298" s="59" t="str">
        <f t="shared" si="47"/>
        <v/>
      </c>
      <c r="G298" s="59"/>
      <c r="H298" s="61"/>
      <c r="I298" s="61"/>
      <c r="J298" s="61"/>
      <c r="K298" s="62"/>
      <c r="L298" s="10" t="str">
        <f t="shared" si="48"/>
        <v/>
      </c>
      <c r="M298" s="10" t="str">
        <f t="shared" si="49"/>
        <v/>
      </c>
      <c r="N298" s="11" t="str">
        <f t="shared" si="52"/>
        <v/>
      </c>
      <c r="O298" s="10" t="str">
        <f t="shared" si="53"/>
        <v/>
      </c>
      <c r="P298" s="39" t="str">
        <f t="shared" si="54"/>
        <v/>
      </c>
      <c r="Q298" s="13" t="str">
        <f t="shared" si="50"/>
        <v/>
      </c>
      <c r="R298" s="13" t="str">
        <f t="shared" si="55"/>
        <v/>
      </c>
      <c r="S298" s="13" t="str">
        <f t="shared" si="51"/>
        <v/>
      </c>
      <c r="T298" s="22" t="str">
        <f>IF(R298&lt;&gt;"",VLOOKUP(P298,Constants!$D$3:$E$10,2),"")</f>
        <v/>
      </c>
    </row>
    <row r="299" spans="2:20" x14ac:dyDescent="0.25">
      <c r="B299" s="59"/>
      <c r="C299" s="59"/>
      <c r="D299" s="60"/>
      <c r="E299" s="59"/>
      <c r="F299" s="59" t="str">
        <f t="shared" si="47"/>
        <v/>
      </c>
      <c r="G299" s="59"/>
      <c r="H299" s="61"/>
      <c r="I299" s="61"/>
      <c r="J299" s="61"/>
      <c r="K299" s="62"/>
      <c r="L299" s="10" t="str">
        <f t="shared" si="48"/>
        <v/>
      </c>
      <c r="M299" s="10" t="str">
        <f t="shared" si="49"/>
        <v/>
      </c>
      <c r="N299" s="11" t="str">
        <f t="shared" si="52"/>
        <v/>
      </c>
      <c r="O299" s="10" t="str">
        <f t="shared" si="53"/>
        <v/>
      </c>
      <c r="P299" s="39" t="str">
        <f t="shared" si="54"/>
        <v/>
      </c>
      <c r="Q299" s="13" t="str">
        <f t="shared" si="50"/>
        <v/>
      </c>
      <c r="R299" s="13" t="str">
        <f t="shared" si="55"/>
        <v/>
      </c>
      <c r="S299" s="13" t="str">
        <f t="shared" si="51"/>
        <v/>
      </c>
      <c r="T299" s="22" t="str">
        <f>IF(R299&lt;&gt;"",VLOOKUP(P299,Constants!$D$3:$E$10,2),"")</f>
        <v/>
      </c>
    </row>
    <row r="300" spans="2:20" x14ac:dyDescent="0.25">
      <c r="B300" s="59"/>
      <c r="C300" s="59"/>
      <c r="D300" s="60"/>
      <c r="E300" s="59"/>
      <c r="F300" s="59" t="str">
        <f t="shared" si="47"/>
        <v/>
      </c>
      <c r="G300" s="59"/>
      <c r="H300" s="61"/>
      <c r="I300" s="61"/>
      <c r="J300" s="61"/>
      <c r="K300" s="62"/>
      <c r="L300" s="10" t="str">
        <f t="shared" si="48"/>
        <v/>
      </c>
      <c r="M300" s="10" t="str">
        <f t="shared" si="49"/>
        <v/>
      </c>
      <c r="N300" s="11" t="str">
        <f t="shared" si="52"/>
        <v/>
      </c>
      <c r="O300" s="10" t="str">
        <f t="shared" si="53"/>
        <v/>
      </c>
      <c r="P300" s="39" t="str">
        <f t="shared" si="54"/>
        <v/>
      </c>
      <c r="Q300" s="13" t="str">
        <f t="shared" si="50"/>
        <v/>
      </c>
      <c r="R300" s="13" t="str">
        <f t="shared" si="55"/>
        <v/>
      </c>
      <c r="S300" s="13" t="str">
        <f t="shared" si="51"/>
        <v/>
      </c>
      <c r="T300" s="22" t="str">
        <f>IF(R300&lt;&gt;"",VLOOKUP(P300,Constants!$D$3:$E$10,2),"")</f>
        <v/>
      </c>
    </row>
    <row r="301" spans="2:20" x14ac:dyDescent="0.25">
      <c r="B301" s="59"/>
      <c r="C301" s="59"/>
      <c r="D301" s="60"/>
      <c r="E301" s="59"/>
      <c r="F301" s="59" t="str">
        <f t="shared" si="47"/>
        <v/>
      </c>
      <c r="G301" s="59"/>
      <c r="H301" s="61"/>
      <c r="I301" s="61"/>
      <c r="J301" s="61"/>
      <c r="K301" s="62"/>
      <c r="L301" s="10" t="str">
        <f t="shared" si="48"/>
        <v/>
      </c>
      <c r="M301" s="10" t="str">
        <f t="shared" si="49"/>
        <v/>
      </c>
      <c r="N301" s="11" t="str">
        <f t="shared" si="52"/>
        <v/>
      </c>
      <c r="O301" s="10" t="str">
        <f t="shared" si="53"/>
        <v/>
      </c>
      <c r="P301" s="39" t="str">
        <f t="shared" si="54"/>
        <v/>
      </c>
      <c r="Q301" s="13" t="str">
        <f t="shared" si="50"/>
        <v/>
      </c>
      <c r="R301" s="13" t="str">
        <f t="shared" si="55"/>
        <v/>
      </c>
      <c r="S301" s="13" t="str">
        <f t="shared" si="51"/>
        <v/>
      </c>
      <c r="T301" s="22" t="str">
        <f>IF(R301&lt;&gt;"",VLOOKUP(P301,Constants!$D$3:$E$10,2),"")</f>
        <v/>
      </c>
    </row>
    <row r="302" spans="2:20" x14ac:dyDescent="0.25">
      <c r="B302" s="59"/>
      <c r="C302" s="59"/>
      <c r="D302" s="60"/>
      <c r="E302" s="59"/>
      <c r="F302" s="59" t="str">
        <f t="shared" si="47"/>
        <v/>
      </c>
      <c r="G302" s="59"/>
      <c r="H302" s="61"/>
      <c r="I302" s="61"/>
      <c r="J302" s="61"/>
      <c r="K302" s="62"/>
      <c r="L302" s="10" t="str">
        <f t="shared" si="48"/>
        <v/>
      </c>
      <c r="M302" s="10" t="str">
        <f t="shared" si="49"/>
        <v/>
      </c>
      <c r="N302" s="11" t="str">
        <f t="shared" si="52"/>
        <v/>
      </c>
      <c r="O302" s="10" t="str">
        <f t="shared" si="53"/>
        <v/>
      </c>
      <c r="P302" s="39" t="str">
        <f t="shared" si="54"/>
        <v/>
      </c>
      <c r="Q302" s="13" t="str">
        <f t="shared" si="50"/>
        <v/>
      </c>
      <c r="R302" s="13" t="str">
        <f t="shared" si="55"/>
        <v/>
      </c>
      <c r="S302" s="13" t="str">
        <f t="shared" si="51"/>
        <v/>
      </c>
      <c r="T302" s="22" t="str">
        <f>IF(R302&lt;&gt;"",VLOOKUP(P302,Constants!$D$3:$E$10,2),"")</f>
        <v/>
      </c>
    </row>
    <row r="303" spans="2:20" x14ac:dyDescent="0.25">
      <c r="B303" s="59"/>
      <c r="C303" s="59"/>
      <c r="D303" s="60"/>
      <c r="E303" s="59"/>
      <c r="F303" s="59" t="str">
        <f t="shared" si="47"/>
        <v/>
      </c>
      <c r="G303" s="59"/>
      <c r="H303" s="61"/>
      <c r="I303" s="61"/>
      <c r="J303" s="61"/>
      <c r="K303" s="62"/>
      <c r="L303" s="10" t="str">
        <f t="shared" si="48"/>
        <v/>
      </c>
      <c r="M303" s="10" t="str">
        <f t="shared" si="49"/>
        <v/>
      </c>
      <c r="N303" s="11" t="str">
        <f t="shared" si="52"/>
        <v/>
      </c>
      <c r="O303" s="10" t="str">
        <f t="shared" si="53"/>
        <v/>
      </c>
      <c r="P303" s="39" t="str">
        <f t="shared" si="54"/>
        <v/>
      </c>
      <c r="Q303" s="13" t="str">
        <f t="shared" si="50"/>
        <v/>
      </c>
      <c r="R303" s="13" t="str">
        <f t="shared" si="55"/>
        <v/>
      </c>
      <c r="S303" s="13" t="str">
        <f t="shared" si="51"/>
        <v/>
      </c>
      <c r="T303" s="22" t="str">
        <f>IF(R303&lt;&gt;"",VLOOKUP(P303,Constants!$D$3:$E$10,2),"")</f>
        <v/>
      </c>
    </row>
    <row r="304" spans="2:20" x14ac:dyDescent="0.25">
      <c r="B304" s="59"/>
      <c r="C304" s="59"/>
      <c r="D304" s="60"/>
      <c r="E304" s="59"/>
      <c r="F304" s="59" t="str">
        <f t="shared" si="47"/>
        <v/>
      </c>
      <c r="G304" s="59"/>
      <c r="H304" s="61"/>
      <c r="I304" s="61"/>
      <c r="J304" s="61"/>
      <c r="K304" s="62"/>
      <c r="L304" s="10" t="str">
        <f t="shared" si="48"/>
        <v/>
      </c>
      <c r="M304" s="10" t="str">
        <f t="shared" si="49"/>
        <v/>
      </c>
      <c r="N304" s="11" t="str">
        <f t="shared" si="52"/>
        <v/>
      </c>
      <c r="O304" s="10" t="str">
        <f t="shared" si="53"/>
        <v/>
      </c>
      <c r="P304" s="39" t="str">
        <f t="shared" si="54"/>
        <v/>
      </c>
      <c r="Q304" s="13" t="str">
        <f t="shared" si="50"/>
        <v/>
      </c>
      <c r="R304" s="13" t="str">
        <f t="shared" si="55"/>
        <v/>
      </c>
      <c r="S304" s="13" t="str">
        <f t="shared" si="51"/>
        <v/>
      </c>
      <c r="T304" s="22" t="str">
        <f>IF(R304&lt;&gt;"",VLOOKUP(P304,Constants!$D$3:$E$10,2),"")</f>
        <v/>
      </c>
    </row>
    <row r="305" spans="2:20" x14ac:dyDescent="0.25">
      <c r="B305" s="59"/>
      <c r="C305" s="59"/>
      <c r="D305" s="60"/>
      <c r="E305" s="59"/>
      <c r="F305" s="59" t="str">
        <f t="shared" si="47"/>
        <v/>
      </c>
      <c r="G305" s="59"/>
      <c r="H305" s="61"/>
      <c r="I305" s="61"/>
      <c r="J305" s="61"/>
      <c r="K305" s="62"/>
      <c r="L305" s="10" t="str">
        <f t="shared" si="48"/>
        <v/>
      </c>
      <c r="M305" s="10" t="str">
        <f t="shared" si="49"/>
        <v/>
      </c>
      <c r="N305" s="11" t="str">
        <f t="shared" si="52"/>
        <v/>
      </c>
      <c r="O305" s="10" t="str">
        <f t="shared" si="53"/>
        <v/>
      </c>
      <c r="P305" s="39" t="str">
        <f t="shared" si="54"/>
        <v/>
      </c>
      <c r="Q305" s="13" t="str">
        <f t="shared" si="50"/>
        <v/>
      </c>
      <c r="R305" s="13" t="str">
        <f t="shared" si="55"/>
        <v/>
      </c>
      <c r="S305" s="13" t="str">
        <f t="shared" si="51"/>
        <v/>
      </c>
      <c r="T305" s="22" t="str">
        <f>IF(R305&lt;&gt;"",VLOOKUP(P305,Constants!$D$3:$E$10,2),"")</f>
        <v/>
      </c>
    </row>
    <row r="306" spans="2:20" x14ac:dyDescent="0.25">
      <c r="B306" s="59"/>
      <c r="C306" s="59"/>
      <c r="D306" s="60"/>
      <c r="E306" s="59"/>
      <c r="F306" s="59" t="str">
        <f t="shared" si="47"/>
        <v/>
      </c>
      <c r="G306" s="59"/>
      <c r="H306" s="61"/>
      <c r="I306" s="61"/>
      <c r="J306" s="61"/>
      <c r="K306" s="62"/>
      <c r="L306" s="10" t="str">
        <f t="shared" si="48"/>
        <v/>
      </c>
      <c r="M306" s="10" t="str">
        <f t="shared" si="49"/>
        <v/>
      </c>
      <c r="N306" s="11" t="str">
        <f t="shared" si="52"/>
        <v/>
      </c>
      <c r="O306" s="10" t="str">
        <f t="shared" si="53"/>
        <v/>
      </c>
      <c r="P306" s="39" t="str">
        <f t="shared" si="54"/>
        <v/>
      </c>
      <c r="Q306" s="13" t="str">
        <f t="shared" si="50"/>
        <v/>
      </c>
      <c r="R306" s="13" t="str">
        <f t="shared" si="55"/>
        <v/>
      </c>
      <c r="S306" s="13" t="str">
        <f t="shared" si="51"/>
        <v/>
      </c>
      <c r="T306" s="22" t="str">
        <f>IF(R306&lt;&gt;"",VLOOKUP(P306,Constants!$D$3:$E$10,2),"")</f>
        <v/>
      </c>
    </row>
    <row r="307" spans="2:20" x14ac:dyDescent="0.25">
      <c r="B307" s="59"/>
      <c r="C307" s="59"/>
      <c r="D307" s="60"/>
      <c r="E307" s="59"/>
      <c r="F307" s="59" t="str">
        <f t="shared" si="47"/>
        <v/>
      </c>
      <c r="G307" s="59"/>
      <c r="H307" s="61"/>
      <c r="I307" s="61"/>
      <c r="J307" s="61"/>
      <c r="K307" s="62"/>
      <c r="L307" s="10" t="str">
        <f t="shared" si="48"/>
        <v/>
      </c>
      <c r="M307" s="10" t="str">
        <f t="shared" si="49"/>
        <v/>
      </c>
      <c r="N307" s="11" t="str">
        <f t="shared" si="52"/>
        <v/>
      </c>
      <c r="O307" s="10" t="str">
        <f t="shared" si="53"/>
        <v/>
      </c>
      <c r="P307" s="39" t="str">
        <f t="shared" si="54"/>
        <v/>
      </c>
      <c r="Q307" s="13" t="str">
        <f t="shared" si="50"/>
        <v/>
      </c>
      <c r="R307" s="13" t="str">
        <f t="shared" si="55"/>
        <v/>
      </c>
      <c r="S307" s="13" t="str">
        <f t="shared" si="51"/>
        <v/>
      </c>
      <c r="T307" s="22" t="str">
        <f>IF(R307&lt;&gt;"",VLOOKUP(P307,Constants!$D$3:$E$10,2),"")</f>
        <v/>
      </c>
    </row>
    <row r="308" spans="2:20" x14ac:dyDescent="0.25">
      <c r="B308" s="59"/>
      <c r="C308" s="59"/>
      <c r="D308" s="60"/>
      <c r="E308" s="59"/>
      <c r="F308" s="59" t="str">
        <f t="shared" si="47"/>
        <v/>
      </c>
      <c r="G308" s="59"/>
      <c r="H308" s="61"/>
      <c r="I308" s="61"/>
      <c r="J308" s="61"/>
      <c r="K308" s="62"/>
      <c r="L308" s="10" t="str">
        <f t="shared" si="48"/>
        <v/>
      </c>
      <c r="M308" s="10" t="str">
        <f t="shared" si="49"/>
        <v/>
      </c>
      <c r="N308" s="11" t="str">
        <f t="shared" si="52"/>
        <v/>
      </c>
      <c r="O308" s="10" t="str">
        <f t="shared" si="53"/>
        <v/>
      </c>
      <c r="P308" s="39" t="str">
        <f t="shared" si="54"/>
        <v/>
      </c>
      <c r="Q308" s="13" t="str">
        <f t="shared" si="50"/>
        <v/>
      </c>
      <c r="R308" s="13" t="str">
        <f t="shared" si="55"/>
        <v/>
      </c>
      <c r="S308" s="13" t="str">
        <f t="shared" si="51"/>
        <v/>
      </c>
      <c r="T308" s="22" t="str">
        <f>IF(R308&lt;&gt;"",VLOOKUP(P308,Constants!$D$3:$E$10,2),"")</f>
        <v/>
      </c>
    </row>
    <row r="309" spans="2:20" x14ac:dyDescent="0.25">
      <c r="B309" s="59"/>
      <c r="C309" s="59"/>
      <c r="D309" s="60"/>
      <c r="E309" s="59"/>
      <c r="F309" s="59" t="str">
        <f t="shared" si="47"/>
        <v/>
      </c>
      <c r="G309" s="59"/>
      <c r="H309" s="61"/>
      <c r="I309" s="61"/>
      <c r="J309" s="61"/>
      <c r="K309" s="62"/>
      <c r="L309" s="10" t="str">
        <f t="shared" si="48"/>
        <v/>
      </c>
      <c r="M309" s="10" t="str">
        <f t="shared" si="49"/>
        <v/>
      </c>
      <c r="N309" s="11" t="str">
        <f t="shared" si="52"/>
        <v/>
      </c>
      <c r="O309" s="10" t="str">
        <f t="shared" si="53"/>
        <v/>
      </c>
      <c r="P309" s="39" t="str">
        <f t="shared" si="54"/>
        <v/>
      </c>
      <c r="Q309" s="13" t="str">
        <f t="shared" si="50"/>
        <v/>
      </c>
      <c r="R309" s="13" t="str">
        <f t="shared" si="55"/>
        <v/>
      </c>
      <c r="S309" s="13" t="str">
        <f t="shared" si="51"/>
        <v/>
      </c>
      <c r="T309" s="22" t="str">
        <f>IF(R309&lt;&gt;"",VLOOKUP(P309,Constants!$D$3:$E$10,2),"")</f>
        <v/>
      </c>
    </row>
    <row r="310" spans="2:20" x14ac:dyDescent="0.25">
      <c r="B310" s="59"/>
      <c r="C310" s="59"/>
      <c r="D310" s="60"/>
      <c r="E310" s="59"/>
      <c r="F310" s="59" t="str">
        <f t="shared" si="47"/>
        <v/>
      </c>
      <c r="G310" s="59"/>
      <c r="H310" s="61"/>
      <c r="I310" s="61"/>
      <c r="J310" s="61"/>
      <c r="K310" s="62"/>
      <c r="L310" s="10" t="str">
        <f t="shared" si="48"/>
        <v/>
      </c>
      <c r="M310" s="10" t="str">
        <f t="shared" si="49"/>
        <v/>
      </c>
      <c r="N310" s="11" t="str">
        <f t="shared" si="52"/>
        <v/>
      </c>
      <c r="O310" s="10" t="str">
        <f t="shared" si="53"/>
        <v/>
      </c>
      <c r="P310" s="39" t="str">
        <f t="shared" si="54"/>
        <v/>
      </c>
      <c r="Q310" s="13" t="str">
        <f t="shared" si="50"/>
        <v/>
      </c>
      <c r="R310" s="13" t="str">
        <f t="shared" si="55"/>
        <v/>
      </c>
      <c r="S310" s="13" t="str">
        <f t="shared" si="51"/>
        <v/>
      </c>
      <c r="T310" s="22" t="str">
        <f>IF(R310&lt;&gt;"",VLOOKUP(P310,Constants!$D$3:$E$10,2),"")</f>
        <v/>
      </c>
    </row>
    <row r="311" spans="2:20" x14ac:dyDescent="0.25">
      <c r="B311" s="59"/>
      <c r="C311" s="59"/>
      <c r="D311" s="60"/>
      <c r="E311" s="59"/>
      <c r="F311" s="59" t="str">
        <f t="shared" si="47"/>
        <v/>
      </c>
      <c r="G311" s="59"/>
      <c r="H311" s="61"/>
      <c r="I311" s="61"/>
      <c r="J311" s="61"/>
      <c r="K311" s="62"/>
      <c r="L311" s="10" t="str">
        <f t="shared" si="48"/>
        <v/>
      </c>
      <c r="M311" s="10" t="str">
        <f t="shared" si="49"/>
        <v/>
      </c>
      <c r="N311" s="11" t="str">
        <f t="shared" si="52"/>
        <v/>
      </c>
      <c r="O311" s="10" t="str">
        <f t="shared" si="53"/>
        <v/>
      </c>
      <c r="P311" s="39" t="str">
        <f t="shared" si="54"/>
        <v/>
      </c>
      <c r="Q311" s="13" t="str">
        <f t="shared" si="50"/>
        <v/>
      </c>
      <c r="R311" s="13" t="str">
        <f t="shared" si="55"/>
        <v/>
      </c>
      <c r="S311" s="13" t="str">
        <f t="shared" si="51"/>
        <v/>
      </c>
      <c r="T311" s="22" t="str">
        <f>IF(R311&lt;&gt;"",VLOOKUP(P311,Constants!$D$3:$E$10,2),"")</f>
        <v/>
      </c>
    </row>
    <row r="312" spans="2:20" x14ac:dyDescent="0.25">
      <c r="B312" s="59"/>
      <c r="C312" s="59"/>
      <c r="D312" s="60"/>
      <c r="E312" s="59"/>
      <c r="F312" s="59" t="str">
        <f t="shared" si="47"/>
        <v/>
      </c>
      <c r="G312" s="59"/>
      <c r="H312" s="61"/>
      <c r="I312" s="61"/>
      <c r="J312" s="61"/>
      <c r="K312" s="62"/>
      <c r="L312" s="10" t="str">
        <f t="shared" si="48"/>
        <v/>
      </c>
      <c r="M312" s="10" t="str">
        <f t="shared" si="49"/>
        <v/>
      </c>
      <c r="N312" s="11" t="str">
        <f t="shared" si="52"/>
        <v/>
      </c>
      <c r="O312" s="10" t="str">
        <f t="shared" si="53"/>
        <v/>
      </c>
      <c r="P312" s="39" t="str">
        <f t="shared" si="54"/>
        <v/>
      </c>
      <c r="Q312" s="13" t="str">
        <f t="shared" si="50"/>
        <v/>
      </c>
      <c r="R312" s="13" t="str">
        <f t="shared" si="55"/>
        <v/>
      </c>
      <c r="S312" s="13" t="str">
        <f t="shared" si="51"/>
        <v/>
      </c>
      <c r="T312" s="22" t="str">
        <f>IF(R312&lt;&gt;"",VLOOKUP(P312,Constants!$D$3:$E$10,2),"")</f>
        <v/>
      </c>
    </row>
    <row r="313" spans="2:20" x14ac:dyDescent="0.25">
      <c r="B313" s="59"/>
      <c r="C313" s="59"/>
      <c r="D313" s="60"/>
      <c r="E313" s="59"/>
      <c r="F313" s="59" t="str">
        <f t="shared" si="47"/>
        <v/>
      </c>
      <c r="G313" s="59"/>
      <c r="H313" s="61"/>
      <c r="I313" s="61"/>
      <c r="J313" s="61"/>
      <c r="K313" s="62"/>
      <c r="L313" s="10" t="str">
        <f t="shared" si="48"/>
        <v/>
      </c>
      <c r="M313" s="10" t="str">
        <f t="shared" si="49"/>
        <v/>
      </c>
      <c r="N313" s="11" t="str">
        <f t="shared" si="52"/>
        <v/>
      </c>
      <c r="O313" s="10" t="str">
        <f t="shared" si="53"/>
        <v/>
      </c>
      <c r="P313" s="39" t="str">
        <f t="shared" si="54"/>
        <v/>
      </c>
      <c r="Q313" s="13" t="str">
        <f t="shared" si="50"/>
        <v/>
      </c>
      <c r="R313" s="13" t="str">
        <f t="shared" si="55"/>
        <v/>
      </c>
      <c r="S313" s="13" t="str">
        <f t="shared" si="51"/>
        <v/>
      </c>
      <c r="T313" s="22" t="str">
        <f>IF(R313&lt;&gt;"",VLOOKUP(P313,Constants!$D$3:$E$10,2),"")</f>
        <v/>
      </c>
    </row>
    <row r="314" spans="2:20" x14ac:dyDescent="0.25">
      <c r="B314" s="59"/>
      <c r="C314" s="59"/>
      <c r="D314" s="60"/>
      <c r="E314" s="59"/>
      <c r="F314" s="59" t="str">
        <f t="shared" si="47"/>
        <v/>
      </c>
      <c r="G314" s="59"/>
      <c r="H314" s="61"/>
      <c r="I314" s="61"/>
      <c r="J314" s="61"/>
      <c r="K314" s="62"/>
      <c r="L314" s="10" t="str">
        <f t="shared" si="48"/>
        <v/>
      </c>
      <c r="M314" s="10" t="str">
        <f t="shared" si="49"/>
        <v/>
      </c>
      <c r="N314" s="11" t="str">
        <f t="shared" si="52"/>
        <v/>
      </c>
      <c r="O314" s="10" t="str">
        <f t="shared" si="53"/>
        <v/>
      </c>
      <c r="P314" s="39" t="str">
        <f t="shared" si="54"/>
        <v/>
      </c>
      <c r="Q314" s="13" t="str">
        <f t="shared" si="50"/>
        <v/>
      </c>
      <c r="R314" s="13" t="str">
        <f t="shared" si="55"/>
        <v/>
      </c>
      <c r="S314" s="13" t="str">
        <f t="shared" si="51"/>
        <v/>
      </c>
      <c r="T314" s="22" t="str">
        <f>IF(R314&lt;&gt;"",VLOOKUP(P314,Constants!$D$3:$E$10,2),"")</f>
        <v/>
      </c>
    </row>
    <row r="315" spans="2:20" x14ac:dyDescent="0.25">
      <c r="B315" s="59"/>
      <c r="C315" s="59"/>
      <c r="D315" s="60"/>
      <c r="E315" s="59"/>
      <c r="F315" s="59" t="str">
        <f t="shared" si="47"/>
        <v/>
      </c>
      <c r="G315" s="59"/>
      <c r="H315" s="61"/>
      <c r="I315" s="61"/>
      <c r="J315" s="61"/>
      <c r="K315" s="62"/>
      <c r="L315" s="10" t="str">
        <f t="shared" si="48"/>
        <v/>
      </c>
      <c r="M315" s="10" t="str">
        <f t="shared" si="49"/>
        <v/>
      </c>
      <c r="N315" s="11" t="str">
        <f t="shared" si="52"/>
        <v/>
      </c>
      <c r="O315" s="10" t="str">
        <f t="shared" si="53"/>
        <v/>
      </c>
      <c r="P315" s="39" t="str">
        <f t="shared" si="54"/>
        <v/>
      </c>
      <c r="Q315" s="13" t="str">
        <f t="shared" si="50"/>
        <v/>
      </c>
      <c r="R315" s="13" t="str">
        <f t="shared" si="55"/>
        <v/>
      </c>
      <c r="S315" s="13" t="str">
        <f t="shared" si="51"/>
        <v/>
      </c>
      <c r="T315" s="22" t="str">
        <f>IF(R315&lt;&gt;"",VLOOKUP(P315,Constants!$D$3:$E$10,2),"")</f>
        <v/>
      </c>
    </row>
    <row r="316" spans="2:20" x14ac:dyDescent="0.25">
      <c r="B316" s="59"/>
      <c r="C316" s="59"/>
      <c r="D316" s="60"/>
      <c r="E316" s="59"/>
      <c r="F316" s="59" t="str">
        <f t="shared" si="47"/>
        <v/>
      </c>
      <c r="G316" s="59"/>
      <c r="H316" s="61"/>
      <c r="I316" s="61"/>
      <c r="J316" s="61"/>
      <c r="K316" s="62"/>
      <c r="L316" s="10" t="str">
        <f t="shared" si="48"/>
        <v/>
      </c>
      <c r="M316" s="10" t="str">
        <f t="shared" si="49"/>
        <v/>
      </c>
      <c r="N316" s="11" t="str">
        <f t="shared" si="52"/>
        <v/>
      </c>
      <c r="O316" s="10" t="str">
        <f t="shared" si="53"/>
        <v/>
      </c>
      <c r="P316" s="39" t="str">
        <f t="shared" si="54"/>
        <v/>
      </c>
      <c r="Q316" s="13" t="str">
        <f t="shared" si="50"/>
        <v/>
      </c>
      <c r="R316" s="13" t="str">
        <f t="shared" si="55"/>
        <v/>
      </c>
      <c r="S316" s="13" t="str">
        <f t="shared" si="51"/>
        <v/>
      </c>
      <c r="T316" s="22" t="str">
        <f>IF(R316&lt;&gt;"",VLOOKUP(P316,Constants!$D$3:$E$10,2),"")</f>
        <v/>
      </c>
    </row>
    <row r="317" spans="2:20" x14ac:dyDescent="0.25">
      <c r="B317" s="59"/>
      <c r="C317" s="59"/>
      <c r="D317" s="60"/>
      <c r="E317" s="59"/>
      <c r="F317" s="59" t="str">
        <f t="shared" si="47"/>
        <v/>
      </c>
      <c r="G317" s="59"/>
      <c r="H317" s="61"/>
      <c r="I317" s="61"/>
      <c r="J317" s="61"/>
      <c r="K317" s="62"/>
      <c r="L317" s="10" t="str">
        <f t="shared" si="48"/>
        <v/>
      </c>
      <c r="M317" s="10" t="str">
        <f t="shared" si="49"/>
        <v/>
      </c>
      <c r="N317" s="11" t="str">
        <f t="shared" si="52"/>
        <v/>
      </c>
      <c r="O317" s="10" t="str">
        <f t="shared" si="53"/>
        <v/>
      </c>
      <c r="P317" s="39" t="str">
        <f t="shared" si="54"/>
        <v/>
      </c>
      <c r="Q317" s="13" t="str">
        <f t="shared" si="50"/>
        <v/>
      </c>
      <c r="R317" s="13" t="str">
        <f t="shared" si="55"/>
        <v/>
      </c>
      <c r="S317" s="13" t="str">
        <f t="shared" si="51"/>
        <v/>
      </c>
      <c r="T317" s="22" t="str">
        <f>IF(R317&lt;&gt;"",VLOOKUP(P317,Constants!$D$3:$E$10,2),"")</f>
        <v/>
      </c>
    </row>
    <row r="318" spans="2:20" x14ac:dyDescent="0.25">
      <c r="B318" s="59"/>
      <c r="C318" s="59"/>
      <c r="D318" s="60"/>
      <c r="E318" s="59"/>
      <c r="F318" s="59" t="str">
        <f t="shared" si="47"/>
        <v/>
      </c>
      <c r="G318" s="59"/>
      <c r="H318" s="61"/>
      <c r="I318" s="61"/>
      <c r="J318" s="61"/>
      <c r="K318" s="62"/>
      <c r="L318" s="10" t="str">
        <f t="shared" si="48"/>
        <v/>
      </c>
      <c r="M318" s="10" t="str">
        <f t="shared" si="49"/>
        <v/>
      </c>
      <c r="N318" s="11" t="str">
        <f t="shared" si="52"/>
        <v/>
      </c>
      <c r="O318" s="10" t="str">
        <f t="shared" si="53"/>
        <v/>
      </c>
      <c r="P318" s="39" t="str">
        <f t="shared" si="54"/>
        <v/>
      </c>
      <c r="Q318" s="13" t="str">
        <f t="shared" si="50"/>
        <v/>
      </c>
      <c r="R318" s="13" t="str">
        <f t="shared" si="55"/>
        <v/>
      </c>
      <c r="S318" s="13" t="str">
        <f t="shared" si="51"/>
        <v/>
      </c>
      <c r="T318" s="22" t="str">
        <f>IF(R318&lt;&gt;"",VLOOKUP(P318,Constants!$D$3:$E$10,2),"")</f>
        <v/>
      </c>
    </row>
    <row r="319" spans="2:20" x14ac:dyDescent="0.25">
      <c r="B319" s="59"/>
      <c r="C319" s="59"/>
      <c r="D319" s="60"/>
      <c r="E319" s="59"/>
      <c r="F319" s="59" t="str">
        <f t="shared" si="47"/>
        <v/>
      </c>
      <c r="G319" s="59"/>
      <c r="H319" s="61"/>
      <c r="I319" s="61"/>
      <c r="J319" s="61"/>
      <c r="K319" s="62"/>
      <c r="L319" s="10" t="str">
        <f t="shared" si="48"/>
        <v/>
      </c>
      <c r="M319" s="10" t="str">
        <f t="shared" si="49"/>
        <v/>
      </c>
      <c r="N319" s="11" t="str">
        <f t="shared" si="52"/>
        <v/>
      </c>
      <c r="O319" s="10" t="str">
        <f t="shared" si="53"/>
        <v/>
      </c>
      <c r="P319" s="39" t="str">
        <f t="shared" si="54"/>
        <v/>
      </c>
      <c r="Q319" s="13" t="str">
        <f t="shared" si="50"/>
        <v/>
      </c>
      <c r="R319" s="13" t="str">
        <f t="shared" si="55"/>
        <v/>
      </c>
      <c r="S319" s="13" t="str">
        <f t="shared" si="51"/>
        <v/>
      </c>
      <c r="T319" s="22" t="str">
        <f>IF(R319&lt;&gt;"",VLOOKUP(P319,Constants!$D$3:$E$10,2),"")</f>
        <v/>
      </c>
    </row>
    <row r="320" spans="2:20" x14ac:dyDescent="0.25">
      <c r="B320" s="59"/>
      <c r="C320" s="59"/>
      <c r="D320" s="60"/>
      <c r="E320" s="59"/>
      <c r="F320" s="59" t="str">
        <f t="shared" si="47"/>
        <v/>
      </c>
      <c r="G320" s="59"/>
      <c r="H320" s="61"/>
      <c r="I320" s="61"/>
      <c r="J320" s="61"/>
      <c r="K320" s="62"/>
      <c r="L320" s="10" t="str">
        <f t="shared" si="48"/>
        <v/>
      </c>
      <c r="M320" s="10" t="str">
        <f t="shared" si="49"/>
        <v/>
      </c>
      <c r="N320" s="11" t="str">
        <f t="shared" si="52"/>
        <v/>
      </c>
      <c r="O320" s="10" t="str">
        <f t="shared" si="53"/>
        <v/>
      </c>
      <c r="P320" s="39" t="str">
        <f t="shared" si="54"/>
        <v/>
      </c>
      <c r="Q320" s="13" t="str">
        <f t="shared" si="50"/>
        <v/>
      </c>
      <c r="R320" s="13" t="str">
        <f t="shared" si="55"/>
        <v/>
      </c>
      <c r="S320" s="13" t="str">
        <f t="shared" si="51"/>
        <v/>
      </c>
      <c r="T320" s="22" t="str">
        <f>IF(R320&lt;&gt;"",VLOOKUP(P320,Constants!$D$3:$E$10,2),"")</f>
        <v/>
      </c>
    </row>
    <row r="321" spans="2:20" x14ac:dyDescent="0.25">
      <c r="B321" s="59"/>
      <c r="C321" s="59"/>
      <c r="D321" s="60"/>
      <c r="E321" s="59"/>
      <c r="F321" s="59" t="str">
        <f t="shared" si="47"/>
        <v/>
      </c>
      <c r="G321" s="59"/>
      <c r="H321" s="61"/>
      <c r="I321" s="61"/>
      <c r="J321" s="61"/>
      <c r="K321" s="62"/>
      <c r="L321" s="10" t="str">
        <f t="shared" si="48"/>
        <v/>
      </c>
      <c r="M321" s="10" t="str">
        <f t="shared" si="49"/>
        <v/>
      </c>
      <c r="N321" s="11" t="str">
        <f t="shared" si="52"/>
        <v/>
      </c>
      <c r="O321" s="10" t="str">
        <f t="shared" si="53"/>
        <v/>
      </c>
      <c r="P321" s="39" t="str">
        <f t="shared" si="54"/>
        <v/>
      </c>
      <c r="Q321" s="13" t="str">
        <f t="shared" si="50"/>
        <v/>
      </c>
      <c r="R321" s="13" t="str">
        <f t="shared" si="55"/>
        <v/>
      </c>
      <c r="S321" s="13" t="str">
        <f t="shared" si="51"/>
        <v/>
      </c>
      <c r="T321" s="22" t="str">
        <f>IF(R321&lt;&gt;"",VLOOKUP(P321,Constants!$D$3:$E$10,2),"")</f>
        <v/>
      </c>
    </row>
    <row r="322" spans="2:20" x14ac:dyDescent="0.25">
      <c r="B322" s="59"/>
      <c r="C322" s="59"/>
      <c r="D322" s="60"/>
      <c r="E322" s="59"/>
      <c r="F322" s="59" t="str">
        <f t="shared" si="47"/>
        <v/>
      </c>
      <c r="G322" s="59"/>
      <c r="H322" s="61"/>
      <c r="I322" s="61"/>
      <c r="J322" s="61"/>
      <c r="K322" s="62"/>
      <c r="L322" s="10" t="str">
        <f t="shared" si="48"/>
        <v/>
      </c>
      <c r="M322" s="10" t="str">
        <f t="shared" si="49"/>
        <v/>
      </c>
      <c r="N322" s="11" t="str">
        <f t="shared" si="52"/>
        <v/>
      </c>
      <c r="O322" s="10" t="str">
        <f t="shared" si="53"/>
        <v/>
      </c>
      <c r="P322" s="39" t="str">
        <f t="shared" si="54"/>
        <v/>
      </c>
      <c r="Q322" s="13" t="str">
        <f t="shared" si="50"/>
        <v/>
      </c>
      <c r="R322" s="13" t="str">
        <f t="shared" si="55"/>
        <v/>
      </c>
      <c r="S322" s="13" t="str">
        <f t="shared" si="51"/>
        <v/>
      </c>
      <c r="T322" s="22" t="str">
        <f>IF(R322&lt;&gt;"",VLOOKUP(P322,Constants!$D$3:$E$10,2),"")</f>
        <v/>
      </c>
    </row>
    <row r="323" spans="2:20" x14ac:dyDescent="0.25">
      <c r="B323" s="59"/>
      <c r="C323" s="59"/>
      <c r="D323" s="60"/>
      <c r="E323" s="59"/>
      <c r="F323" s="59" t="str">
        <f t="shared" si="47"/>
        <v/>
      </c>
      <c r="G323" s="59"/>
      <c r="H323" s="61"/>
      <c r="I323" s="61"/>
      <c r="J323" s="61"/>
      <c r="K323" s="62"/>
      <c r="L323" s="10" t="str">
        <f t="shared" si="48"/>
        <v/>
      </c>
      <c r="M323" s="10" t="str">
        <f t="shared" si="49"/>
        <v/>
      </c>
      <c r="N323" s="11" t="str">
        <f t="shared" si="52"/>
        <v/>
      </c>
      <c r="O323" s="10" t="str">
        <f t="shared" si="53"/>
        <v/>
      </c>
      <c r="P323" s="39" t="str">
        <f t="shared" si="54"/>
        <v/>
      </c>
      <c r="Q323" s="13" t="str">
        <f t="shared" si="50"/>
        <v/>
      </c>
      <c r="R323" s="13" t="str">
        <f t="shared" si="55"/>
        <v/>
      </c>
      <c r="S323" s="13" t="str">
        <f t="shared" si="51"/>
        <v/>
      </c>
      <c r="T323" s="22" t="str">
        <f>IF(R323&lt;&gt;"",VLOOKUP(P323,Constants!$D$3:$E$10,2),"")</f>
        <v/>
      </c>
    </row>
    <row r="324" spans="2:20" x14ac:dyDescent="0.25">
      <c r="B324" s="59"/>
      <c r="C324" s="59"/>
      <c r="D324" s="60"/>
      <c r="E324" s="59"/>
      <c r="F324" s="59" t="str">
        <f t="shared" si="47"/>
        <v/>
      </c>
      <c r="G324" s="59"/>
      <c r="H324" s="61"/>
      <c r="I324" s="61"/>
      <c r="J324" s="61"/>
      <c r="K324" s="62"/>
      <c r="L324" s="10" t="str">
        <f t="shared" si="48"/>
        <v/>
      </c>
      <c r="M324" s="10" t="str">
        <f t="shared" si="49"/>
        <v/>
      </c>
      <c r="N324" s="11" t="str">
        <f t="shared" si="52"/>
        <v/>
      </c>
      <c r="O324" s="10" t="str">
        <f t="shared" si="53"/>
        <v/>
      </c>
      <c r="P324" s="39" t="str">
        <f t="shared" si="54"/>
        <v/>
      </c>
      <c r="Q324" s="13" t="str">
        <f t="shared" si="50"/>
        <v/>
      </c>
      <c r="R324" s="13" t="str">
        <f t="shared" si="55"/>
        <v/>
      </c>
      <c r="S324" s="13" t="str">
        <f t="shared" si="51"/>
        <v/>
      </c>
      <c r="T324" s="22" t="str">
        <f>IF(R324&lt;&gt;"",VLOOKUP(P324,Constants!$D$3:$E$10,2),"")</f>
        <v/>
      </c>
    </row>
    <row r="325" spans="2:20" x14ac:dyDescent="0.25">
      <c r="B325" s="59"/>
      <c r="C325" s="59"/>
      <c r="D325" s="60"/>
      <c r="E325" s="59"/>
      <c r="F325" s="59" t="str">
        <f t="shared" si="47"/>
        <v/>
      </c>
      <c r="G325" s="59"/>
      <c r="H325" s="61"/>
      <c r="I325" s="61"/>
      <c r="J325" s="61"/>
      <c r="K325" s="62"/>
      <c r="L325" s="10" t="str">
        <f t="shared" si="48"/>
        <v/>
      </c>
      <c r="M325" s="10" t="str">
        <f t="shared" si="49"/>
        <v/>
      </c>
      <c r="N325" s="11" t="str">
        <f t="shared" si="52"/>
        <v/>
      </c>
      <c r="O325" s="10" t="str">
        <f t="shared" si="53"/>
        <v/>
      </c>
      <c r="P325" s="39" t="str">
        <f t="shared" si="54"/>
        <v/>
      </c>
      <c r="Q325" s="13" t="str">
        <f t="shared" si="50"/>
        <v/>
      </c>
      <c r="R325" s="13" t="str">
        <f t="shared" si="55"/>
        <v/>
      </c>
      <c r="S325" s="13" t="str">
        <f t="shared" si="51"/>
        <v/>
      </c>
      <c r="T325" s="22" t="str">
        <f>IF(R325&lt;&gt;"",VLOOKUP(P325,Constants!$D$3:$E$10,2),"")</f>
        <v/>
      </c>
    </row>
    <row r="326" spans="2:20" x14ac:dyDescent="0.25">
      <c r="B326" s="59"/>
      <c r="C326" s="59"/>
      <c r="D326" s="60"/>
      <c r="E326" s="59"/>
      <c r="F326" s="59" t="str">
        <f t="shared" si="47"/>
        <v/>
      </c>
      <c r="G326" s="59"/>
      <c r="H326" s="61"/>
      <c r="I326" s="61"/>
      <c r="J326" s="61"/>
      <c r="K326" s="62"/>
      <c r="L326" s="10" t="str">
        <f t="shared" si="48"/>
        <v/>
      </c>
      <c r="M326" s="10" t="str">
        <f t="shared" si="49"/>
        <v/>
      </c>
      <c r="N326" s="11" t="str">
        <f t="shared" si="52"/>
        <v/>
      </c>
      <c r="O326" s="10" t="str">
        <f t="shared" si="53"/>
        <v/>
      </c>
      <c r="P326" s="39" t="str">
        <f t="shared" si="54"/>
        <v/>
      </c>
      <c r="Q326" s="13" t="str">
        <f t="shared" si="50"/>
        <v/>
      </c>
      <c r="R326" s="13" t="str">
        <f t="shared" si="55"/>
        <v/>
      </c>
      <c r="S326" s="13" t="str">
        <f t="shared" si="51"/>
        <v/>
      </c>
      <c r="T326" s="22" t="str">
        <f>IF(R326&lt;&gt;"",VLOOKUP(P326,Constants!$D$3:$E$10,2),"")</f>
        <v/>
      </c>
    </row>
    <row r="327" spans="2:20" x14ac:dyDescent="0.25">
      <c r="B327" s="59"/>
      <c r="C327" s="59"/>
      <c r="D327" s="60"/>
      <c r="E327" s="59"/>
      <c r="F327" s="59" t="str">
        <f t="shared" si="47"/>
        <v/>
      </c>
      <c r="G327" s="59"/>
      <c r="H327" s="61"/>
      <c r="I327" s="61"/>
      <c r="J327" s="61"/>
      <c r="K327" s="62"/>
      <c r="L327" s="10" t="str">
        <f t="shared" si="48"/>
        <v/>
      </c>
      <c r="M327" s="10" t="str">
        <f t="shared" si="49"/>
        <v/>
      </c>
      <c r="N327" s="11" t="str">
        <f t="shared" si="52"/>
        <v/>
      </c>
      <c r="O327" s="10" t="str">
        <f t="shared" si="53"/>
        <v/>
      </c>
      <c r="P327" s="39" t="str">
        <f t="shared" si="54"/>
        <v/>
      </c>
      <c r="Q327" s="13" t="str">
        <f t="shared" si="50"/>
        <v/>
      </c>
      <c r="R327" s="13" t="str">
        <f t="shared" si="55"/>
        <v/>
      </c>
      <c r="S327" s="13" t="str">
        <f t="shared" si="51"/>
        <v/>
      </c>
      <c r="T327" s="22" t="str">
        <f>IF(R327&lt;&gt;"",VLOOKUP(P327,Constants!$D$3:$E$10,2),"")</f>
        <v/>
      </c>
    </row>
    <row r="328" spans="2:20" x14ac:dyDescent="0.25">
      <c r="B328" s="59"/>
      <c r="C328" s="59"/>
      <c r="D328" s="60"/>
      <c r="E328" s="59"/>
      <c r="F328" s="59" t="str">
        <f t="shared" ref="F328:F358" si="56">IF($D328&lt;&gt;"",1,"")</f>
        <v/>
      </c>
      <c r="G328" s="59"/>
      <c r="H328" s="61"/>
      <c r="I328" s="61"/>
      <c r="J328" s="61"/>
      <c r="K328" s="62"/>
      <c r="L328" s="10" t="str">
        <f t="shared" ref="L328:L391" si="57">IF($D328&lt;&gt;"",$D328*$E328/1000,"")</f>
        <v/>
      </c>
      <c r="M328" s="10" t="str">
        <f t="shared" ref="M328:M391" si="58">IF($D328&lt;&gt;"",$D328*$F328/1000,"")</f>
        <v/>
      </c>
      <c r="N328" s="11" t="str">
        <f t="shared" si="52"/>
        <v/>
      </c>
      <c r="O328" s="10" t="str">
        <f t="shared" si="53"/>
        <v/>
      </c>
      <c r="P328" s="39" t="str">
        <f t="shared" si="54"/>
        <v/>
      </c>
      <c r="Q328" s="13" t="str">
        <f t="shared" ref="Q328:Q391" si="59">IF(F328&lt;&gt;"",F328*E328/1000,"")</f>
        <v/>
      </c>
      <c r="R328" s="13" t="str">
        <f t="shared" si="55"/>
        <v/>
      </c>
      <c r="S328" s="13" t="str">
        <f t="shared" ref="S328:S391" si="60">IF(R328&lt;&gt;"",Q328/R328*1000,"")</f>
        <v/>
      </c>
      <c r="T328" s="22" t="str">
        <f>IF(R328&lt;&gt;"",VLOOKUP(P328,Constants!$D$3:$E$10,2),"")</f>
        <v/>
      </c>
    </row>
    <row r="329" spans="2:20" x14ac:dyDescent="0.25">
      <c r="B329" s="59"/>
      <c r="C329" s="59"/>
      <c r="D329" s="60"/>
      <c r="E329" s="59"/>
      <c r="F329" s="59" t="str">
        <f t="shared" si="56"/>
        <v/>
      </c>
      <c r="G329" s="59"/>
      <c r="H329" s="61"/>
      <c r="I329" s="61"/>
      <c r="J329" s="61"/>
      <c r="K329" s="62"/>
      <c r="L329" s="10" t="str">
        <f t="shared" si="57"/>
        <v/>
      </c>
      <c r="M329" s="10" t="str">
        <f t="shared" si="58"/>
        <v/>
      </c>
      <c r="N329" s="11" t="str">
        <f t="shared" si="52"/>
        <v/>
      </c>
      <c r="O329" s="10" t="str">
        <f t="shared" si="53"/>
        <v/>
      </c>
      <c r="P329" s="39" t="str">
        <f t="shared" si="54"/>
        <v/>
      </c>
      <c r="Q329" s="13" t="str">
        <f t="shared" si="59"/>
        <v/>
      </c>
      <c r="R329" s="13" t="str">
        <f t="shared" si="55"/>
        <v/>
      </c>
      <c r="S329" s="13" t="str">
        <f t="shared" si="60"/>
        <v/>
      </c>
      <c r="T329" s="22" t="str">
        <f>IF(R329&lt;&gt;"",VLOOKUP(P329,Constants!$D$3:$E$10,2),"")</f>
        <v/>
      </c>
    </row>
    <row r="330" spans="2:20" x14ac:dyDescent="0.25">
      <c r="B330" s="59"/>
      <c r="C330" s="59"/>
      <c r="D330" s="60"/>
      <c r="E330" s="59"/>
      <c r="F330" s="59" t="str">
        <f t="shared" si="56"/>
        <v/>
      </c>
      <c r="G330" s="59"/>
      <c r="H330" s="61"/>
      <c r="I330" s="61"/>
      <c r="J330" s="61"/>
      <c r="K330" s="62"/>
      <c r="L330" s="10" t="str">
        <f t="shared" si="57"/>
        <v/>
      </c>
      <c r="M330" s="10" t="str">
        <f t="shared" si="58"/>
        <v/>
      </c>
      <c r="N330" s="11" t="str">
        <f t="shared" si="52"/>
        <v/>
      </c>
      <c r="O330" s="10" t="str">
        <f t="shared" si="53"/>
        <v/>
      </c>
      <c r="P330" s="39" t="str">
        <f t="shared" si="54"/>
        <v/>
      </c>
      <c r="Q330" s="13" t="str">
        <f t="shared" si="59"/>
        <v/>
      </c>
      <c r="R330" s="13" t="str">
        <f t="shared" si="55"/>
        <v/>
      </c>
      <c r="S330" s="13" t="str">
        <f t="shared" si="60"/>
        <v/>
      </c>
      <c r="T330" s="22" t="str">
        <f>IF(R330&lt;&gt;"",VLOOKUP(P330,Constants!$D$3:$E$10,2),"")</f>
        <v/>
      </c>
    </row>
    <row r="331" spans="2:20" x14ac:dyDescent="0.25">
      <c r="B331" s="59"/>
      <c r="C331" s="59"/>
      <c r="D331" s="60"/>
      <c r="E331" s="59"/>
      <c r="F331" s="59" t="str">
        <f t="shared" si="56"/>
        <v/>
      </c>
      <c r="G331" s="59"/>
      <c r="H331" s="61"/>
      <c r="I331" s="61"/>
      <c r="J331" s="61"/>
      <c r="K331" s="62"/>
      <c r="L331" s="10" t="str">
        <f t="shared" si="57"/>
        <v/>
      </c>
      <c r="M331" s="10" t="str">
        <f t="shared" si="58"/>
        <v/>
      </c>
      <c r="N331" s="11" t="str">
        <f t="shared" si="52"/>
        <v/>
      </c>
      <c r="O331" s="10" t="str">
        <f t="shared" si="53"/>
        <v/>
      </c>
      <c r="P331" s="39" t="str">
        <f t="shared" si="54"/>
        <v/>
      </c>
      <c r="Q331" s="13" t="str">
        <f t="shared" si="59"/>
        <v/>
      </c>
      <c r="R331" s="13" t="str">
        <f t="shared" si="55"/>
        <v/>
      </c>
      <c r="S331" s="13" t="str">
        <f t="shared" si="60"/>
        <v/>
      </c>
      <c r="T331" s="22" t="str">
        <f>IF(R331&lt;&gt;"",VLOOKUP(P331,Constants!$D$3:$E$10,2),"")</f>
        <v/>
      </c>
    </row>
    <row r="332" spans="2:20" x14ac:dyDescent="0.25">
      <c r="B332" s="59"/>
      <c r="C332" s="59"/>
      <c r="D332" s="60"/>
      <c r="E332" s="59"/>
      <c r="F332" s="59" t="str">
        <f t="shared" si="56"/>
        <v/>
      </c>
      <c r="G332" s="59"/>
      <c r="H332" s="61"/>
      <c r="I332" s="61"/>
      <c r="J332" s="61"/>
      <c r="K332" s="62"/>
      <c r="L332" s="10" t="str">
        <f t="shared" si="57"/>
        <v/>
      </c>
      <c r="M332" s="10" t="str">
        <f t="shared" si="58"/>
        <v/>
      </c>
      <c r="N332" s="11" t="str">
        <f t="shared" si="52"/>
        <v/>
      </c>
      <c r="O332" s="10" t="str">
        <f t="shared" si="53"/>
        <v/>
      </c>
      <c r="P332" s="39" t="str">
        <f t="shared" si="54"/>
        <v/>
      </c>
      <c r="Q332" s="13" t="str">
        <f t="shared" si="59"/>
        <v/>
      </c>
      <c r="R332" s="13" t="str">
        <f t="shared" si="55"/>
        <v/>
      </c>
      <c r="S332" s="13" t="str">
        <f t="shared" si="60"/>
        <v/>
      </c>
      <c r="T332" s="22" t="str">
        <f>IF(R332&lt;&gt;"",VLOOKUP(P332,Constants!$D$3:$E$10,2),"")</f>
        <v/>
      </c>
    </row>
    <row r="333" spans="2:20" x14ac:dyDescent="0.25">
      <c r="B333" s="59"/>
      <c r="C333" s="59"/>
      <c r="D333" s="60"/>
      <c r="E333" s="59"/>
      <c r="F333" s="59" t="str">
        <f t="shared" si="56"/>
        <v/>
      </c>
      <c r="G333" s="59"/>
      <c r="H333" s="61"/>
      <c r="I333" s="61"/>
      <c r="J333" s="61"/>
      <c r="K333" s="62"/>
      <c r="L333" s="10" t="str">
        <f t="shared" si="57"/>
        <v/>
      </c>
      <c r="M333" s="10" t="str">
        <f t="shared" si="58"/>
        <v/>
      </c>
      <c r="N333" s="11" t="str">
        <f t="shared" si="52"/>
        <v/>
      </c>
      <c r="O333" s="10" t="str">
        <f t="shared" si="53"/>
        <v/>
      </c>
      <c r="P333" s="39" t="str">
        <f t="shared" si="54"/>
        <v/>
      </c>
      <c r="Q333" s="13" t="str">
        <f t="shared" si="59"/>
        <v/>
      </c>
      <c r="R333" s="13" t="str">
        <f t="shared" si="55"/>
        <v/>
      </c>
      <c r="S333" s="13" t="str">
        <f t="shared" si="60"/>
        <v/>
      </c>
      <c r="T333" s="22" t="str">
        <f>IF(R333&lt;&gt;"",VLOOKUP(P333,Constants!$D$3:$E$10,2),"")</f>
        <v/>
      </c>
    </row>
    <row r="334" spans="2:20" x14ac:dyDescent="0.25">
      <c r="B334" s="59"/>
      <c r="C334" s="59"/>
      <c r="D334" s="60"/>
      <c r="E334" s="59"/>
      <c r="F334" s="59" t="str">
        <f t="shared" si="56"/>
        <v/>
      </c>
      <c r="G334" s="59"/>
      <c r="H334" s="61"/>
      <c r="I334" s="61"/>
      <c r="J334" s="61"/>
      <c r="K334" s="62"/>
      <c r="L334" s="10" t="str">
        <f t="shared" si="57"/>
        <v/>
      </c>
      <c r="M334" s="10" t="str">
        <f t="shared" si="58"/>
        <v/>
      </c>
      <c r="N334" s="11" t="str">
        <f t="shared" si="52"/>
        <v/>
      </c>
      <c r="O334" s="10" t="str">
        <f t="shared" si="53"/>
        <v/>
      </c>
      <c r="P334" s="39" t="str">
        <f t="shared" si="54"/>
        <v/>
      </c>
      <c r="Q334" s="13" t="str">
        <f t="shared" si="59"/>
        <v/>
      </c>
      <c r="R334" s="13" t="str">
        <f t="shared" si="55"/>
        <v/>
      </c>
      <c r="S334" s="13" t="str">
        <f t="shared" si="60"/>
        <v/>
      </c>
      <c r="T334" s="22" t="str">
        <f>IF(R334&lt;&gt;"",VLOOKUP(P334,Constants!$D$3:$E$10,2),"")</f>
        <v/>
      </c>
    </row>
    <row r="335" spans="2:20" x14ac:dyDescent="0.25">
      <c r="B335" s="59"/>
      <c r="C335" s="59"/>
      <c r="D335" s="60"/>
      <c r="E335" s="59"/>
      <c r="F335" s="59" t="str">
        <f t="shared" si="56"/>
        <v/>
      </c>
      <c r="G335" s="59"/>
      <c r="H335" s="61"/>
      <c r="I335" s="61"/>
      <c r="J335" s="61"/>
      <c r="K335" s="62"/>
      <c r="L335" s="10" t="str">
        <f t="shared" si="57"/>
        <v/>
      </c>
      <c r="M335" s="10" t="str">
        <f t="shared" si="58"/>
        <v/>
      </c>
      <c r="N335" s="11" t="str">
        <f t="shared" si="52"/>
        <v/>
      </c>
      <c r="O335" s="10" t="str">
        <f t="shared" si="53"/>
        <v/>
      </c>
      <c r="P335" s="39" t="str">
        <f t="shared" si="54"/>
        <v/>
      </c>
      <c r="Q335" s="13" t="str">
        <f t="shared" si="59"/>
        <v/>
      </c>
      <c r="R335" s="13" t="str">
        <f t="shared" si="55"/>
        <v/>
      </c>
      <c r="S335" s="13" t="str">
        <f t="shared" si="60"/>
        <v/>
      </c>
      <c r="T335" s="22" t="str">
        <f>IF(R335&lt;&gt;"",VLOOKUP(P335,Constants!$D$3:$E$10,2),"")</f>
        <v/>
      </c>
    </row>
    <row r="336" spans="2:20" x14ac:dyDescent="0.25">
      <c r="B336" s="59"/>
      <c r="C336" s="59"/>
      <c r="D336" s="60"/>
      <c r="E336" s="59"/>
      <c r="F336" s="59" t="str">
        <f t="shared" si="56"/>
        <v/>
      </c>
      <c r="G336" s="59"/>
      <c r="H336" s="61"/>
      <c r="I336" s="61"/>
      <c r="J336" s="61"/>
      <c r="K336" s="62"/>
      <c r="L336" s="10" t="str">
        <f t="shared" si="57"/>
        <v/>
      </c>
      <c r="M336" s="10" t="str">
        <f t="shared" si="58"/>
        <v/>
      </c>
      <c r="N336" s="11" t="str">
        <f t="shared" ref="N336:N399" si="61">IF($L336&lt;&gt;"",SQRT($L336*$L336+$M336*$M336),"")</f>
        <v/>
      </c>
      <c r="O336" s="10" t="str">
        <f t="shared" si="53"/>
        <v/>
      </c>
      <c r="P336" s="39" t="str">
        <f t="shared" si="54"/>
        <v/>
      </c>
      <c r="Q336" s="13" t="str">
        <f t="shared" si="59"/>
        <v/>
      </c>
      <c r="R336" s="13" t="str">
        <f t="shared" si="55"/>
        <v/>
      </c>
      <c r="S336" s="13" t="str">
        <f t="shared" si="60"/>
        <v/>
      </c>
      <c r="T336" s="22" t="str">
        <f>IF(R336&lt;&gt;"",VLOOKUP(P336,Constants!$D$3:$E$10,2),"")</f>
        <v/>
      </c>
    </row>
    <row r="337" spans="2:20" x14ac:dyDescent="0.25">
      <c r="B337" s="59"/>
      <c r="C337" s="59"/>
      <c r="D337" s="60"/>
      <c r="E337" s="59"/>
      <c r="F337" s="59" t="str">
        <f t="shared" si="56"/>
        <v/>
      </c>
      <c r="G337" s="59"/>
      <c r="H337" s="61"/>
      <c r="I337" s="61"/>
      <c r="J337" s="61"/>
      <c r="K337" s="62"/>
      <c r="L337" s="10" t="str">
        <f t="shared" si="57"/>
        <v/>
      </c>
      <c r="M337" s="10" t="str">
        <f t="shared" si="58"/>
        <v/>
      </c>
      <c r="N337" s="11" t="str">
        <f t="shared" si="61"/>
        <v/>
      </c>
      <c r="O337" s="10" t="str">
        <f t="shared" si="53"/>
        <v/>
      </c>
      <c r="P337" s="39" t="str">
        <f t="shared" si="54"/>
        <v/>
      </c>
      <c r="Q337" s="13" t="str">
        <f t="shared" si="59"/>
        <v/>
      </c>
      <c r="R337" s="13" t="str">
        <f t="shared" si="55"/>
        <v/>
      </c>
      <c r="S337" s="13" t="str">
        <f t="shared" si="60"/>
        <v/>
      </c>
      <c r="T337" s="22" t="str">
        <f>IF(R337&lt;&gt;"",VLOOKUP(P337,Constants!$D$3:$E$10,2),"")</f>
        <v/>
      </c>
    </row>
    <row r="338" spans="2:20" x14ac:dyDescent="0.25">
      <c r="B338" s="59"/>
      <c r="C338" s="59"/>
      <c r="D338" s="60"/>
      <c r="E338" s="59"/>
      <c r="F338" s="59" t="str">
        <f t="shared" si="56"/>
        <v/>
      </c>
      <c r="G338" s="59"/>
      <c r="H338" s="61"/>
      <c r="I338" s="61"/>
      <c r="J338" s="61"/>
      <c r="K338" s="62"/>
      <c r="L338" s="10" t="str">
        <f t="shared" si="57"/>
        <v/>
      </c>
      <c r="M338" s="10" t="str">
        <f t="shared" si="58"/>
        <v/>
      </c>
      <c r="N338" s="11" t="str">
        <f t="shared" si="61"/>
        <v/>
      </c>
      <c r="O338" s="10" t="str">
        <f t="shared" si="53"/>
        <v/>
      </c>
      <c r="P338" s="39" t="str">
        <f t="shared" si="54"/>
        <v/>
      </c>
      <c r="Q338" s="13" t="str">
        <f t="shared" si="59"/>
        <v/>
      </c>
      <c r="R338" s="13" t="str">
        <f t="shared" si="55"/>
        <v/>
      </c>
      <c r="S338" s="13" t="str">
        <f t="shared" si="60"/>
        <v/>
      </c>
      <c r="T338" s="22" t="str">
        <f>IF(R338&lt;&gt;"",VLOOKUP(P338,Constants!$D$3:$E$10,2),"")</f>
        <v/>
      </c>
    </row>
    <row r="339" spans="2:20" x14ac:dyDescent="0.25">
      <c r="B339" s="59"/>
      <c r="C339" s="59"/>
      <c r="D339" s="60"/>
      <c r="E339" s="59"/>
      <c r="F339" s="59" t="str">
        <f t="shared" si="56"/>
        <v/>
      </c>
      <c r="G339" s="59"/>
      <c r="H339" s="61"/>
      <c r="I339" s="61"/>
      <c r="J339" s="61"/>
      <c r="K339" s="62"/>
      <c r="L339" s="10" t="str">
        <f t="shared" si="57"/>
        <v/>
      </c>
      <c r="M339" s="10" t="str">
        <f t="shared" si="58"/>
        <v/>
      </c>
      <c r="N339" s="11" t="str">
        <f t="shared" si="61"/>
        <v/>
      </c>
      <c r="O339" s="10" t="str">
        <f t="shared" si="53"/>
        <v/>
      </c>
      <c r="P339" s="39" t="str">
        <f t="shared" si="54"/>
        <v/>
      </c>
      <c r="Q339" s="13" t="str">
        <f t="shared" si="59"/>
        <v/>
      </c>
      <c r="R339" s="13" t="str">
        <f t="shared" si="55"/>
        <v/>
      </c>
      <c r="S339" s="13" t="str">
        <f t="shared" si="60"/>
        <v/>
      </c>
      <c r="T339" s="22" t="str">
        <f>IF(R339&lt;&gt;"",VLOOKUP(P339,Constants!$D$3:$E$10,2),"")</f>
        <v/>
      </c>
    </row>
    <row r="340" spans="2:20" x14ac:dyDescent="0.25">
      <c r="B340" s="59"/>
      <c r="C340" s="59"/>
      <c r="D340" s="60"/>
      <c r="E340" s="59"/>
      <c r="F340" s="59" t="str">
        <f t="shared" si="56"/>
        <v/>
      </c>
      <c r="G340" s="59"/>
      <c r="H340" s="61"/>
      <c r="I340" s="61"/>
      <c r="J340" s="61"/>
      <c r="K340" s="62"/>
      <c r="L340" s="10" t="str">
        <f t="shared" si="57"/>
        <v/>
      </c>
      <c r="M340" s="10" t="str">
        <f t="shared" si="58"/>
        <v/>
      </c>
      <c r="N340" s="11" t="str">
        <f t="shared" si="61"/>
        <v/>
      </c>
      <c r="O340" s="10" t="str">
        <f t="shared" si="53"/>
        <v/>
      </c>
      <c r="P340" s="39" t="str">
        <f t="shared" si="54"/>
        <v/>
      </c>
      <c r="Q340" s="13" t="str">
        <f t="shared" si="59"/>
        <v/>
      </c>
      <c r="R340" s="13" t="str">
        <f t="shared" si="55"/>
        <v/>
      </c>
      <c r="S340" s="13" t="str">
        <f t="shared" si="60"/>
        <v/>
      </c>
      <c r="T340" s="22" t="str">
        <f>IF(R340&lt;&gt;"",VLOOKUP(P340,Constants!$D$3:$E$10,2),"")</f>
        <v/>
      </c>
    </row>
    <row r="341" spans="2:20" x14ac:dyDescent="0.25">
      <c r="B341" s="59"/>
      <c r="C341" s="59"/>
      <c r="D341" s="60"/>
      <c r="E341" s="59"/>
      <c r="F341" s="59" t="str">
        <f t="shared" si="56"/>
        <v/>
      </c>
      <c r="G341" s="59"/>
      <c r="H341" s="61"/>
      <c r="I341" s="61"/>
      <c r="J341" s="61"/>
      <c r="K341" s="62"/>
      <c r="L341" s="10" t="str">
        <f t="shared" si="57"/>
        <v/>
      </c>
      <c r="M341" s="10" t="str">
        <f t="shared" si="58"/>
        <v/>
      </c>
      <c r="N341" s="11" t="str">
        <f t="shared" si="61"/>
        <v/>
      </c>
      <c r="O341" s="10" t="str">
        <f t="shared" si="53"/>
        <v/>
      </c>
      <c r="P341" s="39" t="str">
        <f t="shared" si="54"/>
        <v/>
      </c>
      <c r="Q341" s="13" t="str">
        <f t="shared" si="59"/>
        <v/>
      </c>
      <c r="R341" s="13" t="str">
        <f t="shared" si="55"/>
        <v/>
      </c>
      <c r="S341" s="13" t="str">
        <f t="shared" si="60"/>
        <v/>
      </c>
      <c r="T341" s="22" t="str">
        <f>IF(R341&lt;&gt;"",VLOOKUP(P341,Constants!$D$3:$E$10,2),"")</f>
        <v/>
      </c>
    </row>
    <row r="342" spans="2:20" x14ac:dyDescent="0.25">
      <c r="B342" s="59"/>
      <c r="C342" s="59"/>
      <c r="D342" s="60"/>
      <c r="E342" s="59"/>
      <c r="F342" s="59" t="str">
        <f t="shared" si="56"/>
        <v/>
      </c>
      <c r="G342" s="59"/>
      <c r="H342" s="61"/>
      <c r="I342" s="61"/>
      <c r="J342" s="61"/>
      <c r="K342" s="62"/>
      <c r="L342" s="10" t="str">
        <f t="shared" si="57"/>
        <v/>
      </c>
      <c r="M342" s="10" t="str">
        <f t="shared" si="58"/>
        <v/>
      </c>
      <c r="N342" s="11" t="str">
        <f t="shared" si="61"/>
        <v/>
      </c>
      <c r="O342" s="10" t="str">
        <f t="shared" si="53"/>
        <v/>
      </c>
      <c r="P342" s="39" t="str">
        <f t="shared" si="54"/>
        <v/>
      </c>
      <c r="Q342" s="13" t="str">
        <f t="shared" si="59"/>
        <v/>
      </c>
      <c r="R342" s="13" t="str">
        <f t="shared" si="55"/>
        <v/>
      </c>
      <c r="S342" s="13" t="str">
        <f t="shared" si="60"/>
        <v/>
      </c>
      <c r="T342" s="22" t="str">
        <f>IF(R342&lt;&gt;"",VLOOKUP(P342,Constants!$D$3:$E$10,2),"")</f>
        <v/>
      </c>
    </row>
    <row r="343" spans="2:20" x14ac:dyDescent="0.25">
      <c r="B343" s="59"/>
      <c r="C343" s="59"/>
      <c r="D343" s="60"/>
      <c r="E343" s="59"/>
      <c r="F343" s="59" t="str">
        <f t="shared" si="56"/>
        <v/>
      </c>
      <c r="G343" s="59"/>
      <c r="H343" s="61"/>
      <c r="I343" s="61"/>
      <c r="J343" s="61"/>
      <c r="K343" s="62"/>
      <c r="L343" s="10" t="str">
        <f t="shared" si="57"/>
        <v/>
      </c>
      <c r="M343" s="10" t="str">
        <f t="shared" si="58"/>
        <v/>
      </c>
      <c r="N343" s="11" t="str">
        <f t="shared" si="61"/>
        <v/>
      </c>
      <c r="O343" s="10" t="str">
        <f t="shared" ref="O343:O406" si="62">IF(D343&lt;&gt;"",1000/(2*D343),"")</f>
        <v/>
      </c>
      <c r="P343" s="39" t="str">
        <f t="shared" ref="P343:P406" si="63">IF($N343&lt;&gt;"",D343*SQRT(E343*E343+F343*F343)/16000,"")</f>
        <v/>
      </c>
      <c r="Q343" s="13" t="str">
        <f t="shared" si="59"/>
        <v/>
      </c>
      <c r="R343" s="13" t="str">
        <f t="shared" ref="R343:R406" si="64">IF(G343&lt;&gt;"",1000/G343,"")</f>
        <v/>
      </c>
      <c r="S343" s="13" t="str">
        <f t="shared" si="60"/>
        <v/>
      </c>
      <c r="T343" s="22" t="str">
        <f>IF(R343&lt;&gt;"",VLOOKUP(P343,Constants!$D$3:$E$10,2),"")</f>
        <v/>
      </c>
    </row>
    <row r="344" spans="2:20" x14ac:dyDescent="0.25">
      <c r="B344" s="59"/>
      <c r="C344" s="59"/>
      <c r="D344" s="60"/>
      <c r="E344" s="59"/>
      <c r="F344" s="59" t="str">
        <f t="shared" si="56"/>
        <v/>
      </c>
      <c r="G344" s="59"/>
      <c r="H344" s="61"/>
      <c r="I344" s="61"/>
      <c r="J344" s="61"/>
      <c r="K344" s="62"/>
      <c r="L344" s="10" t="str">
        <f t="shared" si="57"/>
        <v/>
      </c>
      <c r="M344" s="10" t="str">
        <f t="shared" si="58"/>
        <v/>
      </c>
      <c r="N344" s="11" t="str">
        <f t="shared" si="61"/>
        <v/>
      </c>
      <c r="O344" s="10" t="str">
        <f t="shared" si="62"/>
        <v/>
      </c>
      <c r="P344" s="39" t="str">
        <f t="shared" si="63"/>
        <v/>
      </c>
      <c r="Q344" s="13" t="str">
        <f t="shared" si="59"/>
        <v/>
      </c>
      <c r="R344" s="13" t="str">
        <f t="shared" si="64"/>
        <v/>
      </c>
      <c r="S344" s="13" t="str">
        <f t="shared" si="60"/>
        <v/>
      </c>
      <c r="T344" s="22" t="str">
        <f>IF(R344&lt;&gt;"",VLOOKUP(P344,Constants!$D$3:$E$10,2),"")</f>
        <v/>
      </c>
    </row>
    <row r="345" spans="2:20" x14ac:dyDescent="0.25">
      <c r="B345" s="59"/>
      <c r="C345" s="59"/>
      <c r="D345" s="60"/>
      <c r="E345" s="59"/>
      <c r="F345" s="59" t="str">
        <f t="shared" si="56"/>
        <v/>
      </c>
      <c r="G345" s="59"/>
      <c r="H345" s="61"/>
      <c r="I345" s="61"/>
      <c r="J345" s="61"/>
      <c r="K345" s="62"/>
      <c r="L345" s="10" t="str">
        <f t="shared" si="57"/>
        <v/>
      </c>
      <c r="M345" s="10" t="str">
        <f t="shared" si="58"/>
        <v/>
      </c>
      <c r="N345" s="11" t="str">
        <f t="shared" si="61"/>
        <v/>
      </c>
      <c r="O345" s="10" t="str">
        <f t="shared" si="62"/>
        <v/>
      </c>
      <c r="P345" s="39" t="str">
        <f t="shared" si="63"/>
        <v/>
      </c>
      <c r="Q345" s="13" t="str">
        <f t="shared" si="59"/>
        <v/>
      </c>
      <c r="R345" s="13" t="str">
        <f t="shared" si="64"/>
        <v/>
      </c>
      <c r="S345" s="13" t="str">
        <f t="shared" si="60"/>
        <v/>
      </c>
      <c r="T345" s="22" t="str">
        <f>IF(R345&lt;&gt;"",VLOOKUP(P345,Constants!$D$3:$E$10,2),"")</f>
        <v/>
      </c>
    </row>
    <row r="346" spans="2:20" x14ac:dyDescent="0.25">
      <c r="B346" s="59"/>
      <c r="C346" s="59"/>
      <c r="D346" s="60"/>
      <c r="E346" s="59"/>
      <c r="F346" s="59" t="str">
        <f t="shared" si="56"/>
        <v/>
      </c>
      <c r="G346" s="59"/>
      <c r="H346" s="61"/>
      <c r="I346" s="61"/>
      <c r="J346" s="61"/>
      <c r="K346" s="62"/>
      <c r="L346" s="10" t="str">
        <f t="shared" si="57"/>
        <v/>
      </c>
      <c r="M346" s="10" t="str">
        <f t="shared" si="58"/>
        <v/>
      </c>
      <c r="N346" s="11" t="str">
        <f t="shared" si="61"/>
        <v/>
      </c>
      <c r="O346" s="10" t="str">
        <f t="shared" si="62"/>
        <v/>
      </c>
      <c r="P346" s="39" t="str">
        <f t="shared" si="63"/>
        <v/>
      </c>
      <c r="Q346" s="13" t="str">
        <f t="shared" si="59"/>
        <v/>
      </c>
      <c r="R346" s="13" t="str">
        <f t="shared" si="64"/>
        <v/>
      </c>
      <c r="S346" s="13" t="str">
        <f t="shared" si="60"/>
        <v/>
      </c>
      <c r="T346" s="22" t="str">
        <f>IF(R346&lt;&gt;"",VLOOKUP(P346,Constants!$D$3:$E$10,2),"")</f>
        <v/>
      </c>
    </row>
    <row r="347" spans="2:20" x14ac:dyDescent="0.25">
      <c r="B347" s="59"/>
      <c r="C347" s="59"/>
      <c r="D347" s="60"/>
      <c r="E347" s="59"/>
      <c r="F347" s="59" t="str">
        <f t="shared" si="56"/>
        <v/>
      </c>
      <c r="G347" s="59"/>
      <c r="H347" s="61"/>
      <c r="I347" s="61"/>
      <c r="J347" s="61"/>
      <c r="K347" s="62"/>
      <c r="L347" s="10" t="str">
        <f t="shared" si="57"/>
        <v/>
      </c>
      <c r="M347" s="10" t="str">
        <f t="shared" si="58"/>
        <v/>
      </c>
      <c r="N347" s="11" t="str">
        <f t="shared" si="61"/>
        <v/>
      </c>
      <c r="O347" s="10" t="str">
        <f t="shared" si="62"/>
        <v/>
      </c>
      <c r="P347" s="39" t="str">
        <f t="shared" si="63"/>
        <v/>
      </c>
      <c r="Q347" s="13" t="str">
        <f t="shared" si="59"/>
        <v/>
      </c>
      <c r="R347" s="13" t="str">
        <f t="shared" si="64"/>
        <v/>
      </c>
      <c r="S347" s="13" t="str">
        <f t="shared" si="60"/>
        <v/>
      </c>
      <c r="T347" s="22" t="str">
        <f>IF(R347&lt;&gt;"",VLOOKUP(P347,Constants!$D$3:$E$10,2),"")</f>
        <v/>
      </c>
    </row>
    <row r="348" spans="2:20" x14ac:dyDescent="0.25">
      <c r="B348" s="59"/>
      <c r="C348" s="59"/>
      <c r="D348" s="60"/>
      <c r="E348" s="59"/>
      <c r="F348" s="59" t="str">
        <f t="shared" si="56"/>
        <v/>
      </c>
      <c r="G348" s="59"/>
      <c r="H348" s="61"/>
      <c r="I348" s="61"/>
      <c r="J348" s="61"/>
      <c r="K348" s="62"/>
      <c r="L348" s="10" t="str">
        <f t="shared" si="57"/>
        <v/>
      </c>
      <c r="M348" s="10" t="str">
        <f t="shared" si="58"/>
        <v/>
      </c>
      <c r="N348" s="11" t="str">
        <f t="shared" si="61"/>
        <v/>
      </c>
      <c r="O348" s="10" t="str">
        <f t="shared" si="62"/>
        <v/>
      </c>
      <c r="P348" s="39" t="str">
        <f t="shared" si="63"/>
        <v/>
      </c>
      <c r="Q348" s="13" t="str">
        <f t="shared" si="59"/>
        <v/>
      </c>
      <c r="R348" s="13" t="str">
        <f t="shared" si="64"/>
        <v/>
      </c>
      <c r="S348" s="13" t="str">
        <f t="shared" si="60"/>
        <v/>
      </c>
      <c r="T348" s="22" t="str">
        <f>IF(R348&lt;&gt;"",VLOOKUP(P348,Constants!$D$3:$E$10,2),"")</f>
        <v/>
      </c>
    </row>
    <row r="349" spans="2:20" x14ac:dyDescent="0.25">
      <c r="B349" s="59"/>
      <c r="C349" s="59"/>
      <c r="D349" s="60"/>
      <c r="E349" s="59"/>
      <c r="F349" s="59" t="str">
        <f t="shared" si="56"/>
        <v/>
      </c>
      <c r="G349" s="59"/>
      <c r="H349" s="61"/>
      <c r="I349" s="61"/>
      <c r="J349" s="61"/>
      <c r="K349" s="62"/>
      <c r="L349" s="10" t="str">
        <f t="shared" si="57"/>
        <v/>
      </c>
      <c r="M349" s="10" t="str">
        <f t="shared" si="58"/>
        <v/>
      </c>
      <c r="N349" s="11" t="str">
        <f t="shared" si="61"/>
        <v/>
      </c>
      <c r="O349" s="10" t="str">
        <f t="shared" si="62"/>
        <v/>
      </c>
      <c r="P349" s="39" t="str">
        <f t="shared" si="63"/>
        <v/>
      </c>
      <c r="Q349" s="13" t="str">
        <f t="shared" si="59"/>
        <v/>
      </c>
      <c r="R349" s="13" t="str">
        <f t="shared" si="64"/>
        <v/>
      </c>
      <c r="S349" s="13" t="str">
        <f t="shared" si="60"/>
        <v/>
      </c>
      <c r="T349" s="22" t="str">
        <f>IF(R349&lt;&gt;"",VLOOKUP(P349,Constants!$D$3:$E$10,2),"")</f>
        <v/>
      </c>
    </row>
    <row r="350" spans="2:20" x14ac:dyDescent="0.25">
      <c r="B350" s="59"/>
      <c r="C350" s="59"/>
      <c r="D350" s="60"/>
      <c r="E350" s="59"/>
      <c r="F350" s="59" t="str">
        <f t="shared" si="56"/>
        <v/>
      </c>
      <c r="G350" s="59"/>
      <c r="H350" s="61"/>
      <c r="I350" s="61"/>
      <c r="J350" s="61"/>
      <c r="K350" s="62"/>
      <c r="L350" s="10" t="str">
        <f t="shared" si="57"/>
        <v/>
      </c>
      <c r="M350" s="10" t="str">
        <f t="shared" si="58"/>
        <v/>
      </c>
      <c r="N350" s="11" t="str">
        <f t="shared" si="61"/>
        <v/>
      </c>
      <c r="O350" s="10" t="str">
        <f t="shared" si="62"/>
        <v/>
      </c>
      <c r="P350" s="39" t="str">
        <f t="shared" si="63"/>
        <v/>
      </c>
      <c r="Q350" s="13" t="str">
        <f t="shared" si="59"/>
        <v/>
      </c>
      <c r="R350" s="13" t="str">
        <f t="shared" si="64"/>
        <v/>
      </c>
      <c r="S350" s="13" t="str">
        <f t="shared" si="60"/>
        <v/>
      </c>
      <c r="T350" s="22" t="str">
        <f>IF(R350&lt;&gt;"",VLOOKUP(P350,Constants!$D$3:$E$10,2),"")</f>
        <v/>
      </c>
    </row>
    <row r="351" spans="2:20" x14ac:dyDescent="0.25">
      <c r="B351" s="59"/>
      <c r="C351" s="59"/>
      <c r="D351" s="60"/>
      <c r="E351" s="59"/>
      <c r="F351" s="59" t="str">
        <f t="shared" si="56"/>
        <v/>
      </c>
      <c r="G351" s="59"/>
      <c r="H351" s="61"/>
      <c r="I351" s="61"/>
      <c r="J351" s="61"/>
      <c r="K351" s="62"/>
      <c r="L351" s="10" t="str">
        <f t="shared" si="57"/>
        <v/>
      </c>
      <c r="M351" s="10" t="str">
        <f t="shared" si="58"/>
        <v/>
      </c>
      <c r="N351" s="11" t="str">
        <f t="shared" si="61"/>
        <v/>
      </c>
      <c r="O351" s="10" t="str">
        <f t="shared" si="62"/>
        <v/>
      </c>
      <c r="P351" s="39" t="str">
        <f t="shared" si="63"/>
        <v/>
      </c>
      <c r="Q351" s="13" t="str">
        <f t="shared" si="59"/>
        <v/>
      </c>
      <c r="R351" s="13" t="str">
        <f t="shared" si="64"/>
        <v/>
      </c>
      <c r="S351" s="13" t="str">
        <f t="shared" si="60"/>
        <v/>
      </c>
      <c r="T351" s="22" t="str">
        <f>IF(R351&lt;&gt;"",VLOOKUP(P351,Constants!$D$3:$E$10,2),"")</f>
        <v/>
      </c>
    </row>
    <row r="352" spans="2:20" x14ac:dyDescent="0.25">
      <c r="B352" s="59"/>
      <c r="C352" s="59"/>
      <c r="D352" s="60"/>
      <c r="E352" s="59"/>
      <c r="F352" s="59" t="str">
        <f t="shared" si="56"/>
        <v/>
      </c>
      <c r="G352" s="59"/>
      <c r="H352" s="61"/>
      <c r="I352" s="61"/>
      <c r="J352" s="61"/>
      <c r="K352" s="62"/>
      <c r="L352" s="10" t="str">
        <f t="shared" si="57"/>
        <v/>
      </c>
      <c r="M352" s="10" t="str">
        <f t="shared" si="58"/>
        <v/>
      </c>
      <c r="N352" s="11" t="str">
        <f t="shared" si="61"/>
        <v/>
      </c>
      <c r="O352" s="10" t="str">
        <f t="shared" si="62"/>
        <v/>
      </c>
      <c r="P352" s="39" t="str">
        <f t="shared" si="63"/>
        <v/>
      </c>
      <c r="Q352" s="13" t="str">
        <f t="shared" si="59"/>
        <v/>
      </c>
      <c r="R352" s="13" t="str">
        <f t="shared" si="64"/>
        <v/>
      </c>
      <c r="S352" s="13" t="str">
        <f t="shared" si="60"/>
        <v/>
      </c>
      <c r="T352" s="22" t="str">
        <f>IF(R352&lt;&gt;"",VLOOKUP(P352,Constants!$D$3:$E$10,2),"")</f>
        <v/>
      </c>
    </row>
    <row r="353" spans="2:20" x14ac:dyDescent="0.25">
      <c r="B353" s="59"/>
      <c r="C353" s="59"/>
      <c r="D353" s="60"/>
      <c r="E353" s="59"/>
      <c r="F353" s="59" t="str">
        <f t="shared" si="56"/>
        <v/>
      </c>
      <c r="G353" s="59"/>
      <c r="H353" s="61"/>
      <c r="I353" s="61"/>
      <c r="J353" s="61"/>
      <c r="K353" s="62"/>
      <c r="L353" s="10" t="str">
        <f t="shared" si="57"/>
        <v/>
      </c>
      <c r="M353" s="10" t="str">
        <f t="shared" si="58"/>
        <v/>
      </c>
      <c r="N353" s="11" t="str">
        <f t="shared" si="61"/>
        <v/>
      </c>
      <c r="O353" s="10" t="str">
        <f t="shared" si="62"/>
        <v/>
      </c>
      <c r="P353" s="39" t="str">
        <f t="shared" si="63"/>
        <v/>
      </c>
      <c r="Q353" s="13" t="str">
        <f t="shared" si="59"/>
        <v/>
      </c>
      <c r="R353" s="13" t="str">
        <f t="shared" si="64"/>
        <v/>
      </c>
      <c r="S353" s="13" t="str">
        <f t="shared" si="60"/>
        <v/>
      </c>
      <c r="T353" s="22" t="str">
        <f>IF(R353&lt;&gt;"",VLOOKUP(P353,Constants!$D$3:$E$10,2),"")</f>
        <v/>
      </c>
    </row>
    <row r="354" spans="2:20" x14ac:dyDescent="0.25">
      <c r="B354" s="59"/>
      <c r="C354" s="59"/>
      <c r="D354" s="60"/>
      <c r="E354" s="59"/>
      <c r="F354" s="59" t="str">
        <f t="shared" si="56"/>
        <v/>
      </c>
      <c r="G354" s="59"/>
      <c r="H354" s="61"/>
      <c r="I354" s="61"/>
      <c r="J354" s="61"/>
      <c r="K354" s="62"/>
      <c r="L354" s="10" t="str">
        <f t="shared" si="57"/>
        <v/>
      </c>
      <c r="M354" s="10" t="str">
        <f t="shared" si="58"/>
        <v/>
      </c>
      <c r="N354" s="11" t="str">
        <f t="shared" si="61"/>
        <v/>
      </c>
      <c r="O354" s="10" t="str">
        <f t="shared" si="62"/>
        <v/>
      </c>
      <c r="P354" s="39" t="str">
        <f t="shared" si="63"/>
        <v/>
      </c>
      <c r="Q354" s="13" t="str">
        <f t="shared" si="59"/>
        <v/>
      </c>
      <c r="R354" s="13" t="str">
        <f t="shared" si="64"/>
        <v/>
      </c>
      <c r="S354" s="13" t="str">
        <f t="shared" si="60"/>
        <v/>
      </c>
      <c r="T354" s="22" t="str">
        <f>IF(R354&lt;&gt;"",VLOOKUP(P354,Constants!$D$3:$E$10,2),"")</f>
        <v/>
      </c>
    </row>
    <row r="355" spans="2:20" x14ac:dyDescent="0.25">
      <c r="B355" s="59"/>
      <c r="C355" s="59"/>
      <c r="D355" s="60"/>
      <c r="E355" s="59"/>
      <c r="F355" s="59" t="str">
        <f t="shared" si="56"/>
        <v/>
      </c>
      <c r="G355" s="59"/>
      <c r="H355" s="61"/>
      <c r="I355" s="61"/>
      <c r="J355" s="61"/>
      <c r="K355" s="62"/>
      <c r="L355" s="10" t="str">
        <f t="shared" si="57"/>
        <v/>
      </c>
      <c r="M355" s="10" t="str">
        <f t="shared" si="58"/>
        <v/>
      </c>
      <c r="N355" s="11" t="str">
        <f t="shared" si="61"/>
        <v/>
      </c>
      <c r="O355" s="10" t="str">
        <f t="shared" si="62"/>
        <v/>
      </c>
      <c r="P355" s="39" t="str">
        <f t="shared" si="63"/>
        <v/>
      </c>
      <c r="Q355" s="13" t="str">
        <f t="shared" si="59"/>
        <v/>
      </c>
      <c r="R355" s="13" t="str">
        <f t="shared" si="64"/>
        <v/>
      </c>
      <c r="S355" s="13" t="str">
        <f t="shared" si="60"/>
        <v/>
      </c>
      <c r="T355" s="22" t="str">
        <f>IF(R355&lt;&gt;"",VLOOKUP(P355,Constants!$D$3:$E$10,2),"")</f>
        <v/>
      </c>
    </row>
    <row r="356" spans="2:20" x14ac:dyDescent="0.25">
      <c r="B356" s="59"/>
      <c r="C356" s="59"/>
      <c r="D356" s="60"/>
      <c r="E356" s="59"/>
      <c r="F356" s="59" t="str">
        <f t="shared" si="56"/>
        <v/>
      </c>
      <c r="G356" s="59"/>
      <c r="H356" s="61"/>
      <c r="I356" s="61"/>
      <c r="J356" s="61"/>
      <c r="K356" s="62"/>
      <c r="L356" s="10" t="str">
        <f t="shared" si="57"/>
        <v/>
      </c>
      <c r="M356" s="10" t="str">
        <f t="shared" si="58"/>
        <v/>
      </c>
      <c r="N356" s="11" t="str">
        <f t="shared" si="61"/>
        <v/>
      </c>
      <c r="O356" s="10" t="str">
        <f t="shared" si="62"/>
        <v/>
      </c>
      <c r="P356" s="39" t="str">
        <f t="shared" si="63"/>
        <v/>
      </c>
      <c r="Q356" s="13" t="str">
        <f t="shared" si="59"/>
        <v/>
      </c>
      <c r="R356" s="13" t="str">
        <f t="shared" si="64"/>
        <v/>
      </c>
      <c r="S356" s="13" t="str">
        <f t="shared" si="60"/>
        <v/>
      </c>
      <c r="T356" s="22" t="str">
        <f>IF(R356&lt;&gt;"",VLOOKUP(P356,Constants!$D$3:$E$10,2),"")</f>
        <v/>
      </c>
    </row>
    <row r="357" spans="2:20" x14ac:dyDescent="0.25">
      <c r="B357" s="59"/>
      <c r="C357" s="59"/>
      <c r="D357" s="60"/>
      <c r="E357" s="59"/>
      <c r="F357" s="59" t="str">
        <f t="shared" si="56"/>
        <v/>
      </c>
      <c r="G357" s="59"/>
      <c r="H357" s="61"/>
      <c r="I357" s="61"/>
      <c r="J357" s="61"/>
      <c r="K357" s="62"/>
      <c r="L357" s="10" t="str">
        <f t="shared" si="57"/>
        <v/>
      </c>
      <c r="M357" s="10" t="str">
        <f t="shared" si="58"/>
        <v/>
      </c>
      <c r="N357" s="11" t="str">
        <f t="shared" si="61"/>
        <v/>
      </c>
      <c r="O357" s="10" t="str">
        <f t="shared" si="62"/>
        <v/>
      </c>
      <c r="P357" s="39" t="str">
        <f t="shared" si="63"/>
        <v/>
      </c>
      <c r="Q357" s="13" t="str">
        <f t="shared" si="59"/>
        <v/>
      </c>
      <c r="R357" s="13" t="str">
        <f t="shared" si="64"/>
        <v/>
      </c>
      <c r="S357" s="13" t="str">
        <f t="shared" si="60"/>
        <v/>
      </c>
      <c r="T357" s="22" t="str">
        <f>IF(R357&lt;&gt;"",VLOOKUP(P357,Constants!$D$3:$E$10,2),"")</f>
        <v/>
      </c>
    </row>
    <row r="358" spans="2:20" x14ac:dyDescent="0.25">
      <c r="B358" s="59"/>
      <c r="C358" s="59"/>
      <c r="D358" s="60"/>
      <c r="E358" s="59"/>
      <c r="F358" s="59" t="str">
        <f t="shared" si="56"/>
        <v/>
      </c>
      <c r="G358" s="59"/>
      <c r="H358" s="61"/>
      <c r="I358" s="61"/>
      <c r="J358" s="61"/>
      <c r="K358" s="62"/>
      <c r="L358" s="10" t="str">
        <f t="shared" si="57"/>
        <v/>
      </c>
      <c r="M358" s="10" t="str">
        <f t="shared" si="58"/>
        <v/>
      </c>
      <c r="N358" s="11" t="str">
        <f t="shared" si="61"/>
        <v/>
      </c>
      <c r="O358" s="10" t="str">
        <f t="shared" si="62"/>
        <v/>
      </c>
      <c r="P358" s="39" t="str">
        <f t="shared" si="63"/>
        <v/>
      </c>
      <c r="Q358" s="13" t="str">
        <f t="shared" si="59"/>
        <v/>
      </c>
      <c r="R358" s="13" t="str">
        <f t="shared" si="64"/>
        <v/>
      </c>
      <c r="S358" s="13" t="str">
        <f t="shared" si="60"/>
        <v/>
      </c>
      <c r="T358" s="22" t="str">
        <f>IF(R358&lt;&gt;"",VLOOKUP(P358,Constants!$D$3:$E$10,2),"")</f>
        <v/>
      </c>
    </row>
    <row r="359" spans="2:20" x14ac:dyDescent="0.25">
      <c r="B359" s="59"/>
      <c r="C359" s="59"/>
      <c r="D359" s="60"/>
      <c r="E359" s="59"/>
      <c r="F359" s="59"/>
      <c r="G359" s="59"/>
      <c r="H359" s="61"/>
      <c r="I359" s="61"/>
      <c r="J359" s="61"/>
      <c r="K359" s="62"/>
      <c r="L359" s="10" t="str">
        <f t="shared" si="57"/>
        <v/>
      </c>
      <c r="M359" s="10" t="str">
        <f t="shared" si="58"/>
        <v/>
      </c>
      <c r="N359" s="11" t="str">
        <f t="shared" si="61"/>
        <v/>
      </c>
      <c r="O359" s="10" t="str">
        <f t="shared" si="62"/>
        <v/>
      </c>
      <c r="P359" s="39" t="str">
        <f t="shared" si="63"/>
        <v/>
      </c>
      <c r="Q359" s="13" t="str">
        <f t="shared" si="59"/>
        <v/>
      </c>
      <c r="R359" s="13" t="str">
        <f t="shared" si="64"/>
        <v/>
      </c>
      <c r="S359" s="13" t="str">
        <f t="shared" si="60"/>
        <v/>
      </c>
      <c r="T359" s="22" t="str">
        <f>IF(R359&lt;&gt;"",VLOOKUP(P359,Constants!$D$3:$E$10,2),"")</f>
        <v/>
      </c>
    </row>
    <row r="360" spans="2:20" x14ac:dyDescent="0.25">
      <c r="B360" s="59"/>
      <c r="C360" s="59"/>
      <c r="D360" s="60"/>
      <c r="E360" s="59"/>
      <c r="F360" s="59"/>
      <c r="G360" s="59"/>
      <c r="H360" s="61"/>
      <c r="I360" s="61"/>
      <c r="J360" s="61"/>
      <c r="K360" s="62"/>
      <c r="L360" s="10" t="str">
        <f t="shared" si="57"/>
        <v/>
      </c>
      <c r="M360" s="10" t="str">
        <f t="shared" si="58"/>
        <v/>
      </c>
      <c r="N360" s="11" t="str">
        <f t="shared" si="61"/>
        <v/>
      </c>
      <c r="O360" s="10" t="str">
        <f t="shared" si="62"/>
        <v/>
      </c>
      <c r="P360" s="39" t="str">
        <f t="shared" si="63"/>
        <v/>
      </c>
      <c r="Q360" s="13" t="str">
        <f t="shared" si="59"/>
        <v/>
      </c>
      <c r="R360" s="13" t="str">
        <f t="shared" si="64"/>
        <v/>
      </c>
      <c r="S360" s="13" t="str">
        <f t="shared" si="60"/>
        <v/>
      </c>
      <c r="T360" s="22" t="str">
        <f>IF(R360&lt;&gt;"",VLOOKUP(P360,Constants!$D$3:$E$10,2),"")</f>
        <v/>
      </c>
    </row>
    <row r="361" spans="2:20" x14ac:dyDescent="0.25">
      <c r="B361" s="59"/>
      <c r="C361" s="59"/>
      <c r="D361" s="60"/>
      <c r="E361" s="59"/>
      <c r="F361" s="59"/>
      <c r="G361" s="59"/>
      <c r="H361" s="61"/>
      <c r="I361" s="61"/>
      <c r="J361" s="61"/>
      <c r="K361" s="62"/>
      <c r="L361" s="10" t="str">
        <f t="shared" si="57"/>
        <v/>
      </c>
      <c r="M361" s="10" t="str">
        <f t="shared" si="58"/>
        <v/>
      </c>
      <c r="N361" s="11" t="str">
        <f t="shared" si="61"/>
        <v/>
      </c>
      <c r="O361" s="10" t="str">
        <f t="shared" si="62"/>
        <v/>
      </c>
      <c r="P361" s="39" t="str">
        <f t="shared" si="63"/>
        <v/>
      </c>
      <c r="Q361" s="13" t="str">
        <f t="shared" si="59"/>
        <v/>
      </c>
      <c r="R361" s="13" t="str">
        <f t="shared" si="64"/>
        <v/>
      </c>
      <c r="S361" s="13" t="str">
        <f t="shared" si="60"/>
        <v/>
      </c>
      <c r="T361" s="22" t="str">
        <f>IF(R361&lt;&gt;"",VLOOKUP(P361,Constants!$D$3:$E$10,2),"")</f>
        <v/>
      </c>
    </row>
    <row r="362" spans="2:20" x14ac:dyDescent="0.25">
      <c r="B362" s="59"/>
      <c r="C362" s="59"/>
      <c r="D362" s="60"/>
      <c r="E362" s="59"/>
      <c r="F362" s="59"/>
      <c r="G362" s="59"/>
      <c r="H362" s="61"/>
      <c r="I362" s="61"/>
      <c r="J362" s="61"/>
      <c r="K362" s="62"/>
      <c r="L362" s="10" t="str">
        <f t="shared" si="57"/>
        <v/>
      </c>
      <c r="M362" s="10" t="str">
        <f t="shared" si="58"/>
        <v/>
      </c>
      <c r="N362" s="11" t="str">
        <f t="shared" si="61"/>
        <v/>
      </c>
      <c r="O362" s="10" t="str">
        <f t="shared" si="62"/>
        <v/>
      </c>
      <c r="P362" s="39" t="str">
        <f t="shared" si="63"/>
        <v/>
      </c>
      <c r="Q362" s="13" t="str">
        <f t="shared" si="59"/>
        <v/>
      </c>
      <c r="R362" s="13" t="str">
        <f t="shared" si="64"/>
        <v/>
      </c>
      <c r="S362" s="13" t="str">
        <f t="shared" si="60"/>
        <v/>
      </c>
      <c r="T362" s="22" t="str">
        <f>IF(R362&lt;&gt;"",VLOOKUP(P362,Constants!$D$3:$E$10,2),"")</f>
        <v/>
      </c>
    </row>
    <row r="363" spans="2:20" x14ac:dyDescent="0.25">
      <c r="B363" s="59"/>
      <c r="C363" s="59"/>
      <c r="D363" s="60"/>
      <c r="E363" s="59"/>
      <c r="F363" s="59"/>
      <c r="G363" s="59"/>
      <c r="H363" s="61"/>
      <c r="I363" s="61"/>
      <c r="J363" s="61"/>
      <c r="K363" s="62"/>
      <c r="L363" s="10" t="str">
        <f t="shared" si="57"/>
        <v/>
      </c>
      <c r="M363" s="10" t="str">
        <f t="shared" si="58"/>
        <v/>
      </c>
      <c r="N363" s="11" t="str">
        <f t="shared" si="61"/>
        <v/>
      </c>
      <c r="O363" s="10" t="str">
        <f t="shared" si="62"/>
        <v/>
      </c>
      <c r="P363" s="39" t="str">
        <f t="shared" si="63"/>
        <v/>
      </c>
      <c r="Q363" s="13" t="str">
        <f t="shared" si="59"/>
        <v/>
      </c>
      <c r="R363" s="13" t="str">
        <f t="shared" si="64"/>
        <v/>
      </c>
      <c r="S363" s="13" t="str">
        <f t="shared" si="60"/>
        <v/>
      </c>
      <c r="T363" s="22" t="str">
        <f>IF(R363&lt;&gt;"",VLOOKUP(P363,Constants!$D$3:$E$10,2),"")</f>
        <v/>
      </c>
    </row>
    <row r="364" spans="2:20" x14ac:dyDescent="0.25">
      <c r="B364" s="59"/>
      <c r="C364" s="59"/>
      <c r="D364" s="60"/>
      <c r="E364" s="59"/>
      <c r="F364" s="59"/>
      <c r="G364" s="59"/>
      <c r="H364" s="61"/>
      <c r="I364" s="61"/>
      <c r="J364" s="61"/>
      <c r="K364" s="62"/>
      <c r="L364" s="10" t="str">
        <f t="shared" si="57"/>
        <v/>
      </c>
      <c r="M364" s="10" t="str">
        <f t="shared" si="58"/>
        <v/>
      </c>
      <c r="N364" s="11" t="str">
        <f t="shared" si="61"/>
        <v/>
      </c>
      <c r="O364" s="10" t="str">
        <f t="shared" si="62"/>
        <v/>
      </c>
      <c r="P364" s="39" t="str">
        <f t="shared" si="63"/>
        <v/>
      </c>
      <c r="Q364" s="13" t="str">
        <f t="shared" si="59"/>
        <v/>
      </c>
      <c r="R364" s="13" t="str">
        <f t="shared" si="64"/>
        <v/>
      </c>
      <c r="S364" s="13" t="str">
        <f t="shared" si="60"/>
        <v/>
      </c>
      <c r="T364" s="22" t="str">
        <f>IF(R364&lt;&gt;"",VLOOKUP(P364,Constants!$D$3:$E$10,2),"")</f>
        <v/>
      </c>
    </row>
    <row r="365" spans="2:20" x14ac:dyDescent="0.25">
      <c r="B365" s="59"/>
      <c r="C365" s="59"/>
      <c r="D365" s="60"/>
      <c r="E365" s="59"/>
      <c r="F365" s="59"/>
      <c r="G365" s="59"/>
      <c r="H365" s="61"/>
      <c r="I365" s="61"/>
      <c r="J365" s="61"/>
      <c r="K365" s="62"/>
      <c r="L365" s="10" t="str">
        <f t="shared" si="57"/>
        <v/>
      </c>
      <c r="M365" s="10" t="str">
        <f t="shared" si="58"/>
        <v/>
      </c>
      <c r="N365" s="11" t="str">
        <f t="shared" si="61"/>
        <v/>
      </c>
      <c r="O365" s="10" t="str">
        <f t="shared" si="62"/>
        <v/>
      </c>
      <c r="P365" s="39" t="str">
        <f t="shared" si="63"/>
        <v/>
      </c>
      <c r="Q365" s="13" t="str">
        <f t="shared" si="59"/>
        <v/>
      </c>
      <c r="R365" s="13" t="str">
        <f t="shared" si="64"/>
        <v/>
      </c>
      <c r="S365" s="13" t="str">
        <f t="shared" si="60"/>
        <v/>
      </c>
      <c r="T365" s="22" t="str">
        <f>IF(R365&lt;&gt;"",VLOOKUP(P365,Constants!$D$3:$E$10,2),"")</f>
        <v/>
      </c>
    </row>
    <row r="366" spans="2:20" x14ac:dyDescent="0.25">
      <c r="B366" s="59"/>
      <c r="C366" s="59"/>
      <c r="D366" s="60"/>
      <c r="E366" s="59"/>
      <c r="F366" s="59"/>
      <c r="G366" s="59"/>
      <c r="H366" s="61"/>
      <c r="I366" s="61"/>
      <c r="J366" s="61"/>
      <c r="K366" s="62"/>
      <c r="L366" s="10" t="str">
        <f t="shared" si="57"/>
        <v/>
      </c>
      <c r="M366" s="10" t="str">
        <f t="shared" si="58"/>
        <v/>
      </c>
      <c r="N366" s="11" t="str">
        <f t="shared" si="61"/>
        <v/>
      </c>
      <c r="O366" s="10" t="str">
        <f t="shared" si="62"/>
        <v/>
      </c>
      <c r="P366" s="39" t="str">
        <f t="shared" si="63"/>
        <v/>
      </c>
      <c r="Q366" s="13" t="str">
        <f t="shared" si="59"/>
        <v/>
      </c>
      <c r="R366" s="13" t="str">
        <f t="shared" si="64"/>
        <v/>
      </c>
      <c r="S366" s="13" t="str">
        <f t="shared" si="60"/>
        <v/>
      </c>
      <c r="T366" s="22" t="str">
        <f>IF(R366&lt;&gt;"",VLOOKUP(P366,Constants!$D$3:$E$10,2),"")</f>
        <v/>
      </c>
    </row>
    <row r="367" spans="2:20" x14ac:dyDescent="0.25">
      <c r="B367" s="59"/>
      <c r="C367" s="59"/>
      <c r="D367" s="60"/>
      <c r="E367" s="59"/>
      <c r="F367" s="59"/>
      <c r="G367" s="59"/>
      <c r="H367" s="61"/>
      <c r="I367" s="61"/>
      <c r="J367" s="61"/>
      <c r="K367" s="62"/>
      <c r="L367" s="10" t="str">
        <f t="shared" si="57"/>
        <v/>
      </c>
      <c r="M367" s="10" t="str">
        <f t="shared" si="58"/>
        <v/>
      </c>
      <c r="N367" s="11" t="str">
        <f t="shared" si="61"/>
        <v/>
      </c>
      <c r="O367" s="10" t="str">
        <f t="shared" si="62"/>
        <v/>
      </c>
      <c r="P367" s="39" t="str">
        <f t="shared" si="63"/>
        <v/>
      </c>
      <c r="Q367" s="13" t="str">
        <f t="shared" si="59"/>
        <v/>
      </c>
      <c r="R367" s="13" t="str">
        <f t="shared" si="64"/>
        <v/>
      </c>
      <c r="S367" s="13" t="str">
        <f t="shared" si="60"/>
        <v/>
      </c>
      <c r="T367" s="22" t="str">
        <f>IF(R367&lt;&gt;"",VLOOKUP(P367,Constants!$D$3:$E$10,2),"")</f>
        <v/>
      </c>
    </row>
    <row r="368" spans="2:20" x14ac:dyDescent="0.25">
      <c r="B368" s="59"/>
      <c r="C368" s="59"/>
      <c r="D368" s="60"/>
      <c r="E368" s="59"/>
      <c r="F368" s="59"/>
      <c r="G368" s="59"/>
      <c r="H368" s="61"/>
      <c r="I368" s="61"/>
      <c r="J368" s="61"/>
      <c r="K368" s="62"/>
      <c r="L368" s="10" t="str">
        <f t="shared" si="57"/>
        <v/>
      </c>
      <c r="M368" s="10" t="str">
        <f t="shared" si="58"/>
        <v/>
      </c>
      <c r="N368" s="11" t="str">
        <f t="shared" si="61"/>
        <v/>
      </c>
      <c r="O368" s="10" t="str">
        <f t="shared" si="62"/>
        <v/>
      </c>
      <c r="P368" s="39" t="str">
        <f t="shared" si="63"/>
        <v/>
      </c>
      <c r="Q368" s="13" t="str">
        <f t="shared" si="59"/>
        <v/>
      </c>
      <c r="R368" s="13" t="str">
        <f t="shared" si="64"/>
        <v/>
      </c>
      <c r="S368" s="13" t="str">
        <f t="shared" si="60"/>
        <v/>
      </c>
      <c r="T368" s="22" t="str">
        <f>IF(R368&lt;&gt;"",VLOOKUP(P368,Constants!$D$3:$E$10,2),"")</f>
        <v/>
      </c>
    </row>
    <row r="369" spans="2:20" x14ac:dyDescent="0.25">
      <c r="B369" s="59"/>
      <c r="C369" s="59"/>
      <c r="D369" s="60"/>
      <c r="E369" s="59"/>
      <c r="F369" s="59"/>
      <c r="G369" s="59"/>
      <c r="H369" s="61"/>
      <c r="I369" s="61"/>
      <c r="J369" s="61"/>
      <c r="K369" s="62"/>
      <c r="L369" s="10" t="str">
        <f t="shared" si="57"/>
        <v/>
      </c>
      <c r="M369" s="10" t="str">
        <f t="shared" si="58"/>
        <v/>
      </c>
      <c r="N369" s="11" t="str">
        <f t="shared" si="61"/>
        <v/>
      </c>
      <c r="O369" s="10" t="str">
        <f t="shared" si="62"/>
        <v/>
      </c>
      <c r="P369" s="39" t="str">
        <f t="shared" si="63"/>
        <v/>
      </c>
      <c r="Q369" s="13" t="str">
        <f t="shared" si="59"/>
        <v/>
      </c>
      <c r="R369" s="13" t="str">
        <f t="shared" si="64"/>
        <v/>
      </c>
      <c r="S369" s="13" t="str">
        <f t="shared" si="60"/>
        <v/>
      </c>
      <c r="T369" s="22" t="str">
        <f>IF(R369&lt;&gt;"",VLOOKUP(P369,Constants!$D$3:$E$10,2),"")</f>
        <v/>
      </c>
    </row>
    <row r="370" spans="2:20" x14ac:dyDescent="0.25">
      <c r="B370" s="59"/>
      <c r="C370" s="59"/>
      <c r="D370" s="60"/>
      <c r="E370" s="59"/>
      <c r="F370" s="59"/>
      <c r="G370" s="59"/>
      <c r="H370" s="61"/>
      <c r="I370" s="61"/>
      <c r="J370" s="61"/>
      <c r="K370" s="62"/>
      <c r="L370" s="10" t="str">
        <f t="shared" si="57"/>
        <v/>
      </c>
      <c r="M370" s="10" t="str">
        <f t="shared" si="58"/>
        <v/>
      </c>
      <c r="N370" s="11" t="str">
        <f t="shared" si="61"/>
        <v/>
      </c>
      <c r="O370" s="10" t="str">
        <f t="shared" si="62"/>
        <v/>
      </c>
      <c r="P370" s="39" t="str">
        <f t="shared" si="63"/>
        <v/>
      </c>
      <c r="Q370" s="13" t="str">
        <f t="shared" si="59"/>
        <v/>
      </c>
      <c r="R370" s="13" t="str">
        <f t="shared" si="64"/>
        <v/>
      </c>
      <c r="S370" s="13" t="str">
        <f t="shared" si="60"/>
        <v/>
      </c>
      <c r="T370" s="22" t="str">
        <f>IF(R370&lt;&gt;"",VLOOKUP(P370,Constants!$D$3:$E$10,2),"")</f>
        <v/>
      </c>
    </row>
    <row r="371" spans="2:20" x14ac:dyDescent="0.25">
      <c r="B371" s="59"/>
      <c r="C371" s="59"/>
      <c r="D371" s="60"/>
      <c r="E371" s="59"/>
      <c r="F371" s="59"/>
      <c r="G371" s="59"/>
      <c r="H371" s="61"/>
      <c r="I371" s="61"/>
      <c r="J371" s="61"/>
      <c r="K371" s="62"/>
      <c r="L371" s="10" t="str">
        <f t="shared" si="57"/>
        <v/>
      </c>
      <c r="M371" s="10" t="str">
        <f t="shared" si="58"/>
        <v/>
      </c>
      <c r="N371" s="11" t="str">
        <f t="shared" si="61"/>
        <v/>
      </c>
      <c r="O371" s="10" t="str">
        <f t="shared" si="62"/>
        <v/>
      </c>
      <c r="P371" s="39" t="str">
        <f t="shared" si="63"/>
        <v/>
      </c>
      <c r="Q371" s="13" t="str">
        <f t="shared" si="59"/>
        <v/>
      </c>
      <c r="R371" s="13" t="str">
        <f t="shared" si="64"/>
        <v/>
      </c>
      <c r="S371" s="13" t="str">
        <f t="shared" si="60"/>
        <v/>
      </c>
      <c r="T371" s="22" t="str">
        <f>IF(R371&lt;&gt;"",VLOOKUP(P371,Constants!$D$3:$E$10,2),"")</f>
        <v/>
      </c>
    </row>
    <row r="372" spans="2:20" x14ac:dyDescent="0.25">
      <c r="B372" s="59"/>
      <c r="C372" s="59"/>
      <c r="D372" s="60"/>
      <c r="E372" s="59"/>
      <c r="F372" s="59"/>
      <c r="G372" s="59"/>
      <c r="H372" s="61"/>
      <c r="I372" s="61"/>
      <c r="J372" s="61"/>
      <c r="K372" s="62"/>
      <c r="L372" s="10" t="str">
        <f t="shared" si="57"/>
        <v/>
      </c>
      <c r="M372" s="10" t="str">
        <f t="shared" si="58"/>
        <v/>
      </c>
      <c r="N372" s="11" t="str">
        <f t="shared" si="61"/>
        <v/>
      </c>
      <c r="O372" s="10" t="str">
        <f t="shared" si="62"/>
        <v/>
      </c>
      <c r="P372" s="39" t="str">
        <f t="shared" si="63"/>
        <v/>
      </c>
      <c r="Q372" s="13" t="str">
        <f t="shared" si="59"/>
        <v/>
      </c>
      <c r="R372" s="13" t="str">
        <f t="shared" si="64"/>
        <v/>
      </c>
      <c r="S372" s="13" t="str">
        <f t="shared" si="60"/>
        <v/>
      </c>
      <c r="T372" s="22" t="str">
        <f>IF(R372&lt;&gt;"",VLOOKUP(P372,Constants!$D$3:$E$10,2),"")</f>
        <v/>
      </c>
    </row>
    <row r="373" spans="2:20" x14ac:dyDescent="0.25">
      <c r="B373" s="59"/>
      <c r="C373" s="59"/>
      <c r="D373" s="60"/>
      <c r="E373" s="59"/>
      <c r="F373" s="59"/>
      <c r="G373" s="59"/>
      <c r="H373" s="61"/>
      <c r="I373" s="61"/>
      <c r="J373" s="61"/>
      <c r="K373" s="62"/>
      <c r="L373" s="10" t="str">
        <f t="shared" si="57"/>
        <v/>
      </c>
      <c r="M373" s="10" t="str">
        <f t="shared" si="58"/>
        <v/>
      </c>
      <c r="N373" s="11" t="str">
        <f t="shared" si="61"/>
        <v/>
      </c>
      <c r="O373" s="10" t="str">
        <f t="shared" si="62"/>
        <v/>
      </c>
      <c r="P373" s="39" t="str">
        <f t="shared" si="63"/>
        <v/>
      </c>
      <c r="Q373" s="13" t="str">
        <f t="shared" si="59"/>
        <v/>
      </c>
      <c r="R373" s="13" t="str">
        <f t="shared" si="64"/>
        <v/>
      </c>
      <c r="S373" s="13" t="str">
        <f t="shared" si="60"/>
        <v/>
      </c>
      <c r="T373" s="22" t="str">
        <f>IF(R373&lt;&gt;"",VLOOKUP(P373,Constants!$D$3:$E$10,2),"")</f>
        <v/>
      </c>
    </row>
    <row r="374" spans="2:20" x14ac:dyDescent="0.25">
      <c r="B374" s="59"/>
      <c r="C374" s="59"/>
      <c r="D374" s="60"/>
      <c r="E374" s="59"/>
      <c r="F374" s="59"/>
      <c r="G374" s="59"/>
      <c r="H374" s="61"/>
      <c r="I374" s="61"/>
      <c r="J374" s="61"/>
      <c r="K374" s="62"/>
      <c r="L374" s="10" t="str">
        <f t="shared" si="57"/>
        <v/>
      </c>
      <c r="M374" s="10" t="str">
        <f t="shared" si="58"/>
        <v/>
      </c>
      <c r="N374" s="11" t="str">
        <f t="shared" si="61"/>
        <v/>
      </c>
      <c r="O374" s="10" t="str">
        <f t="shared" si="62"/>
        <v/>
      </c>
      <c r="P374" s="39" t="str">
        <f t="shared" si="63"/>
        <v/>
      </c>
      <c r="Q374" s="13" t="str">
        <f t="shared" si="59"/>
        <v/>
      </c>
      <c r="R374" s="13" t="str">
        <f t="shared" si="64"/>
        <v/>
      </c>
      <c r="S374" s="13" t="str">
        <f t="shared" si="60"/>
        <v/>
      </c>
      <c r="T374" s="22" t="str">
        <f>IF(R374&lt;&gt;"",VLOOKUP(P374,Constants!$D$3:$E$10,2),"")</f>
        <v/>
      </c>
    </row>
    <row r="375" spans="2:20" x14ac:dyDescent="0.25">
      <c r="B375" s="59"/>
      <c r="C375" s="59"/>
      <c r="D375" s="60"/>
      <c r="E375" s="59"/>
      <c r="F375" s="59"/>
      <c r="G375" s="59"/>
      <c r="H375" s="61"/>
      <c r="I375" s="61"/>
      <c r="J375" s="61"/>
      <c r="K375" s="62"/>
      <c r="L375" s="10" t="str">
        <f t="shared" si="57"/>
        <v/>
      </c>
      <c r="M375" s="10" t="str">
        <f t="shared" si="58"/>
        <v/>
      </c>
      <c r="N375" s="11" t="str">
        <f t="shared" si="61"/>
        <v/>
      </c>
      <c r="O375" s="10" t="str">
        <f t="shared" si="62"/>
        <v/>
      </c>
      <c r="P375" s="39" t="str">
        <f t="shared" si="63"/>
        <v/>
      </c>
      <c r="Q375" s="13" t="str">
        <f t="shared" si="59"/>
        <v/>
      </c>
      <c r="R375" s="13" t="str">
        <f t="shared" si="64"/>
        <v/>
      </c>
      <c r="S375" s="13" t="str">
        <f t="shared" si="60"/>
        <v/>
      </c>
      <c r="T375" s="22" t="str">
        <f>IF(R375&lt;&gt;"",VLOOKUP(P375,Constants!$D$3:$E$10,2),"")</f>
        <v/>
      </c>
    </row>
    <row r="376" spans="2:20" x14ac:dyDescent="0.25">
      <c r="B376" s="59"/>
      <c r="C376" s="59"/>
      <c r="D376" s="60"/>
      <c r="E376" s="59"/>
      <c r="F376" s="59"/>
      <c r="G376" s="59"/>
      <c r="H376" s="61"/>
      <c r="I376" s="61"/>
      <c r="J376" s="61"/>
      <c r="K376" s="62"/>
      <c r="L376" s="10" t="str">
        <f t="shared" si="57"/>
        <v/>
      </c>
      <c r="M376" s="10" t="str">
        <f t="shared" si="58"/>
        <v/>
      </c>
      <c r="N376" s="11" t="str">
        <f t="shared" si="61"/>
        <v/>
      </c>
      <c r="O376" s="10" t="str">
        <f t="shared" si="62"/>
        <v/>
      </c>
      <c r="P376" s="39" t="str">
        <f t="shared" si="63"/>
        <v/>
      </c>
      <c r="Q376" s="13" t="str">
        <f t="shared" si="59"/>
        <v/>
      </c>
      <c r="R376" s="13" t="str">
        <f t="shared" si="64"/>
        <v/>
      </c>
      <c r="S376" s="13" t="str">
        <f t="shared" si="60"/>
        <v/>
      </c>
      <c r="T376" s="22" t="str">
        <f>IF(R376&lt;&gt;"",VLOOKUP(P376,Constants!$D$3:$E$10,2),"")</f>
        <v/>
      </c>
    </row>
    <row r="377" spans="2:20" x14ac:dyDescent="0.25">
      <c r="B377" s="59"/>
      <c r="C377" s="59"/>
      <c r="D377" s="60"/>
      <c r="E377" s="59"/>
      <c r="F377" s="59"/>
      <c r="G377" s="59"/>
      <c r="H377" s="61"/>
      <c r="I377" s="61"/>
      <c r="J377" s="61"/>
      <c r="K377" s="62"/>
      <c r="L377" s="10" t="str">
        <f t="shared" si="57"/>
        <v/>
      </c>
      <c r="M377" s="10" t="str">
        <f t="shared" si="58"/>
        <v/>
      </c>
      <c r="N377" s="11" t="str">
        <f t="shared" si="61"/>
        <v/>
      </c>
      <c r="O377" s="10" t="str">
        <f t="shared" si="62"/>
        <v/>
      </c>
      <c r="P377" s="39" t="str">
        <f t="shared" si="63"/>
        <v/>
      </c>
      <c r="Q377" s="13" t="str">
        <f t="shared" si="59"/>
        <v/>
      </c>
      <c r="R377" s="13" t="str">
        <f t="shared" si="64"/>
        <v/>
      </c>
      <c r="S377" s="13" t="str">
        <f t="shared" si="60"/>
        <v/>
      </c>
      <c r="T377" s="22" t="str">
        <f>IF(R377&lt;&gt;"",VLOOKUP(P377,Constants!$D$3:$E$10,2),"")</f>
        <v/>
      </c>
    </row>
    <row r="378" spans="2:20" x14ac:dyDescent="0.25">
      <c r="B378" s="59"/>
      <c r="C378" s="59"/>
      <c r="D378" s="60"/>
      <c r="E378" s="59"/>
      <c r="F378" s="59"/>
      <c r="G378" s="59"/>
      <c r="H378" s="61"/>
      <c r="I378" s="61"/>
      <c r="J378" s="61"/>
      <c r="K378" s="62"/>
      <c r="L378" s="10" t="str">
        <f t="shared" si="57"/>
        <v/>
      </c>
      <c r="M378" s="10" t="str">
        <f t="shared" si="58"/>
        <v/>
      </c>
      <c r="N378" s="11" t="str">
        <f t="shared" si="61"/>
        <v/>
      </c>
      <c r="O378" s="10" t="str">
        <f t="shared" si="62"/>
        <v/>
      </c>
      <c r="P378" s="39" t="str">
        <f t="shared" si="63"/>
        <v/>
      </c>
      <c r="Q378" s="13" t="str">
        <f t="shared" si="59"/>
        <v/>
      </c>
      <c r="R378" s="13" t="str">
        <f t="shared" si="64"/>
        <v/>
      </c>
      <c r="S378" s="13" t="str">
        <f t="shared" si="60"/>
        <v/>
      </c>
      <c r="T378" s="22" t="str">
        <f>IF(R378&lt;&gt;"",VLOOKUP(P378,Constants!$D$3:$E$10,2),"")</f>
        <v/>
      </c>
    </row>
    <row r="379" spans="2:20" x14ac:dyDescent="0.25">
      <c r="B379" s="59"/>
      <c r="C379" s="59"/>
      <c r="D379" s="60"/>
      <c r="E379" s="59"/>
      <c r="F379" s="59"/>
      <c r="G379" s="59"/>
      <c r="H379" s="61"/>
      <c r="I379" s="61"/>
      <c r="J379" s="61"/>
      <c r="K379" s="62"/>
      <c r="L379" s="10" t="str">
        <f t="shared" si="57"/>
        <v/>
      </c>
      <c r="M379" s="10" t="str">
        <f t="shared" si="58"/>
        <v/>
      </c>
      <c r="N379" s="11" t="str">
        <f t="shared" si="61"/>
        <v/>
      </c>
      <c r="O379" s="10" t="str">
        <f t="shared" si="62"/>
        <v/>
      </c>
      <c r="P379" s="39" t="str">
        <f t="shared" si="63"/>
        <v/>
      </c>
      <c r="Q379" s="13" t="str">
        <f t="shared" si="59"/>
        <v/>
      </c>
      <c r="R379" s="13" t="str">
        <f t="shared" si="64"/>
        <v/>
      </c>
      <c r="S379" s="13" t="str">
        <f t="shared" si="60"/>
        <v/>
      </c>
      <c r="T379" s="22" t="str">
        <f>IF(R379&lt;&gt;"",VLOOKUP(P379,Constants!$D$3:$E$10,2),"")</f>
        <v/>
      </c>
    </row>
    <row r="380" spans="2:20" x14ac:dyDescent="0.25">
      <c r="B380" s="59"/>
      <c r="C380" s="59"/>
      <c r="D380" s="60"/>
      <c r="E380" s="59"/>
      <c r="F380" s="59"/>
      <c r="G380" s="59"/>
      <c r="H380" s="61"/>
      <c r="I380" s="61"/>
      <c r="J380" s="61"/>
      <c r="K380" s="62"/>
      <c r="L380" s="10" t="str">
        <f t="shared" si="57"/>
        <v/>
      </c>
      <c r="M380" s="10" t="str">
        <f t="shared" si="58"/>
        <v/>
      </c>
      <c r="N380" s="11" t="str">
        <f t="shared" si="61"/>
        <v/>
      </c>
      <c r="O380" s="10" t="str">
        <f t="shared" si="62"/>
        <v/>
      </c>
      <c r="P380" s="39" t="str">
        <f t="shared" si="63"/>
        <v/>
      </c>
      <c r="Q380" s="13" t="str">
        <f t="shared" si="59"/>
        <v/>
      </c>
      <c r="R380" s="13" t="str">
        <f t="shared" si="64"/>
        <v/>
      </c>
      <c r="S380" s="13" t="str">
        <f t="shared" si="60"/>
        <v/>
      </c>
      <c r="T380" s="22" t="str">
        <f>IF(R380&lt;&gt;"",VLOOKUP(P380,Constants!$D$3:$E$10,2),"")</f>
        <v/>
      </c>
    </row>
    <row r="381" spans="2:20" x14ac:dyDescent="0.25">
      <c r="B381" s="59"/>
      <c r="C381" s="59"/>
      <c r="D381" s="60"/>
      <c r="E381" s="59"/>
      <c r="F381" s="59"/>
      <c r="G381" s="59"/>
      <c r="H381" s="61"/>
      <c r="I381" s="61"/>
      <c r="J381" s="61"/>
      <c r="K381" s="62"/>
      <c r="L381" s="10" t="str">
        <f t="shared" si="57"/>
        <v/>
      </c>
      <c r="M381" s="10" t="str">
        <f t="shared" si="58"/>
        <v/>
      </c>
      <c r="N381" s="11" t="str">
        <f t="shared" si="61"/>
        <v/>
      </c>
      <c r="O381" s="10" t="str">
        <f t="shared" si="62"/>
        <v/>
      </c>
      <c r="P381" s="39" t="str">
        <f t="shared" si="63"/>
        <v/>
      </c>
      <c r="Q381" s="13" t="str">
        <f t="shared" si="59"/>
        <v/>
      </c>
      <c r="R381" s="13" t="str">
        <f t="shared" si="64"/>
        <v/>
      </c>
      <c r="S381" s="13" t="str">
        <f t="shared" si="60"/>
        <v/>
      </c>
      <c r="T381" s="22" t="str">
        <f>IF(R381&lt;&gt;"",VLOOKUP(P381,Constants!$D$3:$E$10,2),"")</f>
        <v/>
      </c>
    </row>
    <row r="382" spans="2:20" x14ac:dyDescent="0.25">
      <c r="B382" s="59"/>
      <c r="C382" s="59"/>
      <c r="D382" s="60"/>
      <c r="E382" s="59"/>
      <c r="F382" s="59"/>
      <c r="G382" s="59"/>
      <c r="H382" s="61"/>
      <c r="I382" s="61"/>
      <c r="J382" s="61"/>
      <c r="K382" s="62"/>
      <c r="L382" s="10" t="str">
        <f t="shared" si="57"/>
        <v/>
      </c>
      <c r="M382" s="10" t="str">
        <f t="shared" si="58"/>
        <v/>
      </c>
      <c r="N382" s="11" t="str">
        <f t="shared" si="61"/>
        <v/>
      </c>
      <c r="O382" s="10" t="str">
        <f t="shared" si="62"/>
        <v/>
      </c>
      <c r="P382" s="39" t="str">
        <f t="shared" si="63"/>
        <v/>
      </c>
      <c r="Q382" s="13" t="str">
        <f t="shared" si="59"/>
        <v/>
      </c>
      <c r="R382" s="13" t="str">
        <f t="shared" si="64"/>
        <v/>
      </c>
      <c r="S382" s="13" t="str">
        <f t="shared" si="60"/>
        <v/>
      </c>
      <c r="T382" s="22" t="str">
        <f>IF(R382&lt;&gt;"",VLOOKUP(P382,Constants!$D$3:$E$10,2),"")</f>
        <v/>
      </c>
    </row>
    <row r="383" spans="2:20" x14ac:dyDescent="0.25">
      <c r="B383" s="59"/>
      <c r="C383" s="59"/>
      <c r="D383" s="60"/>
      <c r="E383" s="59"/>
      <c r="F383" s="59"/>
      <c r="G383" s="59"/>
      <c r="H383" s="61"/>
      <c r="I383" s="61"/>
      <c r="J383" s="61"/>
      <c r="K383" s="62"/>
      <c r="L383" s="10" t="str">
        <f t="shared" si="57"/>
        <v/>
      </c>
      <c r="M383" s="10" t="str">
        <f t="shared" si="58"/>
        <v/>
      </c>
      <c r="N383" s="11" t="str">
        <f t="shared" si="61"/>
        <v/>
      </c>
      <c r="O383" s="10" t="str">
        <f t="shared" si="62"/>
        <v/>
      </c>
      <c r="P383" s="39" t="str">
        <f t="shared" si="63"/>
        <v/>
      </c>
      <c r="Q383" s="13" t="str">
        <f t="shared" si="59"/>
        <v/>
      </c>
      <c r="R383" s="13" t="str">
        <f t="shared" si="64"/>
        <v/>
      </c>
      <c r="S383" s="13" t="str">
        <f t="shared" si="60"/>
        <v/>
      </c>
      <c r="T383" s="22" t="str">
        <f>IF(R383&lt;&gt;"",VLOOKUP(P383,Constants!$D$3:$E$10,2),"")</f>
        <v/>
      </c>
    </row>
    <row r="384" spans="2:20" x14ac:dyDescent="0.25">
      <c r="B384" s="59"/>
      <c r="C384" s="59"/>
      <c r="D384" s="60"/>
      <c r="E384" s="59"/>
      <c r="F384" s="59"/>
      <c r="G384" s="59"/>
      <c r="H384" s="61"/>
      <c r="I384" s="61"/>
      <c r="J384" s="61"/>
      <c r="K384" s="62"/>
      <c r="L384" s="10" t="str">
        <f t="shared" si="57"/>
        <v/>
      </c>
      <c r="M384" s="10" t="str">
        <f t="shared" si="58"/>
        <v/>
      </c>
      <c r="N384" s="11" t="str">
        <f t="shared" si="61"/>
        <v/>
      </c>
      <c r="O384" s="10" t="str">
        <f t="shared" si="62"/>
        <v/>
      </c>
      <c r="P384" s="39" t="str">
        <f t="shared" si="63"/>
        <v/>
      </c>
      <c r="Q384" s="13" t="str">
        <f t="shared" si="59"/>
        <v/>
      </c>
      <c r="R384" s="13" t="str">
        <f t="shared" si="64"/>
        <v/>
      </c>
      <c r="S384" s="13" t="str">
        <f t="shared" si="60"/>
        <v/>
      </c>
      <c r="T384" s="22" t="str">
        <f>IF(R384&lt;&gt;"",VLOOKUP(P384,Constants!$D$3:$E$10,2),"")</f>
        <v/>
      </c>
    </row>
    <row r="385" spans="2:20" x14ac:dyDescent="0.25">
      <c r="B385" s="59"/>
      <c r="C385" s="59"/>
      <c r="D385" s="60"/>
      <c r="E385" s="59"/>
      <c r="F385" s="59"/>
      <c r="G385" s="59"/>
      <c r="H385" s="61"/>
      <c r="I385" s="61"/>
      <c r="J385" s="61"/>
      <c r="K385" s="62"/>
      <c r="L385" s="10" t="str">
        <f t="shared" si="57"/>
        <v/>
      </c>
      <c r="M385" s="10" t="str">
        <f t="shared" si="58"/>
        <v/>
      </c>
      <c r="N385" s="11" t="str">
        <f t="shared" si="61"/>
        <v/>
      </c>
      <c r="O385" s="10" t="str">
        <f t="shared" si="62"/>
        <v/>
      </c>
      <c r="P385" s="39" t="str">
        <f t="shared" si="63"/>
        <v/>
      </c>
      <c r="Q385" s="13" t="str">
        <f t="shared" si="59"/>
        <v/>
      </c>
      <c r="R385" s="13" t="str">
        <f t="shared" si="64"/>
        <v/>
      </c>
      <c r="S385" s="13" t="str">
        <f t="shared" si="60"/>
        <v/>
      </c>
      <c r="T385" s="22" t="str">
        <f>IF(R385&lt;&gt;"",VLOOKUP(P385,Constants!$D$3:$E$10,2),"")</f>
        <v/>
      </c>
    </row>
    <row r="386" spans="2:20" x14ac:dyDescent="0.25">
      <c r="B386" s="59"/>
      <c r="C386" s="59"/>
      <c r="D386" s="60"/>
      <c r="E386" s="59"/>
      <c r="F386" s="59"/>
      <c r="G386" s="59"/>
      <c r="H386" s="61"/>
      <c r="I386" s="61"/>
      <c r="J386" s="61"/>
      <c r="K386" s="62"/>
      <c r="L386" s="10" t="str">
        <f t="shared" si="57"/>
        <v/>
      </c>
      <c r="M386" s="10" t="str">
        <f t="shared" si="58"/>
        <v/>
      </c>
      <c r="N386" s="11" t="str">
        <f t="shared" si="61"/>
        <v/>
      </c>
      <c r="O386" s="10" t="str">
        <f t="shared" si="62"/>
        <v/>
      </c>
      <c r="P386" s="39" t="str">
        <f t="shared" si="63"/>
        <v/>
      </c>
      <c r="Q386" s="13" t="str">
        <f t="shared" si="59"/>
        <v/>
      </c>
      <c r="R386" s="13" t="str">
        <f t="shared" si="64"/>
        <v/>
      </c>
      <c r="S386" s="13" t="str">
        <f t="shared" si="60"/>
        <v/>
      </c>
      <c r="T386" s="22" t="str">
        <f>IF(R386&lt;&gt;"",VLOOKUP(P386,Constants!$D$3:$E$10,2),"")</f>
        <v/>
      </c>
    </row>
    <row r="387" spans="2:20" x14ac:dyDescent="0.25">
      <c r="B387" s="59"/>
      <c r="C387" s="59"/>
      <c r="D387" s="60"/>
      <c r="E387" s="59"/>
      <c r="F387" s="59"/>
      <c r="G387" s="59"/>
      <c r="H387" s="61"/>
      <c r="I387" s="61"/>
      <c r="J387" s="61"/>
      <c r="K387" s="62"/>
      <c r="L387" s="10" t="str">
        <f t="shared" si="57"/>
        <v/>
      </c>
      <c r="M387" s="10" t="str">
        <f t="shared" si="58"/>
        <v/>
      </c>
      <c r="N387" s="11" t="str">
        <f t="shared" si="61"/>
        <v/>
      </c>
      <c r="O387" s="10" t="str">
        <f t="shared" si="62"/>
        <v/>
      </c>
      <c r="P387" s="39" t="str">
        <f t="shared" si="63"/>
        <v/>
      </c>
      <c r="Q387" s="13" t="str">
        <f t="shared" si="59"/>
        <v/>
      </c>
      <c r="R387" s="13" t="str">
        <f t="shared" si="64"/>
        <v/>
      </c>
      <c r="S387" s="13" t="str">
        <f t="shared" si="60"/>
        <v/>
      </c>
      <c r="T387" s="22" t="str">
        <f>IF(R387&lt;&gt;"",VLOOKUP(P387,Constants!$D$3:$E$10,2),"")</f>
        <v/>
      </c>
    </row>
    <row r="388" spans="2:20" x14ac:dyDescent="0.25">
      <c r="B388" s="59"/>
      <c r="C388" s="59"/>
      <c r="D388" s="60"/>
      <c r="E388" s="59"/>
      <c r="F388" s="59"/>
      <c r="G388" s="59"/>
      <c r="H388" s="61"/>
      <c r="I388" s="61"/>
      <c r="J388" s="61"/>
      <c r="K388" s="62"/>
      <c r="L388" s="10" t="str">
        <f t="shared" si="57"/>
        <v/>
      </c>
      <c r="M388" s="10" t="str">
        <f t="shared" si="58"/>
        <v/>
      </c>
      <c r="N388" s="11" t="str">
        <f t="shared" si="61"/>
        <v/>
      </c>
      <c r="O388" s="10" t="str">
        <f t="shared" si="62"/>
        <v/>
      </c>
      <c r="P388" s="39" t="str">
        <f t="shared" si="63"/>
        <v/>
      </c>
      <c r="Q388" s="13" t="str">
        <f t="shared" si="59"/>
        <v/>
      </c>
      <c r="R388" s="13" t="str">
        <f t="shared" si="64"/>
        <v/>
      </c>
      <c r="S388" s="13" t="str">
        <f t="shared" si="60"/>
        <v/>
      </c>
      <c r="T388" s="22" t="str">
        <f>IF(R388&lt;&gt;"",VLOOKUP(P388,Constants!$D$3:$E$10,2),"")</f>
        <v/>
      </c>
    </row>
    <row r="389" spans="2:20" x14ac:dyDescent="0.25">
      <c r="B389" s="59"/>
      <c r="C389" s="59"/>
      <c r="D389" s="60"/>
      <c r="E389" s="59"/>
      <c r="F389" s="59"/>
      <c r="G389" s="59"/>
      <c r="H389" s="61"/>
      <c r="I389" s="61"/>
      <c r="J389" s="61"/>
      <c r="K389" s="62"/>
      <c r="L389" s="10" t="str">
        <f t="shared" si="57"/>
        <v/>
      </c>
      <c r="M389" s="10" t="str">
        <f t="shared" si="58"/>
        <v/>
      </c>
      <c r="N389" s="11" t="str">
        <f t="shared" si="61"/>
        <v/>
      </c>
      <c r="O389" s="10" t="str">
        <f t="shared" si="62"/>
        <v/>
      </c>
      <c r="P389" s="39" t="str">
        <f t="shared" si="63"/>
        <v/>
      </c>
      <c r="Q389" s="13" t="str">
        <f t="shared" si="59"/>
        <v/>
      </c>
      <c r="R389" s="13" t="str">
        <f t="shared" si="64"/>
        <v/>
      </c>
      <c r="S389" s="13" t="str">
        <f t="shared" si="60"/>
        <v/>
      </c>
      <c r="T389" s="22" t="str">
        <f>IF(R389&lt;&gt;"",VLOOKUP(P389,Constants!$D$3:$E$10,2),"")</f>
        <v/>
      </c>
    </row>
    <row r="390" spans="2:20" x14ac:dyDescent="0.25">
      <c r="B390" s="59"/>
      <c r="C390" s="59"/>
      <c r="D390" s="60"/>
      <c r="E390" s="59"/>
      <c r="F390" s="59"/>
      <c r="G390" s="59"/>
      <c r="H390" s="61"/>
      <c r="I390" s="61"/>
      <c r="J390" s="61"/>
      <c r="K390" s="62"/>
      <c r="L390" s="10" t="str">
        <f t="shared" si="57"/>
        <v/>
      </c>
      <c r="M390" s="10" t="str">
        <f t="shared" si="58"/>
        <v/>
      </c>
      <c r="N390" s="11" t="str">
        <f t="shared" si="61"/>
        <v/>
      </c>
      <c r="O390" s="10" t="str">
        <f t="shared" si="62"/>
        <v/>
      </c>
      <c r="P390" s="39" t="str">
        <f t="shared" si="63"/>
        <v/>
      </c>
      <c r="Q390" s="13" t="str">
        <f t="shared" si="59"/>
        <v/>
      </c>
      <c r="R390" s="13" t="str">
        <f t="shared" si="64"/>
        <v/>
      </c>
      <c r="S390" s="13" t="str">
        <f t="shared" si="60"/>
        <v/>
      </c>
      <c r="T390" s="22" t="str">
        <f>IF(R390&lt;&gt;"",VLOOKUP(P390,Constants!$D$3:$E$10,2),"")</f>
        <v/>
      </c>
    </row>
    <row r="391" spans="2:20" x14ac:dyDescent="0.25">
      <c r="B391" s="59"/>
      <c r="C391" s="59"/>
      <c r="D391" s="60"/>
      <c r="E391" s="59"/>
      <c r="F391" s="59"/>
      <c r="G391" s="59"/>
      <c r="H391" s="61"/>
      <c r="I391" s="61"/>
      <c r="J391" s="61"/>
      <c r="K391" s="62"/>
      <c r="L391" s="10" t="str">
        <f t="shared" si="57"/>
        <v/>
      </c>
      <c r="M391" s="10" t="str">
        <f t="shared" si="58"/>
        <v/>
      </c>
      <c r="N391" s="11" t="str">
        <f t="shared" si="61"/>
        <v/>
      </c>
      <c r="O391" s="10" t="str">
        <f t="shared" si="62"/>
        <v/>
      </c>
      <c r="P391" s="39" t="str">
        <f t="shared" si="63"/>
        <v/>
      </c>
      <c r="Q391" s="13" t="str">
        <f t="shared" si="59"/>
        <v/>
      </c>
      <c r="R391" s="13" t="str">
        <f t="shared" si="64"/>
        <v/>
      </c>
      <c r="S391" s="13" t="str">
        <f t="shared" si="60"/>
        <v/>
      </c>
      <c r="T391" s="22" t="str">
        <f>IF(R391&lt;&gt;"",VLOOKUP(P391,Constants!$D$3:$E$10,2),"")</f>
        <v/>
      </c>
    </row>
    <row r="392" spans="2:20" x14ac:dyDescent="0.25">
      <c r="B392" s="59"/>
      <c r="C392" s="59"/>
      <c r="D392" s="60"/>
      <c r="E392" s="59"/>
      <c r="F392" s="59"/>
      <c r="G392" s="59"/>
      <c r="H392" s="61"/>
      <c r="I392" s="61"/>
      <c r="J392" s="61"/>
      <c r="K392" s="62"/>
      <c r="L392" s="10" t="str">
        <f t="shared" ref="L392:L455" si="65">IF($D392&lt;&gt;"",$D392*$E392/1000,"")</f>
        <v/>
      </c>
      <c r="M392" s="10" t="str">
        <f t="shared" ref="M392:M455" si="66">IF($D392&lt;&gt;"",$D392*$F392/1000,"")</f>
        <v/>
      </c>
      <c r="N392" s="11" t="str">
        <f t="shared" si="61"/>
        <v/>
      </c>
      <c r="O392" s="10" t="str">
        <f t="shared" si="62"/>
        <v/>
      </c>
      <c r="P392" s="39" t="str">
        <f t="shared" si="63"/>
        <v/>
      </c>
      <c r="Q392" s="13" t="str">
        <f t="shared" ref="Q392:Q455" si="67">IF(F392&lt;&gt;"",F392*E392/1000,"")</f>
        <v/>
      </c>
      <c r="R392" s="13" t="str">
        <f t="shared" si="64"/>
        <v/>
      </c>
      <c r="S392" s="13" t="str">
        <f t="shared" ref="S392:S455" si="68">IF(R392&lt;&gt;"",Q392/R392*1000,"")</f>
        <v/>
      </c>
      <c r="T392" s="22" t="str">
        <f>IF(R392&lt;&gt;"",VLOOKUP(P392,Constants!$D$3:$E$10,2),"")</f>
        <v/>
      </c>
    </row>
    <row r="393" spans="2:20" x14ac:dyDescent="0.25">
      <c r="B393" s="59"/>
      <c r="C393" s="59"/>
      <c r="D393" s="60"/>
      <c r="E393" s="59"/>
      <c r="F393" s="59"/>
      <c r="G393" s="59"/>
      <c r="H393" s="61"/>
      <c r="I393" s="61"/>
      <c r="J393" s="61"/>
      <c r="K393" s="62"/>
      <c r="L393" s="10" t="str">
        <f t="shared" si="65"/>
        <v/>
      </c>
      <c r="M393" s="10" t="str">
        <f t="shared" si="66"/>
        <v/>
      </c>
      <c r="N393" s="11" t="str">
        <f t="shared" si="61"/>
        <v/>
      </c>
      <c r="O393" s="10" t="str">
        <f t="shared" si="62"/>
        <v/>
      </c>
      <c r="P393" s="39" t="str">
        <f t="shared" si="63"/>
        <v/>
      </c>
      <c r="Q393" s="13" t="str">
        <f t="shared" si="67"/>
        <v/>
      </c>
      <c r="R393" s="13" t="str">
        <f t="shared" si="64"/>
        <v/>
      </c>
      <c r="S393" s="13" t="str">
        <f t="shared" si="68"/>
        <v/>
      </c>
      <c r="T393" s="22" t="str">
        <f>IF(R393&lt;&gt;"",VLOOKUP(P393,Constants!$D$3:$E$10,2),"")</f>
        <v/>
      </c>
    </row>
    <row r="394" spans="2:20" x14ac:dyDescent="0.25">
      <c r="B394" s="59"/>
      <c r="C394" s="59"/>
      <c r="D394" s="60"/>
      <c r="E394" s="59"/>
      <c r="F394" s="59"/>
      <c r="G394" s="59"/>
      <c r="H394" s="61"/>
      <c r="I394" s="61"/>
      <c r="J394" s="61"/>
      <c r="K394" s="62"/>
      <c r="L394" s="10" t="str">
        <f t="shared" si="65"/>
        <v/>
      </c>
      <c r="M394" s="10" t="str">
        <f t="shared" si="66"/>
        <v/>
      </c>
      <c r="N394" s="11" t="str">
        <f t="shared" si="61"/>
        <v/>
      </c>
      <c r="O394" s="10" t="str">
        <f t="shared" si="62"/>
        <v/>
      </c>
      <c r="P394" s="39" t="str">
        <f t="shared" si="63"/>
        <v/>
      </c>
      <c r="Q394" s="13" t="str">
        <f t="shared" si="67"/>
        <v/>
      </c>
      <c r="R394" s="13" t="str">
        <f t="shared" si="64"/>
        <v/>
      </c>
      <c r="S394" s="13" t="str">
        <f t="shared" si="68"/>
        <v/>
      </c>
      <c r="T394" s="22" t="str">
        <f>IF(R394&lt;&gt;"",VLOOKUP(P394,Constants!$D$3:$E$10,2),"")</f>
        <v/>
      </c>
    </row>
    <row r="395" spans="2:20" x14ac:dyDescent="0.25">
      <c r="B395" s="59"/>
      <c r="C395" s="59"/>
      <c r="D395" s="60"/>
      <c r="E395" s="59"/>
      <c r="F395" s="59"/>
      <c r="G395" s="59"/>
      <c r="H395" s="61"/>
      <c r="I395" s="61"/>
      <c r="J395" s="61"/>
      <c r="K395" s="62"/>
      <c r="L395" s="10" t="str">
        <f t="shared" si="65"/>
        <v/>
      </c>
      <c r="M395" s="10" t="str">
        <f t="shared" si="66"/>
        <v/>
      </c>
      <c r="N395" s="11" t="str">
        <f t="shared" si="61"/>
        <v/>
      </c>
      <c r="O395" s="10" t="str">
        <f t="shared" si="62"/>
        <v/>
      </c>
      <c r="P395" s="39" t="str">
        <f t="shared" si="63"/>
        <v/>
      </c>
      <c r="Q395" s="13" t="str">
        <f t="shared" si="67"/>
        <v/>
      </c>
      <c r="R395" s="13" t="str">
        <f t="shared" si="64"/>
        <v/>
      </c>
      <c r="S395" s="13" t="str">
        <f t="shared" si="68"/>
        <v/>
      </c>
      <c r="T395" s="22" t="str">
        <f>IF(R395&lt;&gt;"",VLOOKUP(P395,Constants!$D$3:$E$10,2),"")</f>
        <v/>
      </c>
    </row>
    <row r="396" spans="2:20" x14ac:dyDescent="0.25">
      <c r="B396" s="59"/>
      <c r="C396" s="59"/>
      <c r="D396" s="60"/>
      <c r="E396" s="59"/>
      <c r="F396" s="59"/>
      <c r="G396" s="59"/>
      <c r="H396" s="61"/>
      <c r="I396" s="61"/>
      <c r="J396" s="61"/>
      <c r="K396" s="62"/>
      <c r="L396" s="10" t="str">
        <f t="shared" si="65"/>
        <v/>
      </c>
      <c r="M396" s="10" t="str">
        <f t="shared" si="66"/>
        <v/>
      </c>
      <c r="N396" s="11" t="str">
        <f t="shared" si="61"/>
        <v/>
      </c>
      <c r="O396" s="10" t="str">
        <f t="shared" si="62"/>
        <v/>
      </c>
      <c r="P396" s="39" t="str">
        <f t="shared" si="63"/>
        <v/>
      </c>
      <c r="Q396" s="13" t="str">
        <f t="shared" si="67"/>
        <v/>
      </c>
      <c r="R396" s="13" t="str">
        <f t="shared" si="64"/>
        <v/>
      </c>
      <c r="S396" s="13" t="str">
        <f t="shared" si="68"/>
        <v/>
      </c>
      <c r="T396" s="22" t="str">
        <f>IF(R396&lt;&gt;"",VLOOKUP(P396,Constants!$D$3:$E$10,2),"")</f>
        <v/>
      </c>
    </row>
    <row r="397" spans="2:20" x14ac:dyDescent="0.25">
      <c r="B397" s="59"/>
      <c r="C397" s="59"/>
      <c r="D397" s="60"/>
      <c r="E397" s="59"/>
      <c r="F397" s="59"/>
      <c r="G397" s="59"/>
      <c r="H397" s="61"/>
      <c r="I397" s="61"/>
      <c r="J397" s="61"/>
      <c r="K397" s="62"/>
      <c r="L397" s="10" t="str">
        <f t="shared" si="65"/>
        <v/>
      </c>
      <c r="M397" s="10" t="str">
        <f t="shared" si="66"/>
        <v/>
      </c>
      <c r="N397" s="11" t="str">
        <f t="shared" si="61"/>
        <v/>
      </c>
      <c r="O397" s="10" t="str">
        <f t="shared" si="62"/>
        <v/>
      </c>
      <c r="P397" s="39" t="str">
        <f t="shared" si="63"/>
        <v/>
      </c>
      <c r="Q397" s="13" t="str">
        <f t="shared" si="67"/>
        <v/>
      </c>
      <c r="R397" s="13" t="str">
        <f t="shared" si="64"/>
        <v/>
      </c>
      <c r="S397" s="13" t="str">
        <f t="shared" si="68"/>
        <v/>
      </c>
      <c r="T397" s="22" t="str">
        <f>IF(R397&lt;&gt;"",VLOOKUP(P397,Constants!$D$3:$E$10,2),"")</f>
        <v/>
      </c>
    </row>
    <row r="398" spans="2:20" x14ac:dyDescent="0.25">
      <c r="B398" s="59"/>
      <c r="C398" s="59"/>
      <c r="D398" s="60"/>
      <c r="E398" s="59"/>
      <c r="F398" s="59"/>
      <c r="G398" s="59"/>
      <c r="H398" s="61"/>
      <c r="I398" s="61"/>
      <c r="J398" s="61"/>
      <c r="K398" s="62"/>
      <c r="L398" s="10" t="str">
        <f t="shared" si="65"/>
        <v/>
      </c>
      <c r="M398" s="10" t="str">
        <f t="shared" si="66"/>
        <v/>
      </c>
      <c r="N398" s="11" t="str">
        <f t="shared" si="61"/>
        <v/>
      </c>
      <c r="O398" s="10" t="str">
        <f t="shared" si="62"/>
        <v/>
      </c>
      <c r="P398" s="39" t="str">
        <f t="shared" si="63"/>
        <v/>
      </c>
      <c r="Q398" s="13" t="str">
        <f t="shared" si="67"/>
        <v/>
      </c>
      <c r="R398" s="13" t="str">
        <f t="shared" si="64"/>
        <v/>
      </c>
      <c r="S398" s="13" t="str">
        <f t="shared" si="68"/>
        <v/>
      </c>
      <c r="T398" s="22" t="str">
        <f>IF(R398&lt;&gt;"",VLOOKUP(P398,Constants!$D$3:$E$10,2),"")</f>
        <v/>
      </c>
    </row>
    <row r="399" spans="2:20" x14ac:dyDescent="0.25">
      <c r="B399" s="59"/>
      <c r="C399" s="59"/>
      <c r="D399" s="60"/>
      <c r="E399" s="59"/>
      <c r="F399" s="59"/>
      <c r="G399" s="59"/>
      <c r="H399" s="61"/>
      <c r="I399" s="61"/>
      <c r="J399" s="61"/>
      <c r="K399" s="62"/>
      <c r="L399" s="10" t="str">
        <f t="shared" si="65"/>
        <v/>
      </c>
      <c r="M399" s="10" t="str">
        <f t="shared" si="66"/>
        <v/>
      </c>
      <c r="N399" s="11" t="str">
        <f t="shared" si="61"/>
        <v/>
      </c>
      <c r="O399" s="10" t="str">
        <f t="shared" si="62"/>
        <v/>
      </c>
      <c r="P399" s="39" t="str">
        <f t="shared" si="63"/>
        <v/>
      </c>
      <c r="Q399" s="13" t="str">
        <f t="shared" si="67"/>
        <v/>
      </c>
      <c r="R399" s="13" t="str">
        <f t="shared" si="64"/>
        <v/>
      </c>
      <c r="S399" s="13" t="str">
        <f t="shared" si="68"/>
        <v/>
      </c>
      <c r="T399" s="22" t="str">
        <f>IF(R399&lt;&gt;"",VLOOKUP(P399,Constants!$D$3:$E$10,2),"")</f>
        <v/>
      </c>
    </row>
    <row r="400" spans="2:20" x14ac:dyDescent="0.25">
      <c r="B400" s="59"/>
      <c r="C400" s="59"/>
      <c r="D400" s="60"/>
      <c r="E400" s="59"/>
      <c r="F400" s="59"/>
      <c r="G400" s="59"/>
      <c r="H400" s="61"/>
      <c r="I400" s="61"/>
      <c r="J400" s="61"/>
      <c r="K400" s="62"/>
      <c r="L400" s="10" t="str">
        <f t="shared" si="65"/>
        <v/>
      </c>
      <c r="M400" s="10" t="str">
        <f t="shared" si="66"/>
        <v/>
      </c>
      <c r="N400" s="11" t="str">
        <f t="shared" ref="N400:N463" si="69">IF($L400&lt;&gt;"",SQRT($L400*$L400+$M400*$M400),"")</f>
        <v/>
      </c>
      <c r="O400" s="10" t="str">
        <f t="shared" si="62"/>
        <v/>
      </c>
      <c r="P400" s="39" t="str">
        <f t="shared" si="63"/>
        <v/>
      </c>
      <c r="Q400" s="13" t="str">
        <f t="shared" si="67"/>
        <v/>
      </c>
      <c r="R400" s="13" t="str">
        <f t="shared" si="64"/>
        <v/>
      </c>
      <c r="S400" s="13" t="str">
        <f t="shared" si="68"/>
        <v/>
      </c>
      <c r="T400" s="22" t="str">
        <f>IF(R400&lt;&gt;"",VLOOKUP(P400,Constants!$D$3:$E$10,2),"")</f>
        <v/>
      </c>
    </row>
    <row r="401" spans="2:20" x14ac:dyDescent="0.25">
      <c r="B401" s="59"/>
      <c r="C401" s="59"/>
      <c r="D401" s="60"/>
      <c r="E401" s="59"/>
      <c r="F401" s="59"/>
      <c r="G401" s="59"/>
      <c r="H401" s="61"/>
      <c r="I401" s="61"/>
      <c r="J401" s="61"/>
      <c r="K401" s="62"/>
      <c r="L401" s="10" t="str">
        <f t="shared" si="65"/>
        <v/>
      </c>
      <c r="M401" s="10" t="str">
        <f t="shared" si="66"/>
        <v/>
      </c>
      <c r="N401" s="11" t="str">
        <f t="shared" si="69"/>
        <v/>
      </c>
      <c r="O401" s="10" t="str">
        <f t="shared" si="62"/>
        <v/>
      </c>
      <c r="P401" s="39" t="str">
        <f t="shared" si="63"/>
        <v/>
      </c>
      <c r="Q401" s="13" t="str">
        <f t="shared" si="67"/>
        <v/>
      </c>
      <c r="R401" s="13" t="str">
        <f t="shared" si="64"/>
        <v/>
      </c>
      <c r="S401" s="13" t="str">
        <f t="shared" si="68"/>
        <v/>
      </c>
      <c r="T401" s="22" t="str">
        <f>IF(R401&lt;&gt;"",VLOOKUP(P401,Constants!$D$3:$E$10,2),"")</f>
        <v/>
      </c>
    </row>
    <row r="402" spans="2:20" x14ac:dyDescent="0.25">
      <c r="B402" s="59"/>
      <c r="C402" s="59"/>
      <c r="D402" s="60"/>
      <c r="E402" s="59"/>
      <c r="F402" s="59"/>
      <c r="G402" s="59"/>
      <c r="H402" s="61"/>
      <c r="I402" s="61"/>
      <c r="J402" s="61"/>
      <c r="K402" s="62"/>
      <c r="L402" s="10" t="str">
        <f t="shared" si="65"/>
        <v/>
      </c>
      <c r="M402" s="10" t="str">
        <f t="shared" si="66"/>
        <v/>
      </c>
      <c r="N402" s="11" t="str">
        <f t="shared" si="69"/>
        <v/>
      </c>
      <c r="O402" s="10" t="str">
        <f t="shared" si="62"/>
        <v/>
      </c>
      <c r="P402" s="39" t="str">
        <f t="shared" si="63"/>
        <v/>
      </c>
      <c r="Q402" s="13" t="str">
        <f t="shared" si="67"/>
        <v/>
      </c>
      <c r="R402" s="13" t="str">
        <f t="shared" si="64"/>
        <v/>
      </c>
      <c r="S402" s="13" t="str">
        <f t="shared" si="68"/>
        <v/>
      </c>
      <c r="T402" s="22" t="str">
        <f>IF(R402&lt;&gt;"",VLOOKUP(P402,Constants!$D$3:$E$10,2),"")</f>
        <v/>
      </c>
    </row>
    <row r="403" spans="2:20" x14ac:dyDescent="0.25">
      <c r="B403" s="59"/>
      <c r="C403" s="59"/>
      <c r="D403" s="60"/>
      <c r="E403" s="59"/>
      <c r="F403" s="59"/>
      <c r="G403" s="59"/>
      <c r="H403" s="61"/>
      <c r="I403" s="61"/>
      <c r="J403" s="61"/>
      <c r="K403" s="62"/>
      <c r="L403" s="10" t="str">
        <f t="shared" si="65"/>
        <v/>
      </c>
      <c r="M403" s="10" t="str">
        <f t="shared" si="66"/>
        <v/>
      </c>
      <c r="N403" s="11" t="str">
        <f t="shared" si="69"/>
        <v/>
      </c>
      <c r="O403" s="10" t="str">
        <f t="shared" si="62"/>
        <v/>
      </c>
      <c r="P403" s="39" t="str">
        <f t="shared" si="63"/>
        <v/>
      </c>
      <c r="Q403" s="13" t="str">
        <f t="shared" si="67"/>
        <v/>
      </c>
      <c r="R403" s="13" t="str">
        <f t="shared" si="64"/>
        <v/>
      </c>
      <c r="S403" s="13" t="str">
        <f t="shared" si="68"/>
        <v/>
      </c>
      <c r="T403" s="22" t="str">
        <f>IF(R403&lt;&gt;"",VLOOKUP(P403,Constants!$D$3:$E$10,2),"")</f>
        <v/>
      </c>
    </row>
    <row r="404" spans="2:20" x14ac:dyDescent="0.25">
      <c r="B404" s="59"/>
      <c r="C404" s="59"/>
      <c r="D404" s="60"/>
      <c r="E404" s="59"/>
      <c r="F404" s="59"/>
      <c r="G404" s="59"/>
      <c r="H404" s="61"/>
      <c r="I404" s="61"/>
      <c r="J404" s="61"/>
      <c r="K404" s="62"/>
      <c r="L404" s="10" t="str">
        <f t="shared" si="65"/>
        <v/>
      </c>
      <c r="M404" s="10" t="str">
        <f t="shared" si="66"/>
        <v/>
      </c>
      <c r="N404" s="11" t="str">
        <f t="shared" si="69"/>
        <v/>
      </c>
      <c r="O404" s="10" t="str">
        <f t="shared" si="62"/>
        <v/>
      </c>
      <c r="P404" s="39" t="str">
        <f t="shared" si="63"/>
        <v/>
      </c>
      <c r="Q404" s="13" t="str">
        <f t="shared" si="67"/>
        <v/>
      </c>
      <c r="R404" s="13" t="str">
        <f t="shared" si="64"/>
        <v/>
      </c>
      <c r="S404" s="13" t="str">
        <f t="shared" si="68"/>
        <v/>
      </c>
      <c r="T404" s="22" t="str">
        <f>IF(R404&lt;&gt;"",VLOOKUP(P404,Constants!$D$3:$E$10,2),"")</f>
        <v/>
      </c>
    </row>
    <row r="405" spans="2:20" x14ac:dyDescent="0.25">
      <c r="B405" s="59"/>
      <c r="C405" s="59"/>
      <c r="D405" s="60"/>
      <c r="E405" s="59"/>
      <c r="F405" s="59"/>
      <c r="G405" s="59"/>
      <c r="H405" s="61"/>
      <c r="I405" s="61"/>
      <c r="J405" s="61"/>
      <c r="K405" s="62"/>
      <c r="L405" s="10" t="str">
        <f t="shared" si="65"/>
        <v/>
      </c>
      <c r="M405" s="10" t="str">
        <f t="shared" si="66"/>
        <v/>
      </c>
      <c r="N405" s="11" t="str">
        <f t="shared" si="69"/>
        <v/>
      </c>
      <c r="O405" s="10" t="str">
        <f t="shared" si="62"/>
        <v/>
      </c>
      <c r="P405" s="39" t="str">
        <f t="shared" si="63"/>
        <v/>
      </c>
      <c r="Q405" s="13" t="str">
        <f t="shared" si="67"/>
        <v/>
      </c>
      <c r="R405" s="13" t="str">
        <f t="shared" si="64"/>
        <v/>
      </c>
      <c r="S405" s="13" t="str">
        <f t="shared" si="68"/>
        <v/>
      </c>
      <c r="T405" s="22" t="str">
        <f>IF(R405&lt;&gt;"",VLOOKUP(P405,Constants!$D$3:$E$10,2),"")</f>
        <v/>
      </c>
    </row>
    <row r="406" spans="2:20" x14ac:dyDescent="0.25">
      <c r="B406" s="59"/>
      <c r="C406" s="59"/>
      <c r="D406" s="60"/>
      <c r="E406" s="59"/>
      <c r="F406" s="59"/>
      <c r="G406" s="59"/>
      <c r="H406" s="61"/>
      <c r="I406" s="61"/>
      <c r="J406" s="61"/>
      <c r="K406" s="62"/>
      <c r="L406" s="10" t="str">
        <f t="shared" si="65"/>
        <v/>
      </c>
      <c r="M406" s="10" t="str">
        <f t="shared" si="66"/>
        <v/>
      </c>
      <c r="N406" s="11" t="str">
        <f t="shared" si="69"/>
        <v/>
      </c>
      <c r="O406" s="10" t="str">
        <f t="shared" si="62"/>
        <v/>
      </c>
      <c r="P406" s="39" t="str">
        <f t="shared" si="63"/>
        <v/>
      </c>
      <c r="Q406" s="13" t="str">
        <f t="shared" si="67"/>
        <v/>
      </c>
      <c r="R406" s="13" t="str">
        <f t="shared" si="64"/>
        <v/>
      </c>
      <c r="S406" s="13" t="str">
        <f t="shared" si="68"/>
        <v/>
      </c>
      <c r="T406" s="22" t="str">
        <f>IF(R406&lt;&gt;"",VLOOKUP(P406,Constants!$D$3:$E$10,2),"")</f>
        <v/>
      </c>
    </row>
    <row r="407" spans="2:20" x14ac:dyDescent="0.25">
      <c r="B407" s="59"/>
      <c r="C407" s="59"/>
      <c r="D407" s="60"/>
      <c r="E407" s="59"/>
      <c r="F407" s="59"/>
      <c r="G407" s="59"/>
      <c r="H407" s="61"/>
      <c r="I407" s="61"/>
      <c r="J407" s="61"/>
      <c r="K407" s="62"/>
      <c r="L407" s="10" t="str">
        <f t="shared" si="65"/>
        <v/>
      </c>
      <c r="M407" s="10" t="str">
        <f t="shared" si="66"/>
        <v/>
      </c>
      <c r="N407" s="11" t="str">
        <f t="shared" si="69"/>
        <v/>
      </c>
      <c r="O407" s="10" t="str">
        <f t="shared" ref="O407:O470" si="70">IF(D407&lt;&gt;"",1000/(2*D407),"")</f>
        <v/>
      </c>
      <c r="P407" s="39" t="str">
        <f t="shared" ref="P407:P470" si="71">IF($N407&lt;&gt;"",D407*SQRT(E407*E407+F407*F407)/16000,"")</f>
        <v/>
      </c>
      <c r="Q407" s="13" t="str">
        <f t="shared" si="67"/>
        <v/>
      </c>
      <c r="R407" s="13" t="str">
        <f t="shared" ref="R407:R470" si="72">IF(G407&lt;&gt;"",1000/G407,"")</f>
        <v/>
      </c>
      <c r="S407" s="13" t="str">
        <f t="shared" si="68"/>
        <v/>
      </c>
      <c r="T407" s="22" t="str">
        <f>IF(R407&lt;&gt;"",VLOOKUP(P407,Constants!$D$3:$E$10,2),"")</f>
        <v/>
      </c>
    </row>
    <row r="408" spans="2:20" x14ac:dyDescent="0.25">
      <c r="B408" s="59"/>
      <c r="C408" s="59"/>
      <c r="D408" s="60"/>
      <c r="E408" s="59"/>
      <c r="F408" s="59"/>
      <c r="G408" s="59"/>
      <c r="H408" s="61"/>
      <c r="I408" s="61"/>
      <c r="J408" s="61"/>
      <c r="K408" s="62"/>
      <c r="L408" s="10" t="str">
        <f t="shared" si="65"/>
        <v/>
      </c>
      <c r="M408" s="10" t="str">
        <f t="shared" si="66"/>
        <v/>
      </c>
      <c r="N408" s="11" t="str">
        <f t="shared" si="69"/>
        <v/>
      </c>
      <c r="O408" s="10" t="str">
        <f t="shared" si="70"/>
        <v/>
      </c>
      <c r="P408" s="39" t="str">
        <f t="shared" si="71"/>
        <v/>
      </c>
      <c r="Q408" s="13" t="str">
        <f t="shared" si="67"/>
        <v/>
      </c>
      <c r="R408" s="13" t="str">
        <f t="shared" si="72"/>
        <v/>
      </c>
      <c r="S408" s="13" t="str">
        <f t="shared" si="68"/>
        <v/>
      </c>
      <c r="T408" s="22" t="str">
        <f>IF(R408&lt;&gt;"",VLOOKUP(P408,Constants!$D$3:$E$10,2),"")</f>
        <v/>
      </c>
    </row>
    <row r="409" spans="2:20" x14ac:dyDescent="0.25">
      <c r="B409" s="59"/>
      <c r="C409" s="59"/>
      <c r="D409" s="60"/>
      <c r="E409" s="59"/>
      <c r="F409" s="59"/>
      <c r="G409" s="59"/>
      <c r="H409" s="61"/>
      <c r="I409" s="61"/>
      <c r="J409" s="61"/>
      <c r="K409" s="62"/>
      <c r="L409" s="10" t="str">
        <f t="shared" si="65"/>
        <v/>
      </c>
      <c r="M409" s="10" t="str">
        <f t="shared" si="66"/>
        <v/>
      </c>
      <c r="N409" s="11" t="str">
        <f t="shared" si="69"/>
        <v/>
      </c>
      <c r="O409" s="10" t="str">
        <f t="shared" si="70"/>
        <v/>
      </c>
      <c r="P409" s="39" t="str">
        <f t="shared" si="71"/>
        <v/>
      </c>
      <c r="Q409" s="13" t="str">
        <f t="shared" si="67"/>
        <v/>
      </c>
      <c r="R409" s="13" t="str">
        <f t="shared" si="72"/>
        <v/>
      </c>
      <c r="S409" s="13" t="str">
        <f t="shared" si="68"/>
        <v/>
      </c>
      <c r="T409" s="22" t="str">
        <f>IF(R409&lt;&gt;"",VLOOKUP(P409,Constants!$D$3:$E$10,2),"")</f>
        <v/>
      </c>
    </row>
    <row r="410" spans="2:20" x14ac:dyDescent="0.25">
      <c r="B410" s="59"/>
      <c r="C410" s="59"/>
      <c r="D410" s="60"/>
      <c r="E410" s="59"/>
      <c r="F410" s="59"/>
      <c r="G410" s="59"/>
      <c r="H410" s="61"/>
      <c r="I410" s="61"/>
      <c r="J410" s="61"/>
      <c r="K410" s="62"/>
      <c r="L410" s="10" t="str">
        <f t="shared" si="65"/>
        <v/>
      </c>
      <c r="M410" s="10" t="str">
        <f t="shared" si="66"/>
        <v/>
      </c>
      <c r="N410" s="11" t="str">
        <f t="shared" si="69"/>
        <v/>
      </c>
      <c r="O410" s="10" t="str">
        <f t="shared" si="70"/>
        <v/>
      </c>
      <c r="P410" s="39" t="str">
        <f t="shared" si="71"/>
        <v/>
      </c>
      <c r="Q410" s="13" t="str">
        <f t="shared" si="67"/>
        <v/>
      </c>
      <c r="R410" s="13" t="str">
        <f t="shared" si="72"/>
        <v/>
      </c>
      <c r="S410" s="13" t="str">
        <f t="shared" si="68"/>
        <v/>
      </c>
      <c r="T410" s="22" t="str">
        <f>IF(R410&lt;&gt;"",VLOOKUP(P410,Constants!$D$3:$E$10,2),"")</f>
        <v/>
      </c>
    </row>
    <row r="411" spans="2:20" x14ac:dyDescent="0.25">
      <c r="B411" s="59"/>
      <c r="C411" s="59"/>
      <c r="D411" s="60"/>
      <c r="E411" s="59"/>
      <c r="F411" s="59"/>
      <c r="G411" s="59"/>
      <c r="H411" s="61"/>
      <c r="I411" s="61"/>
      <c r="J411" s="61"/>
      <c r="K411" s="62"/>
      <c r="L411" s="10" t="str">
        <f t="shared" si="65"/>
        <v/>
      </c>
      <c r="M411" s="10" t="str">
        <f t="shared" si="66"/>
        <v/>
      </c>
      <c r="N411" s="11" t="str">
        <f t="shared" si="69"/>
        <v/>
      </c>
      <c r="O411" s="10" t="str">
        <f t="shared" si="70"/>
        <v/>
      </c>
      <c r="P411" s="39" t="str">
        <f t="shared" si="71"/>
        <v/>
      </c>
      <c r="Q411" s="13" t="str">
        <f t="shared" si="67"/>
        <v/>
      </c>
      <c r="R411" s="13" t="str">
        <f t="shared" si="72"/>
        <v/>
      </c>
      <c r="S411" s="13" t="str">
        <f t="shared" si="68"/>
        <v/>
      </c>
      <c r="T411" s="22" t="str">
        <f>IF(R411&lt;&gt;"",VLOOKUP(P411,Constants!$D$3:$E$10,2),"")</f>
        <v/>
      </c>
    </row>
    <row r="412" spans="2:20" x14ac:dyDescent="0.25">
      <c r="B412" s="59"/>
      <c r="C412" s="59"/>
      <c r="D412" s="60"/>
      <c r="E412" s="59"/>
      <c r="F412" s="59"/>
      <c r="G412" s="59"/>
      <c r="H412" s="61"/>
      <c r="I412" s="61"/>
      <c r="J412" s="61"/>
      <c r="K412" s="62"/>
      <c r="L412" s="10" t="str">
        <f t="shared" si="65"/>
        <v/>
      </c>
      <c r="M412" s="10" t="str">
        <f t="shared" si="66"/>
        <v/>
      </c>
      <c r="N412" s="11" t="str">
        <f t="shared" si="69"/>
        <v/>
      </c>
      <c r="O412" s="10" t="str">
        <f t="shared" si="70"/>
        <v/>
      </c>
      <c r="P412" s="39" t="str">
        <f t="shared" si="71"/>
        <v/>
      </c>
      <c r="Q412" s="13" t="str">
        <f t="shared" si="67"/>
        <v/>
      </c>
      <c r="R412" s="13" t="str">
        <f t="shared" si="72"/>
        <v/>
      </c>
      <c r="S412" s="13" t="str">
        <f t="shared" si="68"/>
        <v/>
      </c>
      <c r="T412" s="22" t="str">
        <f>IF(R412&lt;&gt;"",VLOOKUP(P412,Constants!$D$3:$E$10,2),"")</f>
        <v/>
      </c>
    </row>
    <row r="413" spans="2:20" x14ac:dyDescent="0.25">
      <c r="B413" s="59"/>
      <c r="C413" s="59"/>
      <c r="D413" s="60"/>
      <c r="E413" s="59"/>
      <c r="F413" s="59"/>
      <c r="G413" s="59"/>
      <c r="H413" s="61"/>
      <c r="I413" s="61"/>
      <c r="J413" s="61"/>
      <c r="K413" s="62"/>
      <c r="L413" s="10" t="str">
        <f t="shared" si="65"/>
        <v/>
      </c>
      <c r="M413" s="10" t="str">
        <f t="shared" si="66"/>
        <v/>
      </c>
      <c r="N413" s="11" t="str">
        <f t="shared" si="69"/>
        <v/>
      </c>
      <c r="O413" s="10" t="str">
        <f t="shared" si="70"/>
        <v/>
      </c>
      <c r="P413" s="39" t="str">
        <f t="shared" si="71"/>
        <v/>
      </c>
      <c r="Q413" s="13" t="str">
        <f t="shared" si="67"/>
        <v/>
      </c>
      <c r="R413" s="13" t="str">
        <f t="shared" si="72"/>
        <v/>
      </c>
      <c r="S413" s="13" t="str">
        <f t="shared" si="68"/>
        <v/>
      </c>
      <c r="T413" s="22" t="str">
        <f>IF(R413&lt;&gt;"",VLOOKUP(P413,Constants!$D$3:$E$10,2),"")</f>
        <v/>
      </c>
    </row>
    <row r="414" spans="2:20" x14ac:dyDescent="0.25">
      <c r="B414" s="59"/>
      <c r="C414" s="59"/>
      <c r="D414" s="60"/>
      <c r="E414" s="59"/>
      <c r="F414" s="59"/>
      <c r="G414" s="59"/>
      <c r="H414" s="61"/>
      <c r="I414" s="61"/>
      <c r="J414" s="61"/>
      <c r="K414" s="62"/>
      <c r="L414" s="10" t="str">
        <f t="shared" si="65"/>
        <v/>
      </c>
      <c r="M414" s="10" t="str">
        <f t="shared" si="66"/>
        <v/>
      </c>
      <c r="N414" s="11" t="str">
        <f t="shared" si="69"/>
        <v/>
      </c>
      <c r="O414" s="10" t="str">
        <f t="shared" si="70"/>
        <v/>
      </c>
      <c r="P414" s="39" t="str">
        <f t="shared" si="71"/>
        <v/>
      </c>
      <c r="Q414" s="13" t="str">
        <f t="shared" si="67"/>
        <v/>
      </c>
      <c r="R414" s="13" t="str">
        <f t="shared" si="72"/>
        <v/>
      </c>
      <c r="S414" s="13" t="str">
        <f t="shared" si="68"/>
        <v/>
      </c>
      <c r="T414" s="22" t="str">
        <f>IF(R414&lt;&gt;"",VLOOKUP(P414,Constants!$D$3:$E$10,2),"")</f>
        <v/>
      </c>
    </row>
    <row r="415" spans="2:20" x14ac:dyDescent="0.25">
      <c r="B415" s="59"/>
      <c r="C415" s="59"/>
      <c r="D415" s="60"/>
      <c r="E415" s="59"/>
      <c r="F415" s="59"/>
      <c r="G415" s="59"/>
      <c r="H415" s="61"/>
      <c r="I415" s="61"/>
      <c r="J415" s="61"/>
      <c r="K415" s="62"/>
      <c r="L415" s="10" t="str">
        <f t="shared" si="65"/>
        <v/>
      </c>
      <c r="M415" s="10" t="str">
        <f t="shared" si="66"/>
        <v/>
      </c>
      <c r="N415" s="11" t="str">
        <f t="shared" si="69"/>
        <v/>
      </c>
      <c r="O415" s="10" t="str">
        <f t="shared" si="70"/>
        <v/>
      </c>
      <c r="P415" s="39" t="str">
        <f t="shared" si="71"/>
        <v/>
      </c>
      <c r="Q415" s="13" t="str">
        <f t="shared" si="67"/>
        <v/>
      </c>
      <c r="R415" s="13" t="str">
        <f t="shared" si="72"/>
        <v/>
      </c>
      <c r="S415" s="13" t="str">
        <f t="shared" si="68"/>
        <v/>
      </c>
      <c r="T415" s="22" t="str">
        <f>IF(R415&lt;&gt;"",VLOOKUP(P415,Constants!$D$3:$E$10,2),"")</f>
        <v/>
      </c>
    </row>
    <row r="416" spans="2:20" x14ac:dyDescent="0.25">
      <c r="B416" s="59"/>
      <c r="C416" s="59"/>
      <c r="D416" s="60"/>
      <c r="E416" s="59"/>
      <c r="F416" s="59"/>
      <c r="G416" s="59"/>
      <c r="H416" s="61"/>
      <c r="I416" s="61"/>
      <c r="J416" s="61"/>
      <c r="K416" s="62"/>
      <c r="L416" s="10" t="str">
        <f t="shared" si="65"/>
        <v/>
      </c>
      <c r="M416" s="10" t="str">
        <f t="shared" si="66"/>
        <v/>
      </c>
      <c r="N416" s="11" t="str">
        <f t="shared" si="69"/>
        <v/>
      </c>
      <c r="O416" s="10" t="str">
        <f t="shared" si="70"/>
        <v/>
      </c>
      <c r="P416" s="39" t="str">
        <f t="shared" si="71"/>
        <v/>
      </c>
      <c r="Q416" s="13" t="str">
        <f t="shared" si="67"/>
        <v/>
      </c>
      <c r="R416" s="13" t="str">
        <f t="shared" si="72"/>
        <v/>
      </c>
      <c r="S416" s="13" t="str">
        <f t="shared" si="68"/>
        <v/>
      </c>
      <c r="T416" s="22" t="str">
        <f>IF(R416&lt;&gt;"",VLOOKUP(P416,Constants!$D$3:$E$10,2),"")</f>
        <v/>
      </c>
    </row>
    <row r="417" spans="2:20" x14ac:dyDescent="0.25">
      <c r="B417" s="59"/>
      <c r="C417" s="59"/>
      <c r="D417" s="60"/>
      <c r="E417" s="59"/>
      <c r="F417" s="59"/>
      <c r="G417" s="59"/>
      <c r="H417" s="61"/>
      <c r="I417" s="61"/>
      <c r="J417" s="61"/>
      <c r="K417" s="62"/>
      <c r="L417" s="10" t="str">
        <f t="shared" si="65"/>
        <v/>
      </c>
      <c r="M417" s="10" t="str">
        <f t="shared" si="66"/>
        <v/>
      </c>
      <c r="N417" s="11" t="str">
        <f t="shared" si="69"/>
        <v/>
      </c>
      <c r="O417" s="10" t="str">
        <f t="shared" si="70"/>
        <v/>
      </c>
      <c r="P417" s="39" t="str">
        <f t="shared" si="71"/>
        <v/>
      </c>
      <c r="Q417" s="13" t="str">
        <f t="shared" si="67"/>
        <v/>
      </c>
      <c r="R417" s="13" t="str">
        <f t="shared" si="72"/>
        <v/>
      </c>
      <c r="S417" s="13" t="str">
        <f t="shared" si="68"/>
        <v/>
      </c>
      <c r="T417" s="22" t="str">
        <f>IF(R417&lt;&gt;"",VLOOKUP(P417,Constants!$D$3:$E$10,2),"")</f>
        <v/>
      </c>
    </row>
    <row r="418" spans="2:20" x14ac:dyDescent="0.25">
      <c r="B418" s="59"/>
      <c r="C418" s="59"/>
      <c r="D418" s="60"/>
      <c r="E418" s="59"/>
      <c r="F418" s="59"/>
      <c r="G418" s="59"/>
      <c r="H418" s="61"/>
      <c r="I418" s="61"/>
      <c r="J418" s="61"/>
      <c r="K418" s="62"/>
      <c r="L418" s="10" t="str">
        <f t="shared" si="65"/>
        <v/>
      </c>
      <c r="M418" s="10" t="str">
        <f t="shared" si="66"/>
        <v/>
      </c>
      <c r="N418" s="11" t="str">
        <f t="shared" si="69"/>
        <v/>
      </c>
      <c r="O418" s="10" t="str">
        <f t="shared" si="70"/>
        <v/>
      </c>
      <c r="P418" s="39" t="str">
        <f t="shared" si="71"/>
        <v/>
      </c>
      <c r="Q418" s="13" t="str">
        <f t="shared" si="67"/>
        <v/>
      </c>
      <c r="R418" s="13" t="str">
        <f t="shared" si="72"/>
        <v/>
      </c>
      <c r="S418" s="13" t="str">
        <f t="shared" si="68"/>
        <v/>
      </c>
      <c r="T418" s="22" t="str">
        <f>IF(R418&lt;&gt;"",VLOOKUP(P418,Constants!$D$3:$E$10,2),"")</f>
        <v/>
      </c>
    </row>
    <row r="419" spans="2:20" x14ac:dyDescent="0.25">
      <c r="B419" s="59"/>
      <c r="C419" s="59"/>
      <c r="D419" s="60"/>
      <c r="E419" s="59"/>
      <c r="F419" s="59"/>
      <c r="G419" s="59"/>
      <c r="H419" s="61"/>
      <c r="I419" s="61"/>
      <c r="J419" s="61"/>
      <c r="K419" s="62"/>
      <c r="L419" s="10" t="str">
        <f t="shared" si="65"/>
        <v/>
      </c>
      <c r="M419" s="10" t="str">
        <f t="shared" si="66"/>
        <v/>
      </c>
      <c r="N419" s="11" t="str">
        <f t="shared" si="69"/>
        <v/>
      </c>
      <c r="O419" s="10" t="str">
        <f t="shared" si="70"/>
        <v/>
      </c>
      <c r="P419" s="39" t="str">
        <f t="shared" si="71"/>
        <v/>
      </c>
      <c r="Q419" s="13" t="str">
        <f t="shared" si="67"/>
        <v/>
      </c>
      <c r="R419" s="13" t="str">
        <f t="shared" si="72"/>
        <v/>
      </c>
      <c r="S419" s="13" t="str">
        <f t="shared" si="68"/>
        <v/>
      </c>
      <c r="T419" s="22" t="str">
        <f>IF(R419&lt;&gt;"",VLOOKUP(P419,Constants!$D$3:$E$10,2),"")</f>
        <v/>
      </c>
    </row>
    <row r="420" spans="2:20" x14ac:dyDescent="0.25">
      <c r="B420" s="59"/>
      <c r="C420" s="59"/>
      <c r="D420" s="60"/>
      <c r="E420" s="59"/>
      <c r="F420" s="59"/>
      <c r="G420" s="59"/>
      <c r="H420" s="61"/>
      <c r="I420" s="61"/>
      <c r="J420" s="61"/>
      <c r="K420" s="62"/>
      <c r="L420" s="10" t="str">
        <f t="shared" si="65"/>
        <v/>
      </c>
      <c r="M420" s="10" t="str">
        <f t="shared" si="66"/>
        <v/>
      </c>
      <c r="N420" s="11" t="str">
        <f t="shared" si="69"/>
        <v/>
      </c>
      <c r="O420" s="10" t="str">
        <f t="shared" si="70"/>
        <v/>
      </c>
      <c r="P420" s="39" t="str">
        <f t="shared" si="71"/>
        <v/>
      </c>
      <c r="Q420" s="13" t="str">
        <f t="shared" si="67"/>
        <v/>
      </c>
      <c r="R420" s="13" t="str">
        <f t="shared" si="72"/>
        <v/>
      </c>
      <c r="S420" s="13" t="str">
        <f t="shared" si="68"/>
        <v/>
      </c>
      <c r="T420" s="22" t="str">
        <f>IF(R420&lt;&gt;"",VLOOKUP(P420,Constants!$D$3:$E$10,2),"")</f>
        <v/>
      </c>
    </row>
    <row r="421" spans="2:20" x14ac:dyDescent="0.25">
      <c r="B421" s="59"/>
      <c r="C421" s="59"/>
      <c r="D421" s="60"/>
      <c r="E421" s="59"/>
      <c r="F421" s="59"/>
      <c r="G421" s="59"/>
      <c r="H421" s="61"/>
      <c r="I421" s="61"/>
      <c r="J421" s="61"/>
      <c r="K421" s="62"/>
      <c r="L421" s="10" t="str">
        <f t="shared" si="65"/>
        <v/>
      </c>
      <c r="M421" s="10" t="str">
        <f t="shared" si="66"/>
        <v/>
      </c>
      <c r="N421" s="11" t="str">
        <f t="shared" si="69"/>
        <v/>
      </c>
      <c r="O421" s="10" t="str">
        <f t="shared" si="70"/>
        <v/>
      </c>
      <c r="P421" s="39" t="str">
        <f t="shared" si="71"/>
        <v/>
      </c>
      <c r="Q421" s="13" t="str">
        <f t="shared" si="67"/>
        <v/>
      </c>
      <c r="R421" s="13" t="str">
        <f t="shared" si="72"/>
        <v/>
      </c>
      <c r="S421" s="13" t="str">
        <f t="shared" si="68"/>
        <v/>
      </c>
      <c r="T421" s="22" t="str">
        <f>IF(R421&lt;&gt;"",VLOOKUP(P421,Constants!$D$3:$E$10,2),"")</f>
        <v/>
      </c>
    </row>
    <row r="422" spans="2:20" x14ac:dyDescent="0.25">
      <c r="B422" s="59"/>
      <c r="C422" s="59"/>
      <c r="D422" s="60"/>
      <c r="E422" s="59"/>
      <c r="F422" s="59"/>
      <c r="G422" s="59"/>
      <c r="H422" s="61"/>
      <c r="I422" s="61"/>
      <c r="J422" s="61"/>
      <c r="K422" s="62"/>
      <c r="L422" s="10" t="str">
        <f t="shared" si="65"/>
        <v/>
      </c>
      <c r="M422" s="10" t="str">
        <f t="shared" si="66"/>
        <v/>
      </c>
      <c r="N422" s="11" t="str">
        <f t="shared" si="69"/>
        <v/>
      </c>
      <c r="O422" s="10" t="str">
        <f t="shared" si="70"/>
        <v/>
      </c>
      <c r="P422" s="39" t="str">
        <f t="shared" si="71"/>
        <v/>
      </c>
      <c r="Q422" s="13" t="str">
        <f t="shared" si="67"/>
        <v/>
      </c>
      <c r="R422" s="13" t="str">
        <f t="shared" si="72"/>
        <v/>
      </c>
      <c r="S422" s="13" t="str">
        <f t="shared" si="68"/>
        <v/>
      </c>
      <c r="T422" s="22" t="str">
        <f>IF(R422&lt;&gt;"",VLOOKUP(P422,Constants!$D$3:$E$10,2),"")</f>
        <v/>
      </c>
    </row>
    <row r="423" spans="2:20" x14ac:dyDescent="0.25">
      <c r="B423" s="59"/>
      <c r="C423" s="59"/>
      <c r="D423" s="60"/>
      <c r="E423" s="59"/>
      <c r="F423" s="59"/>
      <c r="G423" s="59"/>
      <c r="H423" s="61"/>
      <c r="I423" s="61"/>
      <c r="J423" s="61"/>
      <c r="K423" s="62"/>
      <c r="L423" s="10" t="str">
        <f t="shared" si="65"/>
        <v/>
      </c>
      <c r="M423" s="10" t="str">
        <f t="shared" si="66"/>
        <v/>
      </c>
      <c r="N423" s="11" t="str">
        <f t="shared" si="69"/>
        <v/>
      </c>
      <c r="O423" s="10" t="str">
        <f t="shared" si="70"/>
        <v/>
      </c>
      <c r="P423" s="39" t="str">
        <f t="shared" si="71"/>
        <v/>
      </c>
      <c r="Q423" s="13" t="str">
        <f t="shared" si="67"/>
        <v/>
      </c>
      <c r="R423" s="13" t="str">
        <f t="shared" si="72"/>
        <v/>
      </c>
      <c r="S423" s="13" t="str">
        <f t="shared" si="68"/>
        <v/>
      </c>
      <c r="T423" s="22" t="str">
        <f>IF(R423&lt;&gt;"",VLOOKUP(P423,Constants!$D$3:$E$10,2),"")</f>
        <v/>
      </c>
    </row>
    <row r="424" spans="2:20" x14ac:dyDescent="0.25">
      <c r="B424" s="59"/>
      <c r="C424" s="59"/>
      <c r="D424" s="60"/>
      <c r="E424" s="59"/>
      <c r="F424" s="59"/>
      <c r="G424" s="59"/>
      <c r="H424" s="61"/>
      <c r="I424" s="61"/>
      <c r="J424" s="61"/>
      <c r="K424" s="62"/>
      <c r="L424" s="10" t="str">
        <f t="shared" si="65"/>
        <v/>
      </c>
      <c r="M424" s="10" t="str">
        <f t="shared" si="66"/>
        <v/>
      </c>
      <c r="N424" s="11" t="str">
        <f t="shared" si="69"/>
        <v/>
      </c>
      <c r="O424" s="10" t="str">
        <f t="shared" si="70"/>
        <v/>
      </c>
      <c r="P424" s="39" t="str">
        <f t="shared" si="71"/>
        <v/>
      </c>
      <c r="Q424" s="13" t="str">
        <f t="shared" si="67"/>
        <v/>
      </c>
      <c r="R424" s="13" t="str">
        <f t="shared" si="72"/>
        <v/>
      </c>
      <c r="S424" s="13" t="str">
        <f t="shared" si="68"/>
        <v/>
      </c>
      <c r="T424" s="22" t="str">
        <f>IF(R424&lt;&gt;"",VLOOKUP(P424,Constants!$D$3:$E$10,2),"")</f>
        <v/>
      </c>
    </row>
    <row r="425" spans="2:20" x14ac:dyDescent="0.25">
      <c r="B425" s="59"/>
      <c r="C425" s="59"/>
      <c r="D425" s="60"/>
      <c r="E425" s="59"/>
      <c r="F425" s="59"/>
      <c r="G425" s="59"/>
      <c r="H425" s="61"/>
      <c r="I425" s="61"/>
      <c r="J425" s="61"/>
      <c r="K425" s="62"/>
      <c r="L425" s="10" t="str">
        <f t="shared" si="65"/>
        <v/>
      </c>
      <c r="M425" s="10" t="str">
        <f t="shared" si="66"/>
        <v/>
      </c>
      <c r="N425" s="11" t="str">
        <f t="shared" si="69"/>
        <v/>
      </c>
      <c r="O425" s="10" t="str">
        <f t="shared" si="70"/>
        <v/>
      </c>
      <c r="P425" s="39" t="str">
        <f t="shared" si="71"/>
        <v/>
      </c>
      <c r="Q425" s="13" t="str">
        <f t="shared" si="67"/>
        <v/>
      </c>
      <c r="R425" s="13" t="str">
        <f t="shared" si="72"/>
        <v/>
      </c>
      <c r="S425" s="13" t="str">
        <f t="shared" si="68"/>
        <v/>
      </c>
      <c r="T425" s="22" t="str">
        <f>IF(R425&lt;&gt;"",VLOOKUP(P425,Constants!$D$3:$E$10,2),"")</f>
        <v/>
      </c>
    </row>
    <row r="426" spans="2:20" x14ac:dyDescent="0.25">
      <c r="B426" s="59"/>
      <c r="C426" s="59"/>
      <c r="D426" s="60"/>
      <c r="E426" s="59"/>
      <c r="F426" s="59"/>
      <c r="G426" s="59"/>
      <c r="H426" s="61"/>
      <c r="I426" s="61"/>
      <c r="J426" s="61"/>
      <c r="K426" s="62"/>
      <c r="L426" s="10" t="str">
        <f t="shared" si="65"/>
        <v/>
      </c>
      <c r="M426" s="10" t="str">
        <f t="shared" si="66"/>
        <v/>
      </c>
      <c r="N426" s="11" t="str">
        <f t="shared" si="69"/>
        <v/>
      </c>
      <c r="O426" s="10" t="str">
        <f t="shared" si="70"/>
        <v/>
      </c>
      <c r="P426" s="39" t="str">
        <f t="shared" si="71"/>
        <v/>
      </c>
      <c r="Q426" s="13" t="str">
        <f t="shared" si="67"/>
        <v/>
      </c>
      <c r="R426" s="13" t="str">
        <f t="shared" si="72"/>
        <v/>
      </c>
      <c r="S426" s="13" t="str">
        <f t="shared" si="68"/>
        <v/>
      </c>
      <c r="T426" s="22" t="str">
        <f>IF(R426&lt;&gt;"",VLOOKUP(P426,Constants!$D$3:$E$10,2),"")</f>
        <v/>
      </c>
    </row>
    <row r="427" spans="2:20" x14ac:dyDescent="0.25">
      <c r="B427" s="59"/>
      <c r="C427" s="59"/>
      <c r="D427" s="60"/>
      <c r="E427" s="59"/>
      <c r="F427" s="59"/>
      <c r="G427" s="59"/>
      <c r="H427" s="61"/>
      <c r="I427" s="61"/>
      <c r="J427" s="61"/>
      <c r="K427" s="62"/>
      <c r="L427" s="10" t="str">
        <f t="shared" si="65"/>
        <v/>
      </c>
      <c r="M427" s="10" t="str">
        <f t="shared" si="66"/>
        <v/>
      </c>
      <c r="N427" s="11" t="str">
        <f t="shared" si="69"/>
        <v/>
      </c>
      <c r="O427" s="10" t="str">
        <f t="shared" si="70"/>
        <v/>
      </c>
      <c r="P427" s="39" t="str">
        <f t="shared" si="71"/>
        <v/>
      </c>
      <c r="Q427" s="13" t="str">
        <f t="shared" si="67"/>
        <v/>
      </c>
      <c r="R427" s="13" t="str">
        <f t="shared" si="72"/>
        <v/>
      </c>
      <c r="S427" s="13" t="str">
        <f t="shared" si="68"/>
        <v/>
      </c>
      <c r="T427" s="22" t="str">
        <f>IF(R427&lt;&gt;"",VLOOKUP(P427,Constants!$D$3:$E$10,2),"")</f>
        <v/>
      </c>
    </row>
    <row r="428" spans="2:20" x14ac:dyDescent="0.25">
      <c r="B428" s="59"/>
      <c r="C428" s="59"/>
      <c r="D428" s="60"/>
      <c r="E428" s="59"/>
      <c r="F428" s="59"/>
      <c r="G428" s="59"/>
      <c r="H428" s="61"/>
      <c r="I428" s="61"/>
      <c r="J428" s="61"/>
      <c r="K428" s="62"/>
      <c r="L428" s="10" t="str">
        <f t="shared" si="65"/>
        <v/>
      </c>
      <c r="M428" s="10" t="str">
        <f t="shared" si="66"/>
        <v/>
      </c>
      <c r="N428" s="11" t="str">
        <f t="shared" si="69"/>
        <v/>
      </c>
      <c r="O428" s="10" t="str">
        <f t="shared" si="70"/>
        <v/>
      </c>
      <c r="P428" s="39" t="str">
        <f t="shared" si="71"/>
        <v/>
      </c>
      <c r="Q428" s="13" t="str">
        <f t="shared" si="67"/>
        <v/>
      </c>
      <c r="R428" s="13" t="str">
        <f t="shared" si="72"/>
        <v/>
      </c>
      <c r="S428" s="13" t="str">
        <f t="shared" si="68"/>
        <v/>
      </c>
      <c r="T428" s="22" t="str">
        <f>IF(R428&lt;&gt;"",VLOOKUP(P428,Constants!$D$3:$E$10,2),"")</f>
        <v/>
      </c>
    </row>
    <row r="429" spans="2:20" x14ac:dyDescent="0.25">
      <c r="B429" s="59"/>
      <c r="C429" s="59"/>
      <c r="D429" s="60"/>
      <c r="E429" s="59"/>
      <c r="F429" s="59"/>
      <c r="G429" s="59"/>
      <c r="H429" s="61"/>
      <c r="I429" s="61"/>
      <c r="J429" s="61"/>
      <c r="K429" s="62"/>
      <c r="L429" s="10" t="str">
        <f t="shared" si="65"/>
        <v/>
      </c>
      <c r="M429" s="10" t="str">
        <f t="shared" si="66"/>
        <v/>
      </c>
      <c r="N429" s="11" t="str">
        <f t="shared" si="69"/>
        <v/>
      </c>
      <c r="O429" s="10" t="str">
        <f t="shared" si="70"/>
        <v/>
      </c>
      <c r="P429" s="39" t="str">
        <f t="shared" si="71"/>
        <v/>
      </c>
      <c r="Q429" s="13" t="str">
        <f t="shared" si="67"/>
        <v/>
      </c>
      <c r="R429" s="13" t="str">
        <f t="shared" si="72"/>
        <v/>
      </c>
      <c r="S429" s="13" t="str">
        <f t="shared" si="68"/>
        <v/>
      </c>
      <c r="T429" s="22" t="str">
        <f>IF(R429&lt;&gt;"",VLOOKUP(P429,Constants!$D$3:$E$10,2),"")</f>
        <v/>
      </c>
    </row>
    <row r="430" spans="2:20" x14ac:dyDescent="0.25">
      <c r="B430" s="59"/>
      <c r="C430" s="59"/>
      <c r="D430" s="60"/>
      <c r="E430" s="59"/>
      <c r="F430" s="59"/>
      <c r="G430" s="59"/>
      <c r="H430" s="61"/>
      <c r="I430" s="61"/>
      <c r="J430" s="61"/>
      <c r="K430" s="62"/>
      <c r="L430" s="10" t="str">
        <f t="shared" si="65"/>
        <v/>
      </c>
      <c r="M430" s="10" t="str">
        <f t="shared" si="66"/>
        <v/>
      </c>
      <c r="N430" s="11" t="str">
        <f t="shared" si="69"/>
        <v/>
      </c>
      <c r="O430" s="10" t="str">
        <f t="shared" si="70"/>
        <v/>
      </c>
      <c r="P430" s="39" t="str">
        <f t="shared" si="71"/>
        <v/>
      </c>
      <c r="Q430" s="13" t="str">
        <f t="shared" si="67"/>
        <v/>
      </c>
      <c r="R430" s="13" t="str">
        <f t="shared" si="72"/>
        <v/>
      </c>
      <c r="S430" s="13" t="str">
        <f t="shared" si="68"/>
        <v/>
      </c>
      <c r="T430" s="22" t="str">
        <f>IF(R430&lt;&gt;"",VLOOKUP(P430,Constants!$D$3:$E$10,2),"")</f>
        <v/>
      </c>
    </row>
    <row r="431" spans="2:20" x14ac:dyDescent="0.25">
      <c r="B431" s="59"/>
      <c r="C431" s="59"/>
      <c r="D431" s="60"/>
      <c r="E431" s="59"/>
      <c r="F431" s="59"/>
      <c r="G431" s="59"/>
      <c r="H431" s="61"/>
      <c r="I431" s="61"/>
      <c r="J431" s="61"/>
      <c r="K431" s="62"/>
      <c r="L431" s="10" t="str">
        <f t="shared" si="65"/>
        <v/>
      </c>
      <c r="M431" s="10" t="str">
        <f t="shared" si="66"/>
        <v/>
      </c>
      <c r="N431" s="11" t="str">
        <f t="shared" si="69"/>
        <v/>
      </c>
      <c r="O431" s="10" t="str">
        <f t="shared" si="70"/>
        <v/>
      </c>
      <c r="P431" s="39" t="str">
        <f t="shared" si="71"/>
        <v/>
      </c>
      <c r="Q431" s="13" t="str">
        <f t="shared" si="67"/>
        <v/>
      </c>
      <c r="R431" s="13" t="str">
        <f t="shared" si="72"/>
        <v/>
      </c>
      <c r="S431" s="13" t="str">
        <f t="shared" si="68"/>
        <v/>
      </c>
      <c r="T431" s="22" t="str">
        <f>IF(R431&lt;&gt;"",VLOOKUP(P431,Constants!$D$3:$E$10,2),"")</f>
        <v/>
      </c>
    </row>
    <row r="432" spans="2:20" x14ac:dyDescent="0.25">
      <c r="B432" s="59"/>
      <c r="C432" s="59"/>
      <c r="D432" s="60"/>
      <c r="E432" s="59"/>
      <c r="F432" s="59"/>
      <c r="G432" s="59"/>
      <c r="H432" s="61"/>
      <c r="I432" s="61"/>
      <c r="J432" s="61"/>
      <c r="K432" s="62"/>
      <c r="L432" s="10" t="str">
        <f t="shared" si="65"/>
        <v/>
      </c>
      <c r="M432" s="10" t="str">
        <f t="shared" si="66"/>
        <v/>
      </c>
      <c r="N432" s="11" t="str">
        <f t="shared" si="69"/>
        <v/>
      </c>
      <c r="O432" s="10" t="str">
        <f t="shared" si="70"/>
        <v/>
      </c>
      <c r="P432" s="39" t="str">
        <f t="shared" si="71"/>
        <v/>
      </c>
      <c r="Q432" s="13" t="str">
        <f t="shared" si="67"/>
        <v/>
      </c>
      <c r="R432" s="13" t="str">
        <f t="shared" si="72"/>
        <v/>
      </c>
      <c r="S432" s="13" t="str">
        <f t="shared" si="68"/>
        <v/>
      </c>
      <c r="T432" s="22" t="str">
        <f>IF(R432&lt;&gt;"",VLOOKUP(P432,Constants!$D$3:$E$10,2),"")</f>
        <v/>
      </c>
    </row>
    <row r="433" spans="2:20" x14ac:dyDescent="0.25">
      <c r="B433" s="59"/>
      <c r="C433" s="59"/>
      <c r="D433" s="60"/>
      <c r="E433" s="59"/>
      <c r="F433" s="59"/>
      <c r="G433" s="59"/>
      <c r="H433" s="61"/>
      <c r="I433" s="61"/>
      <c r="J433" s="61"/>
      <c r="K433" s="62"/>
      <c r="L433" s="10" t="str">
        <f t="shared" si="65"/>
        <v/>
      </c>
      <c r="M433" s="10" t="str">
        <f t="shared" si="66"/>
        <v/>
      </c>
      <c r="N433" s="11" t="str">
        <f t="shared" si="69"/>
        <v/>
      </c>
      <c r="O433" s="10" t="str">
        <f t="shared" si="70"/>
        <v/>
      </c>
      <c r="P433" s="39" t="str">
        <f t="shared" si="71"/>
        <v/>
      </c>
      <c r="Q433" s="13" t="str">
        <f t="shared" si="67"/>
        <v/>
      </c>
      <c r="R433" s="13" t="str">
        <f t="shared" si="72"/>
        <v/>
      </c>
      <c r="S433" s="13" t="str">
        <f t="shared" si="68"/>
        <v/>
      </c>
      <c r="T433" s="22" t="str">
        <f>IF(R433&lt;&gt;"",VLOOKUP(P433,Constants!$D$3:$E$10,2),"")</f>
        <v/>
      </c>
    </row>
    <row r="434" spans="2:20" x14ac:dyDescent="0.25">
      <c r="B434" s="59"/>
      <c r="C434" s="59"/>
      <c r="D434" s="60"/>
      <c r="E434" s="59"/>
      <c r="F434" s="59"/>
      <c r="G434" s="59"/>
      <c r="H434" s="61"/>
      <c r="I434" s="61"/>
      <c r="J434" s="61"/>
      <c r="K434" s="62"/>
      <c r="L434" s="10" t="str">
        <f t="shared" si="65"/>
        <v/>
      </c>
      <c r="M434" s="10" t="str">
        <f t="shared" si="66"/>
        <v/>
      </c>
      <c r="N434" s="11" t="str">
        <f t="shared" si="69"/>
        <v/>
      </c>
      <c r="O434" s="10" t="str">
        <f t="shared" si="70"/>
        <v/>
      </c>
      <c r="P434" s="39" t="str">
        <f t="shared" si="71"/>
        <v/>
      </c>
      <c r="Q434" s="13" t="str">
        <f t="shared" si="67"/>
        <v/>
      </c>
      <c r="R434" s="13" t="str">
        <f t="shared" si="72"/>
        <v/>
      </c>
      <c r="S434" s="13" t="str">
        <f t="shared" si="68"/>
        <v/>
      </c>
      <c r="T434" s="22" t="str">
        <f>IF(R434&lt;&gt;"",VLOOKUP(P434,Constants!$D$3:$E$10,2),"")</f>
        <v/>
      </c>
    </row>
    <row r="435" spans="2:20" x14ac:dyDescent="0.25">
      <c r="B435" s="59"/>
      <c r="C435" s="59"/>
      <c r="D435" s="60"/>
      <c r="E435" s="59"/>
      <c r="F435" s="59"/>
      <c r="G435" s="59"/>
      <c r="H435" s="61"/>
      <c r="I435" s="61"/>
      <c r="J435" s="61"/>
      <c r="K435" s="62"/>
      <c r="L435" s="10" t="str">
        <f t="shared" si="65"/>
        <v/>
      </c>
      <c r="M435" s="10" t="str">
        <f t="shared" si="66"/>
        <v/>
      </c>
      <c r="N435" s="11" t="str">
        <f t="shared" si="69"/>
        <v/>
      </c>
      <c r="O435" s="10" t="str">
        <f t="shared" si="70"/>
        <v/>
      </c>
      <c r="P435" s="39" t="str">
        <f t="shared" si="71"/>
        <v/>
      </c>
      <c r="Q435" s="13" t="str">
        <f t="shared" si="67"/>
        <v/>
      </c>
      <c r="R435" s="13" t="str">
        <f t="shared" si="72"/>
        <v/>
      </c>
      <c r="S435" s="13" t="str">
        <f t="shared" si="68"/>
        <v/>
      </c>
      <c r="T435" s="22" t="str">
        <f>IF(R435&lt;&gt;"",VLOOKUP(P435,Constants!$D$3:$E$10,2),"")</f>
        <v/>
      </c>
    </row>
    <row r="436" spans="2:20" x14ac:dyDescent="0.25">
      <c r="B436" s="59"/>
      <c r="C436" s="59"/>
      <c r="D436" s="60"/>
      <c r="E436" s="59"/>
      <c r="F436" s="59"/>
      <c r="G436" s="59"/>
      <c r="H436" s="61"/>
      <c r="I436" s="61"/>
      <c r="J436" s="61"/>
      <c r="K436" s="62"/>
      <c r="L436" s="10" t="str">
        <f t="shared" si="65"/>
        <v/>
      </c>
      <c r="M436" s="10" t="str">
        <f t="shared" si="66"/>
        <v/>
      </c>
      <c r="N436" s="11" t="str">
        <f t="shared" si="69"/>
        <v/>
      </c>
      <c r="O436" s="10" t="str">
        <f t="shared" si="70"/>
        <v/>
      </c>
      <c r="P436" s="39" t="str">
        <f t="shared" si="71"/>
        <v/>
      </c>
      <c r="Q436" s="13" t="str">
        <f t="shared" si="67"/>
        <v/>
      </c>
      <c r="R436" s="13" t="str">
        <f t="shared" si="72"/>
        <v/>
      </c>
      <c r="S436" s="13" t="str">
        <f t="shared" si="68"/>
        <v/>
      </c>
      <c r="T436" s="22" t="str">
        <f>IF(R436&lt;&gt;"",VLOOKUP(P436,Constants!$D$3:$E$10,2),"")</f>
        <v/>
      </c>
    </row>
    <row r="437" spans="2:20" x14ac:dyDescent="0.25">
      <c r="B437" s="59"/>
      <c r="C437" s="59"/>
      <c r="D437" s="60"/>
      <c r="E437" s="59"/>
      <c r="F437" s="59"/>
      <c r="G437" s="59"/>
      <c r="H437" s="61"/>
      <c r="I437" s="61"/>
      <c r="J437" s="61"/>
      <c r="K437" s="62"/>
      <c r="L437" s="10" t="str">
        <f t="shared" si="65"/>
        <v/>
      </c>
      <c r="M437" s="10" t="str">
        <f t="shared" si="66"/>
        <v/>
      </c>
      <c r="N437" s="11" t="str">
        <f t="shared" si="69"/>
        <v/>
      </c>
      <c r="O437" s="10" t="str">
        <f t="shared" si="70"/>
        <v/>
      </c>
      <c r="P437" s="39" t="str">
        <f t="shared" si="71"/>
        <v/>
      </c>
      <c r="Q437" s="13" t="str">
        <f t="shared" si="67"/>
        <v/>
      </c>
      <c r="R437" s="13" t="str">
        <f t="shared" si="72"/>
        <v/>
      </c>
      <c r="S437" s="13" t="str">
        <f t="shared" si="68"/>
        <v/>
      </c>
      <c r="T437" s="22" t="str">
        <f>IF(R437&lt;&gt;"",VLOOKUP(P437,Constants!$D$3:$E$10,2),"")</f>
        <v/>
      </c>
    </row>
    <row r="438" spans="2:20" x14ac:dyDescent="0.25">
      <c r="B438" s="59"/>
      <c r="C438" s="59"/>
      <c r="D438" s="60"/>
      <c r="E438" s="59"/>
      <c r="F438" s="59"/>
      <c r="G438" s="59"/>
      <c r="H438" s="61"/>
      <c r="I438" s="61"/>
      <c r="J438" s="61"/>
      <c r="K438" s="62"/>
      <c r="L438" s="10" t="str">
        <f t="shared" si="65"/>
        <v/>
      </c>
      <c r="M438" s="10" t="str">
        <f t="shared" si="66"/>
        <v/>
      </c>
      <c r="N438" s="11" t="str">
        <f t="shared" si="69"/>
        <v/>
      </c>
      <c r="O438" s="10" t="str">
        <f t="shared" si="70"/>
        <v/>
      </c>
      <c r="P438" s="39" t="str">
        <f t="shared" si="71"/>
        <v/>
      </c>
      <c r="Q438" s="13" t="str">
        <f t="shared" si="67"/>
        <v/>
      </c>
      <c r="R438" s="13" t="str">
        <f t="shared" si="72"/>
        <v/>
      </c>
      <c r="S438" s="13" t="str">
        <f t="shared" si="68"/>
        <v/>
      </c>
      <c r="T438" s="22" t="str">
        <f>IF(R438&lt;&gt;"",VLOOKUP(P438,Constants!$D$3:$E$10,2),"")</f>
        <v/>
      </c>
    </row>
    <row r="439" spans="2:20" x14ac:dyDescent="0.25">
      <c r="B439" s="59"/>
      <c r="C439" s="59"/>
      <c r="D439" s="60"/>
      <c r="E439" s="59"/>
      <c r="F439" s="59"/>
      <c r="G439" s="59"/>
      <c r="H439" s="61"/>
      <c r="I439" s="61"/>
      <c r="J439" s="61"/>
      <c r="K439" s="62"/>
      <c r="L439" s="10" t="str">
        <f t="shared" si="65"/>
        <v/>
      </c>
      <c r="M439" s="10" t="str">
        <f t="shared" si="66"/>
        <v/>
      </c>
      <c r="N439" s="11" t="str">
        <f t="shared" si="69"/>
        <v/>
      </c>
      <c r="O439" s="10" t="str">
        <f t="shared" si="70"/>
        <v/>
      </c>
      <c r="P439" s="39" t="str">
        <f t="shared" si="71"/>
        <v/>
      </c>
      <c r="Q439" s="13" t="str">
        <f t="shared" si="67"/>
        <v/>
      </c>
      <c r="R439" s="13" t="str">
        <f t="shared" si="72"/>
        <v/>
      </c>
      <c r="S439" s="13" t="str">
        <f t="shared" si="68"/>
        <v/>
      </c>
      <c r="T439" s="22" t="str">
        <f>IF(R439&lt;&gt;"",VLOOKUP(P439,Constants!$D$3:$E$10,2),"")</f>
        <v/>
      </c>
    </row>
    <row r="440" spans="2:20" x14ac:dyDescent="0.25">
      <c r="B440" s="59"/>
      <c r="C440" s="59"/>
      <c r="D440" s="60"/>
      <c r="E440" s="59"/>
      <c r="F440" s="59"/>
      <c r="G440" s="59"/>
      <c r="H440" s="61"/>
      <c r="I440" s="61"/>
      <c r="J440" s="61"/>
      <c r="K440" s="62"/>
      <c r="L440" s="10" t="str">
        <f t="shared" si="65"/>
        <v/>
      </c>
      <c r="M440" s="10" t="str">
        <f t="shared" si="66"/>
        <v/>
      </c>
      <c r="N440" s="11" t="str">
        <f t="shared" si="69"/>
        <v/>
      </c>
      <c r="O440" s="10" t="str">
        <f t="shared" si="70"/>
        <v/>
      </c>
      <c r="P440" s="39" t="str">
        <f t="shared" si="71"/>
        <v/>
      </c>
      <c r="Q440" s="13" t="str">
        <f t="shared" si="67"/>
        <v/>
      </c>
      <c r="R440" s="13" t="str">
        <f t="shared" si="72"/>
        <v/>
      </c>
      <c r="S440" s="13" t="str">
        <f t="shared" si="68"/>
        <v/>
      </c>
      <c r="T440" s="22" t="str">
        <f>IF(R440&lt;&gt;"",VLOOKUP(P440,Constants!$D$3:$E$10,2),"")</f>
        <v/>
      </c>
    </row>
    <row r="441" spans="2:20" x14ac:dyDescent="0.25">
      <c r="B441" s="59"/>
      <c r="C441" s="59"/>
      <c r="D441" s="60"/>
      <c r="E441" s="59"/>
      <c r="F441" s="59"/>
      <c r="G441" s="59"/>
      <c r="H441" s="61"/>
      <c r="I441" s="61"/>
      <c r="J441" s="61"/>
      <c r="K441" s="62"/>
      <c r="L441" s="10" t="str">
        <f t="shared" si="65"/>
        <v/>
      </c>
      <c r="M441" s="10" t="str">
        <f t="shared" si="66"/>
        <v/>
      </c>
      <c r="N441" s="11" t="str">
        <f t="shared" si="69"/>
        <v/>
      </c>
      <c r="O441" s="10" t="str">
        <f t="shared" si="70"/>
        <v/>
      </c>
      <c r="P441" s="39" t="str">
        <f t="shared" si="71"/>
        <v/>
      </c>
      <c r="Q441" s="13" t="str">
        <f t="shared" si="67"/>
        <v/>
      </c>
      <c r="R441" s="13" t="str">
        <f t="shared" si="72"/>
        <v/>
      </c>
      <c r="S441" s="13" t="str">
        <f t="shared" si="68"/>
        <v/>
      </c>
      <c r="T441" s="22" t="str">
        <f>IF(R441&lt;&gt;"",VLOOKUP(P441,Constants!$D$3:$E$10,2),"")</f>
        <v/>
      </c>
    </row>
    <row r="442" spans="2:20" x14ac:dyDescent="0.25">
      <c r="B442" s="59"/>
      <c r="C442" s="59"/>
      <c r="D442" s="60"/>
      <c r="E442" s="59"/>
      <c r="F442" s="59"/>
      <c r="G442" s="59"/>
      <c r="H442" s="61"/>
      <c r="I442" s="61"/>
      <c r="J442" s="61"/>
      <c r="K442" s="62"/>
      <c r="L442" s="10" t="str">
        <f t="shared" si="65"/>
        <v/>
      </c>
      <c r="M442" s="10" t="str">
        <f t="shared" si="66"/>
        <v/>
      </c>
      <c r="N442" s="11" t="str">
        <f t="shared" si="69"/>
        <v/>
      </c>
      <c r="O442" s="10" t="str">
        <f t="shared" si="70"/>
        <v/>
      </c>
      <c r="P442" s="39" t="str">
        <f t="shared" si="71"/>
        <v/>
      </c>
      <c r="Q442" s="13" t="str">
        <f t="shared" si="67"/>
        <v/>
      </c>
      <c r="R442" s="13" t="str">
        <f t="shared" si="72"/>
        <v/>
      </c>
      <c r="S442" s="13" t="str">
        <f t="shared" si="68"/>
        <v/>
      </c>
      <c r="T442" s="22" t="str">
        <f>IF(R442&lt;&gt;"",VLOOKUP(P442,Constants!$D$3:$E$10,2),"")</f>
        <v/>
      </c>
    </row>
    <row r="443" spans="2:20" x14ac:dyDescent="0.25">
      <c r="B443" s="59"/>
      <c r="C443" s="59"/>
      <c r="D443" s="60"/>
      <c r="E443" s="59"/>
      <c r="F443" s="59"/>
      <c r="G443" s="59"/>
      <c r="H443" s="61"/>
      <c r="I443" s="61"/>
      <c r="J443" s="61"/>
      <c r="K443" s="62"/>
      <c r="L443" s="10" t="str">
        <f t="shared" si="65"/>
        <v/>
      </c>
      <c r="M443" s="10" t="str">
        <f t="shared" si="66"/>
        <v/>
      </c>
      <c r="N443" s="11" t="str">
        <f t="shared" si="69"/>
        <v/>
      </c>
      <c r="O443" s="10" t="str">
        <f t="shared" si="70"/>
        <v/>
      </c>
      <c r="P443" s="39" t="str">
        <f t="shared" si="71"/>
        <v/>
      </c>
      <c r="Q443" s="13" t="str">
        <f t="shared" si="67"/>
        <v/>
      </c>
      <c r="R443" s="13" t="str">
        <f t="shared" si="72"/>
        <v/>
      </c>
      <c r="S443" s="13" t="str">
        <f t="shared" si="68"/>
        <v/>
      </c>
      <c r="T443" s="22" t="str">
        <f>IF(R443&lt;&gt;"",VLOOKUP(P443,Constants!$D$3:$E$10,2),"")</f>
        <v/>
      </c>
    </row>
    <row r="444" spans="2:20" x14ac:dyDescent="0.25">
      <c r="B444" s="59"/>
      <c r="C444" s="59"/>
      <c r="D444" s="60"/>
      <c r="E444" s="59"/>
      <c r="F444" s="59"/>
      <c r="G444" s="59"/>
      <c r="H444" s="61"/>
      <c r="I444" s="61"/>
      <c r="J444" s="61"/>
      <c r="K444" s="62"/>
      <c r="L444" s="10" t="str">
        <f t="shared" si="65"/>
        <v/>
      </c>
      <c r="M444" s="10" t="str">
        <f t="shared" si="66"/>
        <v/>
      </c>
      <c r="N444" s="11" t="str">
        <f t="shared" si="69"/>
        <v/>
      </c>
      <c r="O444" s="10" t="str">
        <f t="shared" si="70"/>
        <v/>
      </c>
      <c r="P444" s="39" t="str">
        <f t="shared" si="71"/>
        <v/>
      </c>
      <c r="Q444" s="13" t="str">
        <f t="shared" si="67"/>
        <v/>
      </c>
      <c r="R444" s="13" t="str">
        <f t="shared" si="72"/>
        <v/>
      </c>
      <c r="S444" s="13" t="str">
        <f t="shared" si="68"/>
        <v/>
      </c>
      <c r="T444" s="22" t="str">
        <f>IF(R444&lt;&gt;"",VLOOKUP(P444,Constants!$D$3:$E$10,2),"")</f>
        <v/>
      </c>
    </row>
    <row r="445" spans="2:20" x14ac:dyDescent="0.25">
      <c r="B445" s="59"/>
      <c r="C445" s="59"/>
      <c r="D445" s="60"/>
      <c r="E445" s="59"/>
      <c r="F445" s="59"/>
      <c r="G445" s="59"/>
      <c r="H445" s="61"/>
      <c r="I445" s="61"/>
      <c r="J445" s="61"/>
      <c r="K445" s="62"/>
      <c r="L445" s="10" t="str">
        <f t="shared" si="65"/>
        <v/>
      </c>
      <c r="M445" s="10" t="str">
        <f t="shared" si="66"/>
        <v/>
      </c>
      <c r="N445" s="11" t="str">
        <f t="shared" si="69"/>
        <v/>
      </c>
      <c r="O445" s="10" t="str">
        <f t="shared" si="70"/>
        <v/>
      </c>
      <c r="P445" s="39" t="str">
        <f t="shared" si="71"/>
        <v/>
      </c>
      <c r="Q445" s="13" t="str">
        <f t="shared" si="67"/>
        <v/>
      </c>
      <c r="R445" s="13" t="str">
        <f t="shared" si="72"/>
        <v/>
      </c>
      <c r="S445" s="13" t="str">
        <f t="shared" si="68"/>
        <v/>
      </c>
      <c r="T445" s="22" t="str">
        <f>IF(R445&lt;&gt;"",VLOOKUP(P445,Constants!$D$3:$E$10,2),"")</f>
        <v/>
      </c>
    </row>
    <row r="446" spans="2:20" x14ac:dyDescent="0.25">
      <c r="B446" s="59"/>
      <c r="C446" s="59"/>
      <c r="D446" s="60"/>
      <c r="E446" s="59"/>
      <c r="F446" s="59"/>
      <c r="G446" s="59"/>
      <c r="H446" s="61"/>
      <c r="I446" s="61"/>
      <c r="J446" s="61"/>
      <c r="K446" s="62"/>
      <c r="L446" s="10" t="str">
        <f t="shared" si="65"/>
        <v/>
      </c>
      <c r="M446" s="10" t="str">
        <f t="shared" si="66"/>
        <v/>
      </c>
      <c r="N446" s="11" t="str">
        <f t="shared" si="69"/>
        <v/>
      </c>
      <c r="O446" s="10" t="str">
        <f t="shared" si="70"/>
        <v/>
      </c>
      <c r="P446" s="39" t="str">
        <f t="shared" si="71"/>
        <v/>
      </c>
      <c r="Q446" s="13" t="str">
        <f t="shared" si="67"/>
        <v/>
      </c>
      <c r="R446" s="13" t="str">
        <f t="shared" si="72"/>
        <v/>
      </c>
      <c r="S446" s="13" t="str">
        <f t="shared" si="68"/>
        <v/>
      </c>
      <c r="T446" s="22" t="str">
        <f>IF(R446&lt;&gt;"",VLOOKUP(P446,Constants!$D$3:$E$10,2),"")</f>
        <v/>
      </c>
    </row>
    <row r="447" spans="2:20" x14ac:dyDescent="0.25">
      <c r="B447" s="59"/>
      <c r="C447" s="59"/>
      <c r="D447" s="60"/>
      <c r="E447" s="59"/>
      <c r="F447" s="59"/>
      <c r="G447" s="59"/>
      <c r="H447" s="61"/>
      <c r="I447" s="61"/>
      <c r="J447" s="61"/>
      <c r="K447" s="62"/>
      <c r="L447" s="10" t="str">
        <f t="shared" si="65"/>
        <v/>
      </c>
      <c r="M447" s="10" t="str">
        <f t="shared" si="66"/>
        <v/>
      </c>
      <c r="N447" s="11" t="str">
        <f t="shared" si="69"/>
        <v/>
      </c>
      <c r="O447" s="10" t="str">
        <f t="shared" si="70"/>
        <v/>
      </c>
      <c r="P447" s="39" t="str">
        <f t="shared" si="71"/>
        <v/>
      </c>
      <c r="Q447" s="13" t="str">
        <f t="shared" si="67"/>
        <v/>
      </c>
      <c r="R447" s="13" t="str">
        <f t="shared" si="72"/>
        <v/>
      </c>
      <c r="S447" s="13" t="str">
        <f t="shared" si="68"/>
        <v/>
      </c>
      <c r="T447" s="22" t="str">
        <f>IF(R447&lt;&gt;"",VLOOKUP(P447,Constants!$D$3:$E$10,2),"")</f>
        <v/>
      </c>
    </row>
    <row r="448" spans="2:20" x14ac:dyDescent="0.25">
      <c r="B448" s="59"/>
      <c r="C448" s="59"/>
      <c r="D448" s="60"/>
      <c r="E448" s="59"/>
      <c r="F448" s="59"/>
      <c r="G448" s="59"/>
      <c r="H448" s="61"/>
      <c r="I448" s="61"/>
      <c r="J448" s="61"/>
      <c r="K448" s="62"/>
      <c r="L448" s="10" t="str">
        <f t="shared" si="65"/>
        <v/>
      </c>
      <c r="M448" s="10" t="str">
        <f t="shared" si="66"/>
        <v/>
      </c>
      <c r="N448" s="11" t="str">
        <f t="shared" si="69"/>
        <v/>
      </c>
      <c r="O448" s="10" t="str">
        <f t="shared" si="70"/>
        <v/>
      </c>
      <c r="P448" s="39" t="str">
        <f t="shared" si="71"/>
        <v/>
      </c>
      <c r="Q448" s="13" t="str">
        <f t="shared" si="67"/>
        <v/>
      </c>
      <c r="R448" s="13" t="str">
        <f t="shared" si="72"/>
        <v/>
      </c>
      <c r="S448" s="13" t="str">
        <f t="shared" si="68"/>
        <v/>
      </c>
      <c r="T448" s="22" t="str">
        <f>IF(R448&lt;&gt;"",VLOOKUP(P448,Constants!$D$3:$E$10,2),"")</f>
        <v/>
      </c>
    </row>
    <row r="449" spans="2:20" x14ac:dyDescent="0.25">
      <c r="B449" s="59"/>
      <c r="C449" s="59"/>
      <c r="D449" s="60"/>
      <c r="E449" s="59"/>
      <c r="F449" s="59"/>
      <c r="G449" s="59"/>
      <c r="H449" s="61"/>
      <c r="I449" s="61"/>
      <c r="J449" s="61"/>
      <c r="K449" s="62"/>
      <c r="L449" s="10" t="str">
        <f t="shared" si="65"/>
        <v/>
      </c>
      <c r="M449" s="10" t="str">
        <f t="shared" si="66"/>
        <v/>
      </c>
      <c r="N449" s="11" t="str">
        <f t="shared" si="69"/>
        <v/>
      </c>
      <c r="O449" s="10" t="str">
        <f t="shared" si="70"/>
        <v/>
      </c>
      <c r="P449" s="39" t="str">
        <f t="shared" si="71"/>
        <v/>
      </c>
      <c r="Q449" s="13" t="str">
        <f t="shared" si="67"/>
        <v/>
      </c>
      <c r="R449" s="13" t="str">
        <f t="shared" si="72"/>
        <v/>
      </c>
      <c r="S449" s="13" t="str">
        <f t="shared" si="68"/>
        <v/>
      </c>
      <c r="T449" s="22" t="str">
        <f>IF(R449&lt;&gt;"",VLOOKUP(P449,Constants!$D$3:$E$10,2),"")</f>
        <v/>
      </c>
    </row>
    <row r="450" spans="2:20" x14ac:dyDescent="0.25">
      <c r="B450" s="59"/>
      <c r="C450" s="59"/>
      <c r="D450" s="60"/>
      <c r="E450" s="59"/>
      <c r="F450" s="59"/>
      <c r="G450" s="59"/>
      <c r="H450" s="61"/>
      <c r="I450" s="61"/>
      <c r="J450" s="61"/>
      <c r="K450" s="62"/>
      <c r="L450" s="10" t="str">
        <f t="shared" si="65"/>
        <v/>
      </c>
      <c r="M450" s="10" t="str">
        <f t="shared" si="66"/>
        <v/>
      </c>
      <c r="N450" s="11" t="str">
        <f t="shared" si="69"/>
        <v/>
      </c>
      <c r="O450" s="10" t="str">
        <f t="shared" si="70"/>
        <v/>
      </c>
      <c r="P450" s="39" t="str">
        <f t="shared" si="71"/>
        <v/>
      </c>
      <c r="Q450" s="13" t="str">
        <f t="shared" si="67"/>
        <v/>
      </c>
      <c r="R450" s="13" t="str">
        <f t="shared" si="72"/>
        <v/>
      </c>
      <c r="S450" s="13" t="str">
        <f t="shared" si="68"/>
        <v/>
      </c>
      <c r="T450" s="22" t="str">
        <f>IF(R450&lt;&gt;"",VLOOKUP(P450,Constants!$D$3:$E$10,2),"")</f>
        <v/>
      </c>
    </row>
    <row r="451" spans="2:20" x14ac:dyDescent="0.25">
      <c r="B451" s="59"/>
      <c r="C451" s="59"/>
      <c r="D451" s="60"/>
      <c r="E451" s="59"/>
      <c r="F451" s="59"/>
      <c r="G451" s="59"/>
      <c r="H451" s="61"/>
      <c r="I451" s="61"/>
      <c r="J451" s="61"/>
      <c r="K451" s="62"/>
      <c r="L451" s="10" t="str">
        <f t="shared" si="65"/>
        <v/>
      </c>
      <c r="M451" s="10" t="str">
        <f t="shared" si="66"/>
        <v/>
      </c>
      <c r="N451" s="11" t="str">
        <f t="shared" si="69"/>
        <v/>
      </c>
      <c r="O451" s="10" t="str">
        <f t="shared" si="70"/>
        <v/>
      </c>
      <c r="P451" s="39" t="str">
        <f t="shared" si="71"/>
        <v/>
      </c>
      <c r="Q451" s="13" t="str">
        <f t="shared" si="67"/>
        <v/>
      </c>
      <c r="R451" s="13" t="str">
        <f t="shared" si="72"/>
        <v/>
      </c>
      <c r="S451" s="13" t="str">
        <f t="shared" si="68"/>
        <v/>
      </c>
      <c r="T451" s="22" t="str">
        <f>IF(R451&lt;&gt;"",VLOOKUP(P451,Constants!$D$3:$E$10,2),"")</f>
        <v/>
      </c>
    </row>
    <row r="452" spans="2:20" x14ac:dyDescent="0.25">
      <c r="B452" s="59"/>
      <c r="C452" s="59"/>
      <c r="D452" s="60"/>
      <c r="E452" s="59"/>
      <c r="F452" s="59"/>
      <c r="G452" s="59"/>
      <c r="H452" s="61"/>
      <c r="I452" s="61"/>
      <c r="J452" s="61"/>
      <c r="K452" s="62"/>
      <c r="L452" s="10" t="str">
        <f t="shared" si="65"/>
        <v/>
      </c>
      <c r="M452" s="10" t="str">
        <f t="shared" si="66"/>
        <v/>
      </c>
      <c r="N452" s="11" t="str">
        <f t="shared" si="69"/>
        <v/>
      </c>
      <c r="O452" s="10" t="str">
        <f t="shared" si="70"/>
        <v/>
      </c>
      <c r="P452" s="39" t="str">
        <f t="shared" si="71"/>
        <v/>
      </c>
      <c r="Q452" s="13" t="str">
        <f t="shared" si="67"/>
        <v/>
      </c>
      <c r="R452" s="13" t="str">
        <f t="shared" si="72"/>
        <v/>
      </c>
      <c r="S452" s="13" t="str">
        <f t="shared" si="68"/>
        <v/>
      </c>
      <c r="T452" s="22" t="str">
        <f>IF(R452&lt;&gt;"",VLOOKUP(P452,Constants!$D$3:$E$10,2),"")</f>
        <v/>
      </c>
    </row>
    <row r="453" spans="2:20" x14ac:dyDescent="0.25">
      <c r="B453" s="59"/>
      <c r="C453" s="59"/>
      <c r="D453" s="60"/>
      <c r="E453" s="59"/>
      <c r="F453" s="59"/>
      <c r="G453" s="59"/>
      <c r="H453" s="61"/>
      <c r="I453" s="61"/>
      <c r="J453" s="61"/>
      <c r="K453" s="62"/>
      <c r="L453" s="10" t="str">
        <f t="shared" si="65"/>
        <v/>
      </c>
      <c r="M453" s="10" t="str">
        <f t="shared" si="66"/>
        <v/>
      </c>
      <c r="N453" s="11" t="str">
        <f t="shared" si="69"/>
        <v/>
      </c>
      <c r="O453" s="10" t="str">
        <f t="shared" si="70"/>
        <v/>
      </c>
      <c r="P453" s="39" t="str">
        <f t="shared" si="71"/>
        <v/>
      </c>
      <c r="Q453" s="13" t="str">
        <f t="shared" si="67"/>
        <v/>
      </c>
      <c r="R453" s="13" t="str">
        <f t="shared" si="72"/>
        <v/>
      </c>
      <c r="S453" s="13" t="str">
        <f t="shared" si="68"/>
        <v/>
      </c>
      <c r="T453" s="22" t="str">
        <f>IF(R453&lt;&gt;"",VLOOKUP(P453,Constants!$D$3:$E$10,2),"")</f>
        <v/>
      </c>
    </row>
    <row r="454" spans="2:20" x14ac:dyDescent="0.25">
      <c r="B454" s="59"/>
      <c r="C454" s="59"/>
      <c r="D454" s="60"/>
      <c r="E454" s="59"/>
      <c r="F454" s="59"/>
      <c r="G454" s="59"/>
      <c r="H454" s="61"/>
      <c r="I454" s="61"/>
      <c r="J454" s="61"/>
      <c r="K454" s="62"/>
      <c r="L454" s="10" t="str">
        <f t="shared" si="65"/>
        <v/>
      </c>
      <c r="M454" s="10" t="str">
        <f t="shared" si="66"/>
        <v/>
      </c>
      <c r="N454" s="11" t="str">
        <f t="shared" si="69"/>
        <v/>
      </c>
      <c r="O454" s="10" t="str">
        <f t="shared" si="70"/>
        <v/>
      </c>
      <c r="P454" s="39" t="str">
        <f t="shared" si="71"/>
        <v/>
      </c>
      <c r="Q454" s="13" t="str">
        <f t="shared" si="67"/>
        <v/>
      </c>
      <c r="R454" s="13" t="str">
        <f t="shared" si="72"/>
        <v/>
      </c>
      <c r="S454" s="13" t="str">
        <f t="shared" si="68"/>
        <v/>
      </c>
      <c r="T454" s="22" t="str">
        <f>IF(R454&lt;&gt;"",VLOOKUP(P454,Constants!$D$3:$E$10,2),"")</f>
        <v/>
      </c>
    </row>
    <row r="455" spans="2:20" x14ac:dyDescent="0.25">
      <c r="B455" s="59"/>
      <c r="C455" s="59"/>
      <c r="D455" s="60"/>
      <c r="E455" s="59"/>
      <c r="F455" s="59"/>
      <c r="G455" s="59"/>
      <c r="H455" s="61"/>
      <c r="I455" s="61"/>
      <c r="J455" s="61"/>
      <c r="K455" s="62"/>
      <c r="L455" s="10" t="str">
        <f t="shared" si="65"/>
        <v/>
      </c>
      <c r="M455" s="10" t="str">
        <f t="shared" si="66"/>
        <v/>
      </c>
      <c r="N455" s="11" t="str">
        <f t="shared" si="69"/>
        <v/>
      </c>
      <c r="O455" s="10" t="str">
        <f t="shared" si="70"/>
        <v/>
      </c>
      <c r="P455" s="39" t="str">
        <f t="shared" si="71"/>
        <v/>
      </c>
      <c r="Q455" s="13" t="str">
        <f t="shared" si="67"/>
        <v/>
      </c>
      <c r="R455" s="13" t="str">
        <f t="shared" si="72"/>
        <v/>
      </c>
      <c r="S455" s="13" t="str">
        <f t="shared" si="68"/>
        <v/>
      </c>
      <c r="T455" s="22" t="str">
        <f>IF(R455&lt;&gt;"",VLOOKUP(P455,Constants!$D$3:$E$10,2),"")</f>
        <v/>
      </c>
    </row>
    <row r="456" spans="2:20" x14ac:dyDescent="0.25">
      <c r="B456" s="59"/>
      <c r="C456" s="59"/>
      <c r="D456" s="60"/>
      <c r="E456" s="59"/>
      <c r="F456" s="59"/>
      <c r="G456" s="59"/>
      <c r="H456" s="61"/>
      <c r="I456" s="61"/>
      <c r="J456" s="61"/>
      <c r="K456" s="62"/>
      <c r="L456" s="10" t="str">
        <f t="shared" ref="L456:L519" si="73">IF($D456&lt;&gt;"",$D456*$E456/1000,"")</f>
        <v/>
      </c>
      <c r="M456" s="10" t="str">
        <f t="shared" ref="M456:M519" si="74">IF($D456&lt;&gt;"",$D456*$F456/1000,"")</f>
        <v/>
      </c>
      <c r="N456" s="11" t="str">
        <f t="shared" si="69"/>
        <v/>
      </c>
      <c r="O456" s="10" t="str">
        <f t="shared" si="70"/>
        <v/>
      </c>
      <c r="P456" s="39" t="str">
        <f t="shared" si="71"/>
        <v/>
      </c>
      <c r="Q456" s="13" t="str">
        <f t="shared" ref="Q456:Q519" si="75">IF(F456&lt;&gt;"",F456*E456/1000,"")</f>
        <v/>
      </c>
      <c r="R456" s="13" t="str">
        <f t="shared" si="72"/>
        <v/>
      </c>
      <c r="S456" s="13" t="str">
        <f t="shared" ref="S456:S519" si="76">IF(R456&lt;&gt;"",Q456/R456*1000,"")</f>
        <v/>
      </c>
      <c r="T456" s="22" t="str">
        <f>IF(R456&lt;&gt;"",VLOOKUP(P456,Constants!$D$3:$E$10,2),"")</f>
        <v/>
      </c>
    </row>
    <row r="457" spans="2:20" x14ac:dyDescent="0.25">
      <c r="B457" s="59"/>
      <c r="C457" s="59"/>
      <c r="D457" s="60"/>
      <c r="E457" s="59"/>
      <c r="F457" s="59"/>
      <c r="G457" s="59"/>
      <c r="H457" s="61"/>
      <c r="I457" s="61"/>
      <c r="J457" s="61"/>
      <c r="K457" s="62"/>
      <c r="L457" s="10" t="str">
        <f t="shared" si="73"/>
        <v/>
      </c>
      <c r="M457" s="10" t="str">
        <f t="shared" si="74"/>
        <v/>
      </c>
      <c r="N457" s="11" t="str">
        <f t="shared" si="69"/>
        <v/>
      </c>
      <c r="O457" s="10" t="str">
        <f t="shared" si="70"/>
        <v/>
      </c>
      <c r="P457" s="39" t="str">
        <f t="shared" si="71"/>
        <v/>
      </c>
      <c r="Q457" s="13" t="str">
        <f t="shared" si="75"/>
        <v/>
      </c>
      <c r="R457" s="13" t="str">
        <f t="shared" si="72"/>
        <v/>
      </c>
      <c r="S457" s="13" t="str">
        <f t="shared" si="76"/>
        <v/>
      </c>
      <c r="T457" s="22" t="str">
        <f>IF(R457&lt;&gt;"",VLOOKUP(P457,Constants!$D$3:$E$10,2),"")</f>
        <v/>
      </c>
    </row>
    <row r="458" spans="2:20" x14ac:dyDescent="0.25">
      <c r="B458" s="59"/>
      <c r="C458" s="59"/>
      <c r="D458" s="60"/>
      <c r="E458" s="59"/>
      <c r="F458" s="59"/>
      <c r="G458" s="59"/>
      <c r="H458" s="61"/>
      <c r="I458" s="61"/>
      <c r="J458" s="61"/>
      <c r="K458" s="62"/>
      <c r="L458" s="10" t="str">
        <f t="shared" si="73"/>
        <v/>
      </c>
      <c r="M458" s="10" t="str">
        <f t="shared" si="74"/>
        <v/>
      </c>
      <c r="N458" s="11" t="str">
        <f t="shared" si="69"/>
        <v/>
      </c>
      <c r="O458" s="10" t="str">
        <f t="shared" si="70"/>
        <v/>
      </c>
      <c r="P458" s="39" t="str">
        <f t="shared" si="71"/>
        <v/>
      </c>
      <c r="Q458" s="13" t="str">
        <f t="shared" si="75"/>
        <v/>
      </c>
      <c r="R458" s="13" t="str">
        <f t="shared" si="72"/>
        <v/>
      </c>
      <c r="S458" s="13" t="str">
        <f t="shared" si="76"/>
        <v/>
      </c>
      <c r="T458" s="22" t="str">
        <f>IF(R458&lt;&gt;"",VLOOKUP(P458,Constants!$D$3:$E$10,2),"")</f>
        <v/>
      </c>
    </row>
    <row r="459" spans="2:20" x14ac:dyDescent="0.25">
      <c r="B459" s="59"/>
      <c r="C459" s="59"/>
      <c r="D459" s="60"/>
      <c r="E459" s="59"/>
      <c r="F459" s="59"/>
      <c r="G459" s="59"/>
      <c r="H459" s="61"/>
      <c r="I459" s="61"/>
      <c r="J459" s="61"/>
      <c r="K459" s="62"/>
      <c r="L459" s="10" t="str">
        <f t="shared" si="73"/>
        <v/>
      </c>
      <c r="M459" s="10" t="str">
        <f t="shared" si="74"/>
        <v/>
      </c>
      <c r="N459" s="11" t="str">
        <f t="shared" si="69"/>
        <v/>
      </c>
      <c r="O459" s="10" t="str">
        <f t="shared" si="70"/>
        <v/>
      </c>
      <c r="P459" s="39" t="str">
        <f t="shared" si="71"/>
        <v/>
      </c>
      <c r="Q459" s="13" t="str">
        <f t="shared" si="75"/>
        <v/>
      </c>
      <c r="R459" s="13" t="str">
        <f t="shared" si="72"/>
        <v/>
      </c>
      <c r="S459" s="13" t="str">
        <f t="shared" si="76"/>
        <v/>
      </c>
      <c r="T459" s="22" t="str">
        <f>IF(R459&lt;&gt;"",VLOOKUP(P459,Constants!$D$3:$E$10,2),"")</f>
        <v/>
      </c>
    </row>
    <row r="460" spans="2:20" x14ac:dyDescent="0.25">
      <c r="B460" s="59"/>
      <c r="C460" s="59"/>
      <c r="D460" s="60"/>
      <c r="E460" s="59"/>
      <c r="F460" s="59"/>
      <c r="G460" s="59"/>
      <c r="H460" s="61"/>
      <c r="I460" s="61"/>
      <c r="J460" s="61"/>
      <c r="K460" s="62"/>
      <c r="L460" s="10" t="str">
        <f t="shared" si="73"/>
        <v/>
      </c>
      <c r="M460" s="10" t="str">
        <f t="shared" si="74"/>
        <v/>
      </c>
      <c r="N460" s="11" t="str">
        <f t="shared" si="69"/>
        <v/>
      </c>
      <c r="O460" s="10" t="str">
        <f t="shared" si="70"/>
        <v/>
      </c>
      <c r="P460" s="39" t="str">
        <f t="shared" si="71"/>
        <v/>
      </c>
      <c r="Q460" s="13" t="str">
        <f t="shared" si="75"/>
        <v/>
      </c>
      <c r="R460" s="13" t="str">
        <f t="shared" si="72"/>
        <v/>
      </c>
      <c r="S460" s="13" t="str">
        <f t="shared" si="76"/>
        <v/>
      </c>
      <c r="T460" s="22" t="str">
        <f>IF(R460&lt;&gt;"",VLOOKUP(P460,Constants!$D$3:$E$10,2),"")</f>
        <v/>
      </c>
    </row>
    <row r="461" spans="2:20" x14ac:dyDescent="0.25">
      <c r="B461" s="59"/>
      <c r="C461" s="59"/>
      <c r="D461" s="60"/>
      <c r="E461" s="59"/>
      <c r="F461" s="59"/>
      <c r="G461" s="59"/>
      <c r="H461" s="61"/>
      <c r="I461" s="61"/>
      <c r="J461" s="61"/>
      <c r="K461" s="62"/>
      <c r="L461" s="10" t="str">
        <f t="shared" si="73"/>
        <v/>
      </c>
      <c r="M461" s="10" t="str">
        <f t="shared" si="74"/>
        <v/>
      </c>
      <c r="N461" s="11" t="str">
        <f t="shared" si="69"/>
        <v/>
      </c>
      <c r="O461" s="10" t="str">
        <f t="shared" si="70"/>
        <v/>
      </c>
      <c r="P461" s="39" t="str">
        <f t="shared" si="71"/>
        <v/>
      </c>
      <c r="Q461" s="13" t="str">
        <f t="shared" si="75"/>
        <v/>
      </c>
      <c r="R461" s="13" t="str">
        <f t="shared" si="72"/>
        <v/>
      </c>
      <c r="S461" s="13" t="str">
        <f t="shared" si="76"/>
        <v/>
      </c>
      <c r="T461" s="22" t="str">
        <f>IF(R461&lt;&gt;"",VLOOKUP(P461,Constants!$D$3:$E$10,2),"")</f>
        <v/>
      </c>
    </row>
    <row r="462" spans="2:20" x14ac:dyDescent="0.25">
      <c r="B462" s="59"/>
      <c r="C462" s="59"/>
      <c r="D462" s="60"/>
      <c r="E462" s="59"/>
      <c r="F462" s="59"/>
      <c r="G462" s="59"/>
      <c r="H462" s="61"/>
      <c r="I462" s="61"/>
      <c r="J462" s="61"/>
      <c r="K462" s="62"/>
      <c r="L462" s="10" t="str">
        <f t="shared" si="73"/>
        <v/>
      </c>
      <c r="M462" s="10" t="str">
        <f t="shared" si="74"/>
        <v/>
      </c>
      <c r="N462" s="11" t="str">
        <f t="shared" si="69"/>
        <v/>
      </c>
      <c r="O462" s="10" t="str">
        <f t="shared" si="70"/>
        <v/>
      </c>
      <c r="P462" s="39" t="str">
        <f t="shared" si="71"/>
        <v/>
      </c>
      <c r="Q462" s="13" t="str">
        <f t="shared" si="75"/>
        <v/>
      </c>
      <c r="R462" s="13" t="str">
        <f t="shared" si="72"/>
        <v/>
      </c>
      <c r="S462" s="13" t="str">
        <f t="shared" si="76"/>
        <v/>
      </c>
      <c r="T462" s="22" t="str">
        <f>IF(R462&lt;&gt;"",VLOOKUP(P462,Constants!$D$3:$E$10,2),"")</f>
        <v/>
      </c>
    </row>
    <row r="463" spans="2:20" x14ac:dyDescent="0.25">
      <c r="B463" s="59"/>
      <c r="C463" s="59"/>
      <c r="D463" s="60"/>
      <c r="E463" s="59"/>
      <c r="F463" s="59"/>
      <c r="G463" s="59"/>
      <c r="H463" s="61"/>
      <c r="I463" s="61"/>
      <c r="J463" s="61"/>
      <c r="K463" s="62"/>
      <c r="L463" s="10" t="str">
        <f t="shared" si="73"/>
        <v/>
      </c>
      <c r="M463" s="10" t="str">
        <f t="shared" si="74"/>
        <v/>
      </c>
      <c r="N463" s="11" t="str">
        <f t="shared" si="69"/>
        <v/>
      </c>
      <c r="O463" s="10" t="str">
        <f t="shared" si="70"/>
        <v/>
      </c>
      <c r="P463" s="39" t="str">
        <f t="shared" si="71"/>
        <v/>
      </c>
      <c r="Q463" s="13" t="str">
        <f t="shared" si="75"/>
        <v/>
      </c>
      <c r="R463" s="13" t="str">
        <f t="shared" si="72"/>
        <v/>
      </c>
      <c r="S463" s="13" t="str">
        <f t="shared" si="76"/>
        <v/>
      </c>
      <c r="T463" s="22" t="str">
        <f>IF(R463&lt;&gt;"",VLOOKUP(P463,Constants!$D$3:$E$10,2),"")</f>
        <v/>
      </c>
    </row>
    <row r="464" spans="2:20" x14ac:dyDescent="0.25">
      <c r="B464" s="59"/>
      <c r="C464" s="59"/>
      <c r="D464" s="60"/>
      <c r="E464" s="59"/>
      <c r="F464" s="59"/>
      <c r="G464" s="59"/>
      <c r="H464" s="61"/>
      <c r="I464" s="61"/>
      <c r="J464" s="61"/>
      <c r="K464" s="62"/>
      <c r="L464" s="10" t="str">
        <f t="shared" si="73"/>
        <v/>
      </c>
      <c r="M464" s="10" t="str">
        <f t="shared" si="74"/>
        <v/>
      </c>
      <c r="N464" s="11" t="str">
        <f t="shared" ref="N464:N527" si="77">IF($L464&lt;&gt;"",SQRT($L464*$L464+$M464*$M464),"")</f>
        <v/>
      </c>
      <c r="O464" s="10" t="str">
        <f t="shared" si="70"/>
        <v/>
      </c>
      <c r="P464" s="39" t="str">
        <f t="shared" si="71"/>
        <v/>
      </c>
      <c r="Q464" s="13" t="str">
        <f t="shared" si="75"/>
        <v/>
      </c>
      <c r="R464" s="13" t="str">
        <f t="shared" si="72"/>
        <v/>
      </c>
      <c r="S464" s="13" t="str">
        <f t="shared" si="76"/>
        <v/>
      </c>
      <c r="T464" s="22" t="str">
        <f>IF(R464&lt;&gt;"",VLOOKUP(P464,Constants!$D$3:$E$10,2),"")</f>
        <v/>
      </c>
    </row>
    <row r="465" spans="2:20" x14ac:dyDescent="0.25">
      <c r="B465" s="59"/>
      <c r="C465" s="59"/>
      <c r="D465" s="60"/>
      <c r="E465" s="59"/>
      <c r="F465" s="59"/>
      <c r="G465" s="59"/>
      <c r="H465" s="61"/>
      <c r="I465" s="61"/>
      <c r="J465" s="61"/>
      <c r="K465" s="62"/>
      <c r="L465" s="10" t="str">
        <f t="shared" si="73"/>
        <v/>
      </c>
      <c r="M465" s="10" t="str">
        <f t="shared" si="74"/>
        <v/>
      </c>
      <c r="N465" s="11" t="str">
        <f t="shared" si="77"/>
        <v/>
      </c>
      <c r="O465" s="10" t="str">
        <f t="shared" si="70"/>
        <v/>
      </c>
      <c r="P465" s="39" t="str">
        <f t="shared" si="71"/>
        <v/>
      </c>
      <c r="Q465" s="13" t="str">
        <f t="shared" si="75"/>
        <v/>
      </c>
      <c r="R465" s="13" t="str">
        <f t="shared" si="72"/>
        <v/>
      </c>
      <c r="S465" s="13" t="str">
        <f t="shared" si="76"/>
        <v/>
      </c>
      <c r="T465" s="22" t="str">
        <f>IF(R465&lt;&gt;"",VLOOKUP(P465,Constants!$D$3:$E$10,2),"")</f>
        <v/>
      </c>
    </row>
    <row r="466" spans="2:20" x14ac:dyDescent="0.25">
      <c r="B466" s="59"/>
      <c r="C466" s="59"/>
      <c r="D466" s="60"/>
      <c r="E466" s="59"/>
      <c r="F466" s="59"/>
      <c r="G466" s="59"/>
      <c r="H466" s="61"/>
      <c r="I466" s="61"/>
      <c r="J466" s="61"/>
      <c r="K466" s="62"/>
      <c r="L466" s="10" t="str">
        <f t="shared" si="73"/>
        <v/>
      </c>
      <c r="M466" s="10" t="str">
        <f t="shared" si="74"/>
        <v/>
      </c>
      <c r="N466" s="11" t="str">
        <f t="shared" si="77"/>
        <v/>
      </c>
      <c r="O466" s="10" t="str">
        <f t="shared" si="70"/>
        <v/>
      </c>
      <c r="P466" s="39" t="str">
        <f t="shared" si="71"/>
        <v/>
      </c>
      <c r="Q466" s="13" t="str">
        <f t="shared" si="75"/>
        <v/>
      </c>
      <c r="R466" s="13" t="str">
        <f t="shared" si="72"/>
        <v/>
      </c>
      <c r="S466" s="13" t="str">
        <f t="shared" si="76"/>
        <v/>
      </c>
      <c r="T466" s="22" t="str">
        <f>IF(R466&lt;&gt;"",VLOOKUP(P466,Constants!$D$3:$E$10,2),"")</f>
        <v/>
      </c>
    </row>
    <row r="467" spans="2:20" x14ac:dyDescent="0.25">
      <c r="B467" s="59"/>
      <c r="C467" s="59"/>
      <c r="D467" s="60"/>
      <c r="E467" s="59"/>
      <c r="F467" s="59"/>
      <c r="G467" s="59"/>
      <c r="H467" s="61"/>
      <c r="I467" s="61"/>
      <c r="J467" s="61"/>
      <c r="K467" s="62"/>
      <c r="L467" s="10" t="str">
        <f t="shared" si="73"/>
        <v/>
      </c>
      <c r="M467" s="10" t="str">
        <f t="shared" si="74"/>
        <v/>
      </c>
      <c r="N467" s="11" t="str">
        <f t="shared" si="77"/>
        <v/>
      </c>
      <c r="O467" s="10" t="str">
        <f t="shared" si="70"/>
        <v/>
      </c>
      <c r="P467" s="39" t="str">
        <f t="shared" si="71"/>
        <v/>
      </c>
      <c r="Q467" s="13" t="str">
        <f t="shared" si="75"/>
        <v/>
      </c>
      <c r="R467" s="13" t="str">
        <f t="shared" si="72"/>
        <v/>
      </c>
      <c r="S467" s="13" t="str">
        <f t="shared" si="76"/>
        <v/>
      </c>
      <c r="T467" s="22" t="str">
        <f>IF(R467&lt;&gt;"",VLOOKUP(P467,Constants!$D$3:$E$10,2),"")</f>
        <v/>
      </c>
    </row>
    <row r="468" spans="2:20" x14ac:dyDescent="0.25">
      <c r="B468" s="59"/>
      <c r="C468" s="59"/>
      <c r="D468" s="60"/>
      <c r="E468" s="59"/>
      <c r="F468" s="59"/>
      <c r="G468" s="59"/>
      <c r="H468" s="61"/>
      <c r="I468" s="61"/>
      <c r="J468" s="61"/>
      <c r="K468" s="62"/>
      <c r="L468" s="10" t="str">
        <f t="shared" si="73"/>
        <v/>
      </c>
      <c r="M468" s="10" t="str">
        <f t="shared" si="74"/>
        <v/>
      </c>
      <c r="N468" s="11" t="str">
        <f t="shared" si="77"/>
        <v/>
      </c>
      <c r="O468" s="10" t="str">
        <f t="shared" si="70"/>
        <v/>
      </c>
      <c r="P468" s="39" t="str">
        <f t="shared" si="71"/>
        <v/>
      </c>
      <c r="Q468" s="13" t="str">
        <f t="shared" si="75"/>
        <v/>
      </c>
      <c r="R468" s="13" t="str">
        <f t="shared" si="72"/>
        <v/>
      </c>
      <c r="S468" s="13" t="str">
        <f t="shared" si="76"/>
        <v/>
      </c>
      <c r="T468" s="22" t="str">
        <f>IF(R468&lt;&gt;"",VLOOKUP(P468,Constants!$D$3:$E$10,2),"")</f>
        <v/>
      </c>
    </row>
    <row r="469" spans="2:20" x14ac:dyDescent="0.25">
      <c r="B469" s="59"/>
      <c r="C469" s="59"/>
      <c r="D469" s="60"/>
      <c r="E469" s="59"/>
      <c r="F469" s="59"/>
      <c r="G469" s="59"/>
      <c r="H469" s="61"/>
      <c r="I469" s="61"/>
      <c r="J469" s="61"/>
      <c r="K469" s="62"/>
      <c r="L469" s="10" t="str">
        <f t="shared" si="73"/>
        <v/>
      </c>
      <c r="M469" s="10" t="str">
        <f t="shared" si="74"/>
        <v/>
      </c>
      <c r="N469" s="11" t="str">
        <f t="shared" si="77"/>
        <v/>
      </c>
      <c r="O469" s="10" t="str">
        <f t="shared" si="70"/>
        <v/>
      </c>
      <c r="P469" s="39" t="str">
        <f t="shared" si="71"/>
        <v/>
      </c>
      <c r="Q469" s="13" t="str">
        <f t="shared" si="75"/>
        <v/>
      </c>
      <c r="R469" s="13" t="str">
        <f t="shared" si="72"/>
        <v/>
      </c>
      <c r="S469" s="13" t="str">
        <f t="shared" si="76"/>
        <v/>
      </c>
      <c r="T469" s="22" t="str">
        <f>IF(R469&lt;&gt;"",VLOOKUP(P469,Constants!$D$3:$E$10,2),"")</f>
        <v/>
      </c>
    </row>
    <row r="470" spans="2:20" x14ac:dyDescent="0.25">
      <c r="B470" s="59"/>
      <c r="C470" s="59"/>
      <c r="D470" s="60"/>
      <c r="E470" s="59"/>
      <c r="F470" s="59"/>
      <c r="G470" s="59"/>
      <c r="H470" s="61"/>
      <c r="I470" s="61"/>
      <c r="J470" s="61"/>
      <c r="K470" s="62"/>
      <c r="L470" s="10" t="str">
        <f t="shared" si="73"/>
        <v/>
      </c>
      <c r="M470" s="10" t="str">
        <f t="shared" si="74"/>
        <v/>
      </c>
      <c r="N470" s="11" t="str">
        <f t="shared" si="77"/>
        <v/>
      </c>
      <c r="O470" s="10" t="str">
        <f t="shared" si="70"/>
        <v/>
      </c>
      <c r="P470" s="39" t="str">
        <f t="shared" si="71"/>
        <v/>
      </c>
      <c r="Q470" s="13" t="str">
        <f t="shared" si="75"/>
        <v/>
      </c>
      <c r="R470" s="13" t="str">
        <f t="shared" si="72"/>
        <v/>
      </c>
      <c r="S470" s="13" t="str">
        <f t="shared" si="76"/>
        <v/>
      </c>
      <c r="T470" s="22" t="str">
        <f>IF(R470&lt;&gt;"",VLOOKUP(P470,Constants!$D$3:$E$10,2),"")</f>
        <v/>
      </c>
    </row>
    <row r="471" spans="2:20" x14ac:dyDescent="0.25">
      <c r="B471" s="59"/>
      <c r="C471" s="59"/>
      <c r="D471" s="60"/>
      <c r="E471" s="59"/>
      <c r="F471" s="59"/>
      <c r="G471" s="59"/>
      <c r="H471" s="61"/>
      <c r="I471" s="61"/>
      <c r="J471" s="61"/>
      <c r="K471" s="62"/>
      <c r="L471" s="10" t="str">
        <f t="shared" si="73"/>
        <v/>
      </c>
      <c r="M471" s="10" t="str">
        <f t="shared" si="74"/>
        <v/>
      </c>
      <c r="N471" s="11" t="str">
        <f t="shared" si="77"/>
        <v/>
      </c>
      <c r="O471" s="10" t="str">
        <f t="shared" ref="O471:O534" si="78">IF(D471&lt;&gt;"",1000/(2*D471),"")</f>
        <v/>
      </c>
      <c r="P471" s="39" t="str">
        <f t="shared" ref="P471:P534" si="79">IF($N471&lt;&gt;"",D471*SQRT(E471*E471+F471*F471)/16000,"")</f>
        <v/>
      </c>
      <c r="Q471" s="13" t="str">
        <f t="shared" si="75"/>
        <v/>
      </c>
      <c r="R471" s="13" t="str">
        <f t="shared" ref="R471:R534" si="80">IF(G471&lt;&gt;"",1000/G471,"")</f>
        <v/>
      </c>
      <c r="S471" s="13" t="str">
        <f t="shared" si="76"/>
        <v/>
      </c>
      <c r="T471" s="22" t="str">
        <f>IF(R471&lt;&gt;"",VLOOKUP(P471,Constants!$D$3:$E$10,2),"")</f>
        <v/>
      </c>
    </row>
    <row r="472" spans="2:20" x14ac:dyDescent="0.25">
      <c r="B472" s="59"/>
      <c r="C472" s="59"/>
      <c r="D472" s="60"/>
      <c r="E472" s="59"/>
      <c r="F472" s="59"/>
      <c r="G472" s="59"/>
      <c r="H472" s="61"/>
      <c r="I472" s="61"/>
      <c r="J472" s="61"/>
      <c r="K472" s="62"/>
      <c r="L472" s="10" t="str">
        <f t="shared" si="73"/>
        <v/>
      </c>
      <c r="M472" s="10" t="str">
        <f t="shared" si="74"/>
        <v/>
      </c>
      <c r="N472" s="11" t="str">
        <f t="shared" si="77"/>
        <v/>
      </c>
      <c r="O472" s="10" t="str">
        <f t="shared" si="78"/>
        <v/>
      </c>
      <c r="P472" s="39" t="str">
        <f t="shared" si="79"/>
        <v/>
      </c>
      <c r="Q472" s="13" t="str">
        <f t="shared" si="75"/>
        <v/>
      </c>
      <c r="R472" s="13" t="str">
        <f t="shared" si="80"/>
        <v/>
      </c>
      <c r="S472" s="13" t="str">
        <f t="shared" si="76"/>
        <v/>
      </c>
      <c r="T472" s="22" t="str">
        <f>IF(R472&lt;&gt;"",VLOOKUP(P472,Constants!$D$3:$E$10,2),"")</f>
        <v/>
      </c>
    </row>
    <row r="473" spans="2:20" x14ac:dyDescent="0.25">
      <c r="B473" s="59"/>
      <c r="C473" s="59"/>
      <c r="D473" s="60"/>
      <c r="E473" s="59"/>
      <c r="F473" s="59"/>
      <c r="G473" s="59"/>
      <c r="H473" s="61"/>
      <c r="I473" s="61"/>
      <c r="J473" s="61"/>
      <c r="K473" s="62"/>
      <c r="L473" s="10" t="str">
        <f t="shared" si="73"/>
        <v/>
      </c>
      <c r="M473" s="10" t="str">
        <f t="shared" si="74"/>
        <v/>
      </c>
      <c r="N473" s="11" t="str">
        <f t="shared" si="77"/>
        <v/>
      </c>
      <c r="O473" s="10" t="str">
        <f t="shared" si="78"/>
        <v/>
      </c>
      <c r="P473" s="39" t="str">
        <f t="shared" si="79"/>
        <v/>
      </c>
      <c r="Q473" s="13" t="str">
        <f t="shared" si="75"/>
        <v/>
      </c>
      <c r="R473" s="13" t="str">
        <f t="shared" si="80"/>
        <v/>
      </c>
      <c r="S473" s="13" t="str">
        <f t="shared" si="76"/>
        <v/>
      </c>
      <c r="T473" s="22" t="str">
        <f>IF(R473&lt;&gt;"",VLOOKUP(P473,Constants!$D$3:$E$10,2),"")</f>
        <v/>
      </c>
    </row>
    <row r="474" spans="2:20" x14ac:dyDescent="0.25">
      <c r="B474" s="59"/>
      <c r="C474" s="59"/>
      <c r="D474" s="60"/>
      <c r="E474" s="59"/>
      <c r="F474" s="59"/>
      <c r="G474" s="59"/>
      <c r="H474" s="61"/>
      <c r="I474" s="61"/>
      <c r="J474" s="61"/>
      <c r="K474" s="62"/>
      <c r="L474" s="10" t="str">
        <f t="shared" si="73"/>
        <v/>
      </c>
      <c r="M474" s="10" t="str">
        <f t="shared" si="74"/>
        <v/>
      </c>
      <c r="N474" s="11" t="str">
        <f t="shared" si="77"/>
        <v/>
      </c>
      <c r="O474" s="10" t="str">
        <f t="shared" si="78"/>
        <v/>
      </c>
      <c r="P474" s="39" t="str">
        <f t="shared" si="79"/>
        <v/>
      </c>
      <c r="Q474" s="13" t="str">
        <f t="shared" si="75"/>
        <v/>
      </c>
      <c r="R474" s="13" t="str">
        <f t="shared" si="80"/>
        <v/>
      </c>
      <c r="S474" s="13" t="str">
        <f t="shared" si="76"/>
        <v/>
      </c>
      <c r="T474" s="22" t="str">
        <f>IF(R474&lt;&gt;"",VLOOKUP(P474,Constants!$D$3:$E$10,2),"")</f>
        <v/>
      </c>
    </row>
    <row r="475" spans="2:20" x14ac:dyDescent="0.25">
      <c r="B475" s="59"/>
      <c r="C475" s="59"/>
      <c r="D475" s="60"/>
      <c r="E475" s="59"/>
      <c r="F475" s="59"/>
      <c r="G475" s="59"/>
      <c r="H475" s="61"/>
      <c r="I475" s="61"/>
      <c r="J475" s="61"/>
      <c r="K475" s="62"/>
      <c r="L475" s="10" t="str">
        <f t="shared" si="73"/>
        <v/>
      </c>
      <c r="M475" s="10" t="str">
        <f t="shared" si="74"/>
        <v/>
      </c>
      <c r="N475" s="11" t="str">
        <f t="shared" si="77"/>
        <v/>
      </c>
      <c r="O475" s="10" t="str">
        <f t="shared" si="78"/>
        <v/>
      </c>
      <c r="P475" s="39" t="str">
        <f t="shared" si="79"/>
        <v/>
      </c>
      <c r="Q475" s="13" t="str">
        <f t="shared" si="75"/>
        <v/>
      </c>
      <c r="R475" s="13" t="str">
        <f t="shared" si="80"/>
        <v/>
      </c>
      <c r="S475" s="13" t="str">
        <f t="shared" si="76"/>
        <v/>
      </c>
      <c r="T475" s="22" t="str">
        <f>IF(R475&lt;&gt;"",VLOOKUP(P475,Constants!$D$3:$E$10,2),"")</f>
        <v/>
      </c>
    </row>
    <row r="476" spans="2:20" x14ac:dyDescent="0.25">
      <c r="B476" s="59"/>
      <c r="C476" s="59"/>
      <c r="D476" s="60"/>
      <c r="E476" s="59"/>
      <c r="F476" s="59"/>
      <c r="G476" s="59"/>
      <c r="H476" s="61"/>
      <c r="I476" s="61"/>
      <c r="J476" s="61"/>
      <c r="K476" s="62"/>
      <c r="L476" s="10" t="str">
        <f t="shared" si="73"/>
        <v/>
      </c>
      <c r="M476" s="10" t="str">
        <f t="shared" si="74"/>
        <v/>
      </c>
      <c r="N476" s="11" t="str">
        <f t="shared" si="77"/>
        <v/>
      </c>
      <c r="O476" s="10" t="str">
        <f t="shared" si="78"/>
        <v/>
      </c>
      <c r="P476" s="39" t="str">
        <f t="shared" si="79"/>
        <v/>
      </c>
      <c r="Q476" s="13" t="str">
        <f t="shared" si="75"/>
        <v/>
      </c>
      <c r="R476" s="13" t="str">
        <f t="shared" si="80"/>
        <v/>
      </c>
      <c r="S476" s="13" t="str">
        <f t="shared" si="76"/>
        <v/>
      </c>
      <c r="T476" s="22" t="str">
        <f>IF(R476&lt;&gt;"",VLOOKUP(P476,Constants!$D$3:$E$10,2),"")</f>
        <v/>
      </c>
    </row>
    <row r="477" spans="2:20" x14ac:dyDescent="0.25">
      <c r="B477" s="59"/>
      <c r="C477" s="59"/>
      <c r="D477" s="60"/>
      <c r="E477" s="59"/>
      <c r="F477" s="59"/>
      <c r="G477" s="59"/>
      <c r="H477" s="61"/>
      <c r="I477" s="61"/>
      <c r="J477" s="61"/>
      <c r="K477" s="62"/>
      <c r="L477" s="10" t="str">
        <f t="shared" si="73"/>
        <v/>
      </c>
      <c r="M477" s="10" t="str">
        <f t="shared" si="74"/>
        <v/>
      </c>
      <c r="N477" s="11" t="str">
        <f t="shared" si="77"/>
        <v/>
      </c>
      <c r="O477" s="10" t="str">
        <f t="shared" si="78"/>
        <v/>
      </c>
      <c r="P477" s="39" t="str">
        <f t="shared" si="79"/>
        <v/>
      </c>
      <c r="Q477" s="13" t="str">
        <f t="shared" si="75"/>
        <v/>
      </c>
      <c r="R477" s="13" t="str">
        <f t="shared" si="80"/>
        <v/>
      </c>
      <c r="S477" s="13" t="str">
        <f t="shared" si="76"/>
        <v/>
      </c>
      <c r="T477" s="22" t="str">
        <f>IF(R477&lt;&gt;"",VLOOKUP(P477,Constants!$D$3:$E$10,2),"")</f>
        <v/>
      </c>
    </row>
    <row r="478" spans="2:20" x14ac:dyDescent="0.25">
      <c r="B478" s="59"/>
      <c r="C478" s="59"/>
      <c r="D478" s="60"/>
      <c r="E478" s="59"/>
      <c r="F478" s="59"/>
      <c r="G478" s="59"/>
      <c r="H478" s="61"/>
      <c r="I478" s="61"/>
      <c r="J478" s="61"/>
      <c r="K478" s="62"/>
      <c r="L478" s="10" t="str">
        <f t="shared" si="73"/>
        <v/>
      </c>
      <c r="M478" s="10" t="str">
        <f t="shared" si="74"/>
        <v/>
      </c>
      <c r="N478" s="11" t="str">
        <f t="shared" si="77"/>
        <v/>
      </c>
      <c r="O478" s="10" t="str">
        <f t="shared" si="78"/>
        <v/>
      </c>
      <c r="P478" s="39" t="str">
        <f t="shared" si="79"/>
        <v/>
      </c>
      <c r="Q478" s="13" t="str">
        <f t="shared" si="75"/>
        <v/>
      </c>
      <c r="R478" s="13" t="str">
        <f t="shared" si="80"/>
        <v/>
      </c>
      <c r="S478" s="13" t="str">
        <f t="shared" si="76"/>
        <v/>
      </c>
      <c r="T478" s="22" t="str">
        <f>IF(R478&lt;&gt;"",VLOOKUP(P478,Constants!$D$3:$E$10,2),"")</f>
        <v/>
      </c>
    </row>
    <row r="479" spans="2:20" x14ac:dyDescent="0.25">
      <c r="B479" s="59"/>
      <c r="C479" s="59"/>
      <c r="D479" s="60"/>
      <c r="E479" s="59"/>
      <c r="F479" s="59"/>
      <c r="G479" s="59"/>
      <c r="H479" s="61"/>
      <c r="I479" s="61"/>
      <c r="J479" s="61"/>
      <c r="K479" s="62"/>
      <c r="L479" s="10" t="str">
        <f t="shared" si="73"/>
        <v/>
      </c>
      <c r="M479" s="10" t="str">
        <f t="shared" si="74"/>
        <v/>
      </c>
      <c r="N479" s="11" t="str">
        <f t="shared" si="77"/>
        <v/>
      </c>
      <c r="O479" s="10" t="str">
        <f t="shared" si="78"/>
        <v/>
      </c>
      <c r="P479" s="39" t="str">
        <f t="shared" si="79"/>
        <v/>
      </c>
      <c r="Q479" s="13" t="str">
        <f t="shared" si="75"/>
        <v/>
      </c>
      <c r="R479" s="13" t="str">
        <f t="shared" si="80"/>
        <v/>
      </c>
      <c r="S479" s="13" t="str">
        <f t="shared" si="76"/>
        <v/>
      </c>
      <c r="T479" s="22" t="str">
        <f>IF(R479&lt;&gt;"",VLOOKUP(P479,Constants!$D$3:$E$10,2),"")</f>
        <v/>
      </c>
    </row>
    <row r="480" spans="2:20" x14ac:dyDescent="0.25">
      <c r="B480" s="59"/>
      <c r="C480" s="59"/>
      <c r="D480" s="60"/>
      <c r="E480" s="59"/>
      <c r="F480" s="59"/>
      <c r="G480" s="59"/>
      <c r="H480" s="61"/>
      <c r="I480" s="61"/>
      <c r="J480" s="61"/>
      <c r="K480" s="62"/>
      <c r="L480" s="10" t="str">
        <f t="shared" si="73"/>
        <v/>
      </c>
      <c r="M480" s="10" t="str">
        <f t="shared" si="74"/>
        <v/>
      </c>
      <c r="N480" s="11" t="str">
        <f t="shared" si="77"/>
        <v/>
      </c>
      <c r="O480" s="10" t="str">
        <f t="shared" si="78"/>
        <v/>
      </c>
      <c r="P480" s="39" t="str">
        <f t="shared" si="79"/>
        <v/>
      </c>
      <c r="Q480" s="13" t="str">
        <f t="shared" si="75"/>
        <v/>
      </c>
      <c r="R480" s="13" t="str">
        <f t="shared" si="80"/>
        <v/>
      </c>
      <c r="S480" s="13" t="str">
        <f t="shared" si="76"/>
        <v/>
      </c>
      <c r="T480" s="22" t="str">
        <f>IF(R480&lt;&gt;"",VLOOKUP(P480,Constants!$D$3:$E$10,2),"")</f>
        <v/>
      </c>
    </row>
    <row r="481" spans="2:20" x14ac:dyDescent="0.25">
      <c r="B481" s="59"/>
      <c r="C481" s="59"/>
      <c r="D481" s="60"/>
      <c r="E481" s="59"/>
      <c r="F481" s="59"/>
      <c r="G481" s="59"/>
      <c r="H481" s="61"/>
      <c r="I481" s="61"/>
      <c r="J481" s="61"/>
      <c r="K481" s="62"/>
      <c r="L481" s="10" t="str">
        <f t="shared" si="73"/>
        <v/>
      </c>
      <c r="M481" s="10" t="str">
        <f t="shared" si="74"/>
        <v/>
      </c>
      <c r="N481" s="11" t="str">
        <f t="shared" si="77"/>
        <v/>
      </c>
      <c r="O481" s="10" t="str">
        <f t="shared" si="78"/>
        <v/>
      </c>
      <c r="P481" s="39" t="str">
        <f t="shared" si="79"/>
        <v/>
      </c>
      <c r="Q481" s="13" t="str">
        <f t="shared" si="75"/>
        <v/>
      </c>
      <c r="R481" s="13" t="str">
        <f t="shared" si="80"/>
        <v/>
      </c>
      <c r="S481" s="13" t="str">
        <f t="shared" si="76"/>
        <v/>
      </c>
      <c r="T481" s="22" t="str">
        <f>IF(R481&lt;&gt;"",VLOOKUP(P481,Constants!$D$3:$E$10,2),"")</f>
        <v/>
      </c>
    </row>
    <row r="482" spans="2:20" x14ac:dyDescent="0.25">
      <c r="B482" s="59"/>
      <c r="C482" s="59"/>
      <c r="D482" s="60"/>
      <c r="E482" s="59"/>
      <c r="F482" s="59"/>
      <c r="G482" s="59"/>
      <c r="H482" s="61"/>
      <c r="I482" s="61"/>
      <c r="J482" s="61"/>
      <c r="K482" s="62"/>
      <c r="L482" s="10" t="str">
        <f t="shared" si="73"/>
        <v/>
      </c>
      <c r="M482" s="10" t="str">
        <f t="shared" si="74"/>
        <v/>
      </c>
      <c r="N482" s="11" t="str">
        <f t="shared" si="77"/>
        <v/>
      </c>
      <c r="O482" s="10" t="str">
        <f t="shared" si="78"/>
        <v/>
      </c>
      <c r="P482" s="39" t="str">
        <f t="shared" si="79"/>
        <v/>
      </c>
      <c r="Q482" s="13" t="str">
        <f t="shared" si="75"/>
        <v/>
      </c>
      <c r="R482" s="13" t="str">
        <f t="shared" si="80"/>
        <v/>
      </c>
      <c r="S482" s="13" t="str">
        <f t="shared" si="76"/>
        <v/>
      </c>
      <c r="T482" s="22" t="str">
        <f>IF(R482&lt;&gt;"",VLOOKUP(P482,Constants!$D$3:$E$10,2),"")</f>
        <v/>
      </c>
    </row>
    <row r="483" spans="2:20" x14ac:dyDescent="0.25">
      <c r="B483" s="59"/>
      <c r="C483" s="59"/>
      <c r="D483" s="60"/>
      <c r="E483" s="59"/>
      <c r="F483" s="59"/>
      <c r="G483" s="59"/>
      <c r="H483" s="61"/>
      <c r="I483" s="61"/>
      <c r="J483" s="61"/>
      <c r="K483" s="62"/>
      <c r="L483" s="10" t="str">
        <f t="shared" si="73"/>
        <v/>
      </c>
      <c r="M483" s="10" t="str">
        <f t="shared" si="74"/>
        <v/>
      </c>
      <c r="N483" s="11" t="str">
        <f t="shared" si="77"/>
        <v/>
      </c>
      <c r="O483" s="10" t="str">
        <f t="shared" si="78"/>
        <v/>
      </c>
      <c r="P483" s="39" t="str">
        <f t="shared" si="79"/>
        <v/>
      </c>
      <c r="Q483" s="13" t="str">
        <f t="shared" si="75"/>
        <v/>
      </c>
      <c r="R483" s="13" t="str">
        <f t="shared" si="80"/>
        <v/>
      </c>
      <c r="S483" s="13" t="str">
        <f t="shared" si="76"/>
        <v/>
      </c>
      <c r="T483" s="22" t="str">
        <f>IF(R483&lt;&gt;"",VLOOKUP(P483,Constants!$D$3:$E$10,2),"")</f>
        <v/>
      </c>
    </row>
    <row r="484" spans="2:20" x14ac:dyDescent="0.25">
      <c r="B484" s="59"/>
      <c r="C484" s="59"/>
      <c r="D484" s="60"/>
      <c r="E484" s="59"/>
      <c r="F484" s="59"/>
      <c r="G484" s="59"/>
      <c r="H484" s="61"/>
      <c r="I484" s="61"/>
      <c r="J484" s="61"/>
      <c r="K484" s="62"/>
      <c r="L484" s="10" t="str">
        <f t="shared" si="73"/>
        <v/>
      </c>
      <c r="M484" s="10" t="str">
        <f t="shared" si="74"/>
        <v/>
      </c>
      <c r="N484" s="11" t="str">
        <f t="shared" si="77"/>
        <v/>
      </c>
      <c r="O484" s="10" t="str">
        <f t="shared" si="78"/>
        <v/>
      </c>
      <c r="P484" s="39" t="str">
        <f t="shared" si="79"/>
        <v/>
      </c>
      <c r="Q484" s="13" t="str">
        <f t="shared" si="75"/>
        <v/>
      </c>
      <c r="R484" s="13" t="str">
        <f t="shared" si="80"/>
        <v/>
      </c>
      <c r="S484" s="13" t="str">
        <f t="shared" si="76"/>
        <v/>
      </c>
      <c r="T484" s="22" t="str">
        <f>IF(R484&lt;&gt;"",VLOOKUP(P484,Constants!$D$3:$E$10,2),"")</f>
        <v/>
      </c>
    </row>
    <row r="485" spans="2:20" x14ac:dyDescent="0.25">
      <c r="B485" s="59"/>
      <c r="C485" s="59"/>
      <c r="D485" s="60"/>
      <c r="E485" s="59"/>
      <c r="F485" s="59"/>
      <c r="G485" s="59"/>
      <c r="H485" s="61"/>
      <c r="I485" s="61"/>
      <c r="J485" s="61"/>
      <c r="K485" s="62"/>
      <c r="L485" s="10" t="str">
        <f t="shared" si="73"/>
        <v/>
      </c>
      <c r="M485" s="10" t="str">
        <f t="shared" si="74"/>
        <v/>
      </c>
      <c r="N485" s="11" t="str">
        <f t="shared" si="77"/>
        <v/>
      </c>
      <c r="O485" s="10" t="str">
        <f t="shared" si="78"/>
        <v/>
      </c>
      <c r="P485" s="39" t="str">
        <f t="shared" si="79"/>
        <v/>
      </c>
      <c r="Q485" s="13" t="str">
        <f t="shared" si="75"/>
        <v/>
      </c>
      <c r="R485" s="13" t="str">
        <f t="shared" si="80"/>
        <v/>
      </c>
      <c r="S485" s="13" t="str">
        <f t="shared" si="76"/>
        <v/>
      </c>
      <c r="T485" s="22" t="str">
        <f>IF(R485&lt;&gt;"",VLOOKUP(P485,Constants!$D$3:$E$10,2),"")</f>
        <v/>
      </c>
    </row>
    <row r="486" spans="2:20" x14ac:dyDescent="0.25">
      <c r="B486" s="59"/>
      <c r="C486" s="59"/>
      <c r="D486" s="60"/>
      <c r="E486" s="59"/>
      <c r="F486" s="59"/>
      <c r="G486" s="59"/>
      <c r="H486" s="61"/>
      <c r="I486" s="61"/>
      <c r="J486" s="61"/>
      <c r="K486" s="62"/>
      <c r="L486" s="10" t="str">
        <f t="shared" si="73"/>
        <v/>
      </c>
      <c r="M486" s="10" t="str">
        <f t="shared" si="74"/>
        <v/>
      </c>
      <c r="N486" s="11" t="str">
        <f t="shared" si="77"/>
        <v/>
      </c>
      <c r="O486" s="10" t="str">
        <f t="shared" si="78"/>
        <v/>
      </c>
      <c r="P486" s="39" t="str">
        <f t="shared" si="79"/>
        <v/>
      </c>
      <c r="Q486" s="13" t="str">
        <f t="shared" si="75"/>
        <v/>
      </c>
      <c r="R486" s="13" t="str">
        <f t="shared" si="80"/>
        <v/>
      </c>
      <c r="S486" s="13" t="str">
        <f t="shared" si="76"/>
        <v/>
      </c>
      <c r="T486" s="22" t="str">
        <f>IF(R486&lt;&gt;"",VLOOKUP(P486,Constants!$D$3:$E$10,2),"")</f>
        <v/>
      </c>
    </row>
    <row r="487" spans="2:20" x14ac:dyDescent="0.25">
      <c r="B487" s="59"/>
      <c r="C487" s="59"/>
      <c r="D487" s="60"/>
      <c r="E487" s="59"/>
      <c r="F487" s="59"/>
      <c r="G487" s="59"/>
      <c r="H487" s="61"/>
      <c r="I487" s="61"/>
      <c r="J487" s="61"/>
      <c r="K487" s="62"/>
      <c r="L487" s="10" t="str">
        <f t="shared" si="73"/>
        <v/>
      </c>
      <c r="M487" s="10" t="str">
        <f t="shared" si="74"/>
        <v/>
      </c>
      <c r="N487" s="11" t="str">
        <f t="shared" si="77"/>
        <v/>
      </c>
      <c r="O487" s="10" t="str">
        <f t="shared" si="78"/>
        <v/>
      </c>
      <c r="P487" s="39" t="str">
        <f t="shared" si="79"/>
        <v/>
      </c>
      <c r="Q487" s="13" t="str">
        <f t="shared" si="75"/>
        <v/>
      </c>
      <c r="R487" s="13" t="str">
        <f t="shared" si="80"/>
        <v/>
      </c>
      <c r="S487" s="13" t="str">
        <f t="shared" si="76"/>
        <v/>
      </c>
      <c r="T487" s="22" t="str">
        <f>IF(R487&lt;&gt;"",VLOOKUP(P487,Constants!$D$3:$E$10,2),"")</f>
        <v/>
      </c>
    </row>
    <row r="488" spans="2:20" x14ac:dyDescent="0.25">
      <c r="B488" s="59"/>
      <c r="C488" s="59"/>
      <c r="D488" s="60"/>
      <c r="E488" s="59"/>
      <c r="F488" s="59"/>
      <c r="G488" s="59"/>
      <c r="H488" s="61"/>
      <c r="I488" s="61"/>
      <c r="J488" s="61"/>
      <c r="K488" s="62"/>
      <c r="L488" s="10" t="str">
        <f t="shared" si="73"/>
        <v/>
      </c>
      <c r="M488" s="10" t="str">
        <f t="shared" si="74"/>
        <v/>
      </c>
      <c r="N488" s="11" t="str">
        <f t="shared" si="77"/>
        <v/>
      </c>
      <c r="O488" s="10" t="str">
        <f t="shared" si="78"/>
        <v/>
      </c>
      <c r="P488" s="39" t="str">
        <f t="shared" si="79"/>
        <v/>
      </c>
      <c r="Q488" s="13" t="str">
        <f t="shared" si="75"/>
        <v/>
      </c>
      <c r="R488" s="13" t="str">
        <f t="shared" si="80"/>
        <v/>
      </c>
      <c r="S488" s="13" t="str">
        <f t="shared" si="76"/>
        <v/>
      </c>
      <c r="T488" s="22" t="str">
        <f>IF(R488&lt;&gt;"",VLOOKUP(P488,Constants!$D$3:$E$10,2),"")</f>
        <v/>
      </c>
    </row>
    <row r="489" spans="2:20" x14ac:dyDescent="0.25">
      <c r="B489" s="59"/>
      <c r="C489" s="59"/>
      <c r="D489" s="60"/>
      <c r="E489" s="59"/>
      <c r="F489" s="59"/>
      <c r="G489" s="59"/>
      <c r="H489" s="61"/>
      <c r="I489" s="61"/>
      <c r="J489" s="61"/>
      <c r="K489" s="62"/>
      <c r="L489" s="10" t="str">
        <f t="shared" si="73"/>
        <v/>
      </c>
      <c r="M489" s="10" t="str">
        <f t="shared" si="74"/>
        <v/>
      </c>
      <c r="N489" s="11" t="str">
        <f t="shared" si="77"/>
        <v/>
      </c>
      <c r="O489" s="10" t="str">
        <f t="shared" si="78"/>
        <v/>
      </c>
      <c r="P489" s="39" t="str">
        <f t="shared" si="79"/>
        <v/>
      </c>
      <c r="Q489" s="13" t="str">
        <f t="shared" si="75"/>
        <v/>
      </c>
      <c r="R489" s="13" t="str">
        <f t="shared" si="80"/>
        <v/>
      </c>
      <c r="S489" s="13" t="str">
        <f t="shared" si="76"/>
        <v/>
      </c>
      <c r="T489" s="22" t="str">
        <f>IF(R489&lt;&gt;"",VLOOKUP(P489,Constants!$D$3:$E$10,2),"")</f>
        <v/>
      </c>
    </row>
    <row r="490" spans="2:20" x14ac:dyDescent="0.25">
      <c r="B490" s="59"/>
      <c r="C490" s="59"/>
      <c r="D490" s="60"/>
      <c r="E490" s="59"/>
      <c r="F490" s="59"/>
      <c r="G490" s="59"/>
      <c r="H490" s="61"/>
      <c r="I490" s="61"/>
      <c r="J490" s="61"/>
      <c r="K490" s="62"/>
      <c r="L490" s="10" t="str">
        <f t="shared" si="73"/>
        <v/>
      </c>
      <c r="M490" s="10" t="str">
        <f t="shared" si="74"/>
        <v/>
      </c>
      <c r="N490" s="11" t="str">
        <f t="shared" si="77"/>
        <v/>
      </c>
      <c r="O490" s="10" t="str">
        <f t="shared" si="78"/>
        <v/>
      </c>
      <c r="P490" s="39" t="str">
        <f t="shared" si="79"/>
        <v/>
      </c>
      <c r="Q490" s="13" t="str">
        <f t="shared" si="75"/>
        <v/>
      </c>
      <c r="R490" s="13" t="str">
        <f t="shared" si="80"/>
        <v/>
      </c>
      <c r="S490" s="13" t="str">
        <f t="shared" si="76"/>
        <v/>
      </c>
      <c r="T490" s="22" t="str">
        <f>IF(R490&lt;&gt;"",VLOOKUP(P490,Constants!$D$3:$E$10,2),"")</f>
        <v/>
      </c>
    </row>
    <row r="491" spans="2:20" x14ac:dyDescent="0.25">
      <c r="B491" s="59"/>
      <c r="C491" s="59"/>
      <c r="D491" s="60"/>
      <c r="E491" s="59"/>
      <c r="F491" s="59"/>
      <c r="G491" s="59"/>
      <c r="H491" s="61"/>
      <c r="I491" s="61"/>
      <c r="J491" s="61"/>
      <c r="K491" s="62"/>
      <c r="L491" s="10" t="str">
        <f t="shared" si="73"/>
        <v/>
      </c>
      <c r="M491" s="10" t="str">
        <f t="shared" si="74"/>
        <v/>
      </c>
      <c r="N491" s="11" t="str">
        <f t="shared" si="77"/>
        <v/>
      </c>
      <c r="O491" s="10" t="str">
        <f t="shared" si="78"/>
        <v/>
      </c>
      <c r="P491" s="39" t="str">
        <f t="shared" si="79"/>
        <v/>
      </c>
      <c r="Q491" s="13" t="str">
        <f t="shared" si="75"/>
        <v/>
      </c>
      <c r="R491" s="13" t="str">
        <f t="shared" si="80"/>
        <v/>
      </c>
      <c r="S491" s="13" t="str">
        <f t="shared" si="76"/>
        <v/>
      </c>
      <c r="T491" s="22" t="str">
        <f>IF(R491&lt;&gt;"",VLOOKUP(P491,Constants!$D$3:$E$10,2),"")</f>
        <v/>
      </c>
    </row>
    <row r="492" spans="2:20" x14ac:dyDescent="0.25">
      <c r="B492" s="59"/>
      <c r="C492" s="59"/>
      <c r="D492" s="60"/>
      <c r="E492" s="59"/>
      <c r="F492" s="59"/>
      <c r="G492" s="59"/>
      <c r="H492" s="61"/>
      <c r="I492" s="61"/>
      <c r="J492" s="61"/>
      <c r="K492" s="62"/>
      <c r="L492" s="10" t="str">
        <f t="shared" si="73"/>
        <v/>
      </c>
      <c r="M492" s="10" t="str">
        <f t="shared" si="74"/>
        <v/>
      </c>
      <c r="N492" s="11" t="str">
        <f t="shared" si="77"/>
        <v/>
      </c>
      <c r="O492" s="10" t="str">
        <f t="shared" si="78"/>
        <v/>
      </c>
      <c r="P492" s="39" t="str">
        <f t="shared" si="79"/>
        <v/>
      </c>
      <c r="Q492" s="13" t="str">
        <f t="shared" si="75"/>
        <v/>
      </c>
      <c r="R492" s="13" t="str">
        <f t="shared" si="80"/>
        <v/>
      </c>
      <c r="S492" s="13" t="str">
        <f t="shared" si="76"/>
        <v/>
      </c>
      <c r="T492" s="22" t="str">
        <f>IF(R492&lt;&gt;"",VLOOKUP(P492,Constants!$D$3:$E$10,2),"")</f>
        <v/>
      </c>
    </row>
    <row r="493" spans="2:20" x14ac:dyDescent="0.25">
      <c r="B493" s="59"/>
      <c r="C493" s="59"/>
      <c r="D493" s="60"/>
      <c r="E493" s="59"/>
      <c r="F493" s="59"/>
      <c r="G493" s="59"/>
      <c r="H493" s="61"/>
      <c r="I493" s="61"/>
      <c r="J493" s="61"/>
      <c r="K493" s="62"/>
      <c r="L493" s="10" t="str">
        <f t="shared" si="73"/>
        <v/>
      </c>
      <c r="M493" s="10" t="str">
        <f t="shared" si="74"/>
        <v/>
      </c>
      <c r="N493" s="11" t="str">
        <f t="shared" si="77"/>
        <v/>
      </c>
      <c r="O493" s="10" t="str">
        <f t="shared" si="78"/>
        <v/>
      </c>
      <c r="P493" s="39" t="str">
        <f t="shared" si="79"/>
        <v/>
      </c>
      <c r="Q493" s="13" t="str">
        <f t="shared" si="75"/>
        <v/>
      </c>
      <c r="R493" s="13" t="str">
        <f t="shared" si="80"/>
        <v/>
      </c>
      <c r="S493" s="13" t="str">
        <f t="shared" si="76"/>
        <v/>
      </c>
      <c r="T493" s="22" t="str">
        <f>IF(R493&lt;&gt;"",VLOOKUP(P493,Constants!$D$3:$E$10,2),"")</f>
        <v/>
      </c>
    </row>
    <row r="494" spans="2:20" x14ac:dyDescent="0.25">
      <c r="B494" s="59"/>
      <c r="C494" s="59"/>
      <c r="D494" s="60"/>
      <c r="E494" s="59"/>
      <c r="F494" s="59"/>
      <c r="G494" s="59"/>
      <c r="H494" s="61"/>
      <c r="I494" s="61"/>
      <c r="J494" s="61"/>
      <c r="K494" s="62"/>
      <c r="L494" s="10" t="str">
        <f t="shared" si="73"/>
        <v/>
      </c>
      <c r="M494" s="10" t="str">
        <f t="shared" si="74"/>
        <v/>
      </c>
      <c r="N494" s="11" t="str">
        <f t="shared" si="77"/>
        <v/>
      </c>
      <c r="O494" s="10" t="str">
        <f t="shared" si="78"/>
        <v/>
      </c>
      <c r="P494" s="39" t="str">
        <f t="shared" si="79"/>
        <v/>
      </c>
      <c r="Q494" s="13" t="str">
        <f t="shared" si="75"/>
        <v/>
      </c>
      <c r="R494" s="13" t="str">
        <f t="shared" si="80"/>
        <v/>
      </c>
      <c r="S494" s="13" t="str">
        <f t="shared" si="76"/>
        <v/>
      </c>
      <c r="T494" s="22" t="str">
        <f>IF(R494&lt;&gt;"",VLOOKUP(P494,Constants!$D$3:$E$10,2),"")</f>
        <v/>
      </c>
    </row>
    <row r="495" spans="2:20" x14ac:dyDescent="0.25">
      <c r="B495" s="59"/>
      <c r="C495" s="59"/>
      <c r="D495" s="60"/>
      <c r="E495" s="59"/>
      <c r="F495" s="59"/>
      <c r="G495" s="59"/>
      <c r="H495" s="61"/>
      <c r="I495" s="61"/>
      <c r="J495" s="61"/>
      <c r="K495" s="62"/>
      <c r="L495" s="10" t="str">
        <f t="shared" si="73"/>
        <v/>
      </c>
      <c r="M495" s="10" t="str">
        <f t="shared" si="74"/>
        <v/>
      </c>
      <c r="N495" s="11" t="str">
        <f t="shared" si="77"/>
        <v/>
      </c>
      <c r="O495" s="10" t="str">
        <f t="shared" si="78"/>
        <v/>
      </c>
      <c r="P495" s="39" t="str">
        <f t="shared" si="79"/>
        <v/>
      </c>
      <c r="Q495" s="13" t="str">
        <f t="shared" si="75"/>
        <v/>
      </c>
      <c r="R495" s="13" t="str">
        <f t="shared" si="80"/>
        <v/>
      </c>
      <c r="S495" s="13" t="str">
        <f t="shared" si="76"/>
        <v/>
      </c>
      <c r="T495" s="22" t="str">
        <f>IF(R495&lt;&gt;"",VLOOKUP(P495,Constants!$D$3:$E$10,2),"")</f>
        <v/>
      </c>
    </row>
    <row r="496" spans="2:20" x14ac:dyDescent="0.25">
      <c r="B496" s="59"/>
      <c r="C496" s="59"/>
      <c r="D496" s="60"/>
      <c r="E496" s="59"/>
      <c r="F496" s="59"/>
      <c r="G496" s="59"/>
      <c r="H496" s="61"/>
      <c r="I496" s="61"/>
      <c r="J496" s="61"/>
      <c r="K496" s="62"/>
      <c r="L496" s="10" t="str">
        <f t="shared" si="73"/>
        <v/>
      </c>
      <c r="M496" s="10" t="str">
        <f t="shared" si="74"/>
        <v/>
      </c>
      <c r="N496" s="11" t="str">
        <f t="shared" si="77"/>
        <v/>
      </c>
      <c r="O496" s="10" t="str">
        <f t="shared" si="78"/>
        <v/>
      </c>
      <c r="P496" s="39" t="str">
        <f t="shared" si="79"/>
        <v/>
      </c>
      <c r="Q496" s="13" t="str">
        <f t="shared" si="75"/>
        <v/>
      </c>
      <c r="R496" s="13" t="str">
        <f t="shared" si="80"/>
        <v/>
      </c>
      <c r="S496" s="13" t="str">
        <f t="shared" si="76"/>
        <v/>
      </c>
      <c r="T496" s="22" t="str">
        <f>IF(R496&lt;&gt;"",VLOOKUP(P496,Constants!$D$3:$E$10,2),"")</f>
        <v/>
      </c>
    </row>
    <row r="497" spans="2:20" x14ac:dyDescent="0.25">
      <c r="B497" s="59"/>
      <c r="C497" s="59"/>
      <c r="D497" s="60"/>
      <c r="E497" s="59"/>
      <c r="F497" s="59"/>
      <c r="G497" s="59"/>
      <c r="H497" s="61"/>
      <c r="I497" s="61"/>
      <c r="J497" s="61"/>
      <c r="K497" s="62"/>
      <c r="L497" s="10" t="str">
        <f t="shared" si="73"/>
        <v/>
      </c>
      <c r="M497" s="10" t="str">
        <f t="shared" si="74"/>
        <v/>
      </c>
      <c r="N497" s="11" t="str">
        <f t="shared" si="77"/>
        <v/>
      </c>
      <c r="O497" s="10" t="str">
        <f t="shared" si="78"/>
        <v/>
      </c>
      <c r="P497" s="39" t="str">
        <f t="shared" si="79"/>
        <v/>
      </c>
      <c r="Q497" s="13" t="str">
        <f t="shared" si="75"/>
        <v/>
      </c>
      <c r="R497" s="13" t="str">
        <f t="shared" si="80"/>
        <v/>
      </c>
      <c r="S497" s="13" t="str">
        <f t="shared" si="76"/>
        <v/>
      </c>
      <c r="T497" s="22" t="str">
        <f>IF(R497&lt;&gt;"",VLOOKUP(P497,Constants!$D$3:$E$10,2),"")</f>
        <v/>
      </c>
    </row>
    <row r="498" spans="2:20" x14ac:dyDescent="0.25">
      <c r="B498" s="59"/>
      <c r="C498" s="59"/>
      <c r="D498" s="60"/>
      <c r="E498" s="59"/>
      <c r="F498" s="59"/>
      <c r="G498" s="59"/>
      <c r="H498" s="61"/>
      <c r="I498" s="61"/>
      <c r="J498" s="61"/>
      <c r="K498" s="62"/>
      <c r="L498" s="10" t="str">
        <f t="shared" si="73"/>
        <v/>
      </c>
      <c r="M498" s="10" t="str">
        <f t="shared" si="74"/>
        <v/>
      </c>
      <c r="N498" s="11" t="str">
        <f t="shared" si="77"/>
        <v/>
      </c>
      <c r="O498" s="10" t="str">
        <f t="shared" si="78"/>
        <v/>
      </c>
      <c r="P498" s="39" t="str">
        <f t="shared" si="79"/>
        <v/>
      </c>
      <c r="Q498" s="13" t="str">
        <f t="shared" si="75"/>
        <v/>
      </c>
      <c r="R498" s="13" t="str">
        <f t="shared" si="80"/>
        <v/>
      </c>
      <c r="S498" s="13" t="str">
        <f t="shared" si="76"/>
        <v/>
      </c>
      <c r="T498" s="22" t="str">
        <f>IF(R498&lt;&gt;"",VLOOKUP(P498,Constants!$D$3:$E$10,2),"")</f>
        <v/>
      </c>
    </row>
    <row r="499" spans="2:20" x14ac:dyDescent="0.25">
      <c r="B499" s="59"/>
      <c r="C499" s="59"/>
      <c r="D499" s="60"/>
      <c r="E499" s="59"/>
      <c r="F499" s="59"/>
      <c r="G499" s="59"/>
      <c r="H499" s="61"/>
      <c r="I499" s="61"/>
      <c r="J499" s="61"/>
      <c r="K499" s="62"/>
      <c r="L499" s="10" t="str">
        <f t="shared" si="73"/>
        <v/>
      </c>
      <c r="M499" s="10" t="str">
        <f t="shared" si="74"/>
        <v/>
      </c>
      <c r="N499" s="11" t="str">
        <f t="shared" si="77"/>
        <v/>
      </c>
      <c r="O499" s="10" t="str">
        <f t="shared" si="78"/>
        <v/>
      </c>
      <c r="P499" s="39" t="str">
        <f t="shared" si="79"/>
        <v/>
      </c>
      <c r="Q499" s="13" t="str">
        <f t="shared" si="75"/>
        <v/>
      </c>
      <c r="R499" s="13" t="str">
        <f t="shared" si="80"/>
        <v/>
      </c>
      <c r="S499" s="13" t="str">
        <f t="shared" si="76"/>
        <v/>
      </c>
      <c r="T499" s="22" t="str">
        <f>IF(R499&lt;&gt;"",VLOOKUP(P499,Constants!$D$3:$E$10,2),"")</f>
        <v/>
      </c>
    </row>
    <row r="500" spans="2:20" x14ac:dyDescent="0.25">
      <c r="B500" s="59"/>
      <c r="C500" s="59"/>
      <c r="D500" s="60"/>
      <c r="E500" s="59"/>
      <c r="F500" s="59"/>
      <c r="G500" s="59"/>
      <c r="H500" s="61"/>
      <c r="I500" s="61"/>
      <c r="J500" s="61"/>
      <c r="K500" s="62"/>
      <c r="L500" s="10" t="str">
        <f t="shared" si="73"/>
        <v/>
      </c>
      <c r="M500" s="10" t="str">
        <f t="shared" si="74"/>
        <v/>
      </c>
      <c r="N500" s="11" t="str">
        <f t="shared" si="77"/>
        <v/>
      </c>
      <c r="O500" s="10" t="str">
        <f t="shared" si="78"/>
        <v/>
      </c>
      <c r="P500" s="39" t="str">
        <f t="shared" si="79"/>
        <v/>
      </c>
      <c r="Q500" s="13" t="str">
        <f t="shared" si="75"/>
        <v/>
      </c>
      <c r="R500" s="13" t="str">
        <f t="shared" si="80"/>
        <v/>
      </c>
      <c r="S500" s="13" t="str">
        <f t="shared" si="76"/>
        <v/>
      </c>
      <c r="T500" s="22" t="str">
        <f>IF(R500&lt;&gt;"",VLOOKUP(P500,Constants!$D$3:$E$10,2),"")</f>
        <v/>
      </c>
    </row>
    <row r="501" spans="2:20" x14ac:dyDescent="0.25">
      <c r="B501" s="59"/>
      <c r="C501" s="59"/>
      <c r="D501" s="60"/>
      <c r="E501" s="59"/>
      <c r="F501" s="59"/>
      <c r="G501" s="59"/>
      <c r="H501" s="61"/>
      <c r="I501" s="61"/>
      <c r="J501" s="61"/>
      <c r="K501" s="62"/>
      <c r="L501" s="10" t="str">
        <f t="shared" si="73"/>
        <v/>
      </c>
      <c r="M501" s="10" t="str">
        <f t="shared" si="74"/>
        <v/>
      </c>
      <c r="N501" s="11" t="str">
        <f t="shared" si="77"/>
        <v/>
      </c>
      <c r="O501" s="10" t="str">
        <f t="shared" si="78"/>
        <v/>
      </c>
      <c r="P501" s="39" t="str">
        <f t="shared" si="79"/>
        <v/>
      </c>
      <c r="Q501" s="13" t="str">
        <f t="shared" si="75"/>
        <v/>
      </c>
      <c r="R501" s="13" t="str">
        <f t="shared" si="80"/>
        <v/>
      </c>
      <c r="S501" s="13" t="str">
        <f t="shared" si="76"/>
        <v/>
      </c>
      <c r="T501" s="22" t="str">
        <f>IF(R501&lt;&gt;"",VLOOKUP(P501,Constants!$D$3:$E$10,2),"")</f>
        <v/>
      </c>
    </row>
    <row r="502" spans="2:20" x14ac:dyDescent="0.25">
      <c r="B502" s="59"/>
      <c r="C502" s="59"/>
      <c r="D502" s="60"/>
      <c r="E502" s="59"/>
      <c r="F502" s="59"/>
      <c r="G502" s="59"/>
      <c r="H502" s="61"/>
      <c r="I502" s="61"/>
      <c r="J502" s="61"/>
      <c r="K502" s="62"/>
      <c r="L502" s="10" t="str">
        <f t="shared" si="73"/>
        <v/>
      </c>
      <c r="M502" s="10" t="str">
        <f t="shared" si="74"/>
        <v/>
      </c>
      <c r="N502" s="11" t="str">
        <f t="shared" si="77"/>
        <v/>
      </c>
      <c r="O502" s="10" t="str">
        <f t="shared" si="78"/>
        <v/>
      </c>
      <c r="P502" s="39" t="str">
        <f t="shared" si="79"/>
        <v/>
      </c>
      <c r="Q502" s="13" t="str">
        <f t="shared" si="75"/>
        <v/>
      </c>
      <c r="R502" s="13" t="str">
        <f t="shared" si="80"/>
        <v/>
      </c>
      <c r="S502" s="13" t="str">
        <f t="shared" si="76"/>
        <v/>
      </c>
      <c r="T502" s="22" t="str">
        <f>IF(R502&lt;&gt;"",VLOOKUP(P502,Constants!$D$3:$E$10,2),"")</f>
        <v/>
      </c>
    </row>
    <row r="503" spans="2:20" x14ac:dyDescent="0.25">
      <c r="B503" s="59"/>
      <c r="C503" s="59"/>
      <c r="D503" s="60"/>
      <c r="E503" s="59"/>
      <c r="F503" s="59"/>
      <c r="G503" s="59"/>
      <c r="H503" s="61"/>
      <c r="I503" s="61"/>
      <c r="J503" s="61"/>
      <c r="K503" s="62"/>
      <c r="L503" s="10" t="str">
        <f t="shared" si="73"/>
        <v/>
      </c>
      <c r="M503" s="10" t="str">
        <f t="shared" si="74"/>
        <v/>
      </c>
      <c r="N503" s="11" t="str">
        <f t="shared" si="77"/>
        <v/>
      </c>
      <c r="O503" s="10" t="str">
        <f t="shared" si="78"/>
        <v/>
      </c>
      <c r="P503" s="39" t="str">
        <f t="shared" si="79"/>
        <v/>
      </c>
      <c r="Q503" s="13" t="str">
        <f t="shared" si="75"/>
        <v/>
      </c>
      <c r="R503" s="13" t="str">
        <f t="shared" si="80"/>
        <v/>
      </c>
      <c r="S503" s="13" t="str">
        <f t="shared" si="76"/>
        <v/>
      </c>
      <c r="T503" s="22" t="str">
        <f>IF(R503&lt;&gt;"",VLOOKUP(P503,Constants!$D$3:$E$10,2),"")</f>
        <v/>
      </c>
    </row>
    <row r="504" spans="2:20" x14ac:dyDescent="0.25">
      <c r="B504" s="59"/>
      <c r="C504" s="59"/>
      <c r="D504" s="60"/>
      <c r="E504" s="59"/>
      <c r="F504" s="59"/>
      <c r="G504" s="59"/>
      <c r="H504" s="61"/>
      <c r="I504" s="61"/>
      <c r="J504" s="61"/>
      <c r="K504" s="62"/>
      <c r="L504" s="10" t="str">
        <f t="shared" si="73"/>
        <v/>
      </c>
      <c r="M504" s="10" t="str">
        <f t="shared" si="74"/>
        <v/>
      </c>
      <c r="N504" s="11" t="str">
        <f t="shared" si="77"/>
        <v/>
      </c>
      <c r="O504" s="10" t="str">
        <f t="shared" si="78"/>
        <v/>
      </c>
      <c r="P504" s="39" t="str">
        <f t="shared" si="79"/>
        <v/>
      </c>
      <c r="Q504" s="13" t="str">
        <f t="shared" si="75"/>
        <v/>
      </c>
      <c r="R504" s="13" t="str">
        <f t="shared" si="80"/>
        <v/>
      </c>
      <c r="S504" s="13" t="str">
        <f t="shared" si="76"/>
        <v/>
      </c>
      <c r="T504" s="22" t="str">
        <f>IF(R504&lt;&gt;"",VLOOKUP(P504,Constants!$D$3:$E$10,2),"")</f>
        <v/>
      </c>
    </row>
    <row r="505" spans="2:20" x14ac:dyDescent="0.25">
      <c r="B505" s="59"/>
      <c r="C505" s="59"/>
      <c r="D505" s="60"/>
      <c r="E505" s="59"/>
      <c r="F505" s="59"/>
      <c r="G505" s="59"/>
      <c r="H505" s="61"/>
      <c r="I505" s="61"/>
      <c r="J505" s="61"/>
      <c r="K505" s="62"/>
      <c r="L505" s="10" t="str">
        <f t="shared" si="73"/>
        <v/>
      </c>
      <c r="M505" s="10" t="str">
        <f t="shared" si="74"/>
        <v/>
      </c>
      <c r="N505" s="11" t="str">
        <f t="shared" si="77"/>
        <v/>
      </c>
      <c r="O505" s="10" t="str">
        <f t="shared" si="78"/>
        <v/>
      </c>
      <c r="P505" s="39" t="str">
        <f t="shared" si="79"/>
        <v/>
      </c>
      <c r="Q505" s="13" t="str">
        <f t="shared" si="75"/>
        <v/>
      </c>
      <c r="R505" s="13" t="str">
        <f t="shared" si="80"/>
        <v/>
      </c>
      <c r="S505" s="13" t="str">
        <f t="shared" si="76"/>
        <v/>
      </c>
      <c r="T505" s="22" t="str">
        <f>IF(R505&lt;&gt;"",VLOOKUP(P505,Constants!$D$3:$E$10,2),"")</f>
        <v/>
      </c>
    </row>
    <row r="506" spans="2:20" x14ac:dyDescent="0.25">
      <c r="B506" s="59"/>
      <c r="C506" s="59"/>
      <c r="D506" s="60"/>
      <c r="E506" s="59"/>
      <c r="F506" s="59"/>
      <c r="G506" s="59"/>
      <c r="H506" s="61"/>
      <c r="I506" s="61"/>
      <c r="J506" s="61"/>
      <c r="K506" s="62"/>
      <c r="L506" s="10" t="str">
        <f t="shared" si="73"/>
        <v/>
      </c>
      <c r="M506" s="10" t="str">
        <f t="shared" si="74"/>
        <v/>
      </c>
      <c r="N506" s="11" t="str">
        <f t="shared" si="77"/>
        <v/>
      </c>
      <c r="O506" s="10" t="str">
        <f t="shared" si="78"/>
        <v/>
      </c>
      <c r="P506" s="39" t="str">
        <f t="shared" si="79"/>
        <v/>
      </c>
      <c r="Q506" s="13" t="str">
        <f t="shared" si="75"/>
        <v/>
      </c>
      <c r="R506" s="13" t="str">
        <f t="shared" si="80"/>
        <v/>
      </c>
      <c r="S506" s="13" t="str">
        <f t="shared" si="76"/>
        <v/>
      </c>
      <c r="T506" s="22" t="str">
        <f>IF(R506&lt;&gt;"",VLOOKUP(P506,Constants!$D$3:$E$10,2),"")</f>
        <v/>
      </c>
    </row>
    <row r="507" spans="2:20" x14ac:dyDescent="0.25">
      <c r="B507" s="59"/>
      <c r="C507" s="59"/>
      <c r="D507" s="60"/>
      <c r="E507" s="59"/>
      <c r="F507" s="59"/>
      <c r="G507" s="59"/>
      <c r="H507" s="61"/>
      <c r="I507" s="61"/>
      <c r="J507" s="61"/>
      <c r="K507" s="62"/>
      <c r="L507" s="10" t="str">
        <f t="shared" si="73"/>
        <v/>
      </c>
      <c r="M507" s="10" t="str">
        <f t="shared" si="74"/>
        <v/>
      </c>
      <c r="N507" s="11" t="str">
        <f t="shared" si="77"/>
        <v/>
      </c>
      <c r="O507" s="10" t="str">
        <f t="shared" si="78"/>
        <v/>
      </c>
      <c r="P507" s="39" t="str">
        <f t="shared" si="79"/>
        <v/>
      </c>
      <c r="Q507" s="13" t="str">
        <f t="shared" si="75"/>
        <v/>
      </c>
      <c r="R507" s="13" t="str">
        <f t="shared" si="80"/>
        <v/>
      </c>
      <c r="S507" s="13" t="str">
        <f t="shared" si="76"/>
        <v/>
      </c>
      <c r="T507" s="22" t="str">
        <f>IF(R507&lt;&gt;"",VLOOKUP(P507,Constants!$D$3:$E$10,2),"")</f>
        <v/>
      </c>
    </row>
    <row r="508" spans="2:20" x14ac:dyDescent="0.25">
      <c r="B508" s="59"/>
      <c r="C508" s="59"/>
      <c r="D508" s="60"/>
      <c r="E508" s="59"/>
      <c r="F508" s="59"/>
      <c r="G508" s="59"/>
      <c r="H508" s="61"/>
      <c r="I508" s="61"/>
      <c r="J508" s="61"/>
      <c r="K508" s="62"/>
      <c r="L508" s="10" t="str">
        <f t="shared" si="73"/>
        <v/>
      </c>
      <c r="M508" s="10" t="str">
        <f t="shared" si="74"/>
        <v/>
      </c>
      <c r="N508" s="11" t="str">
        <f t="shared" si="77"/>
        <v/>
      </c>
      <c r="O508" s="10" t="str">
        <f t="shared" si="78"/>
        <v/>
      </c>
      <c r="P508" s="39" t="str">
        <f t="shared" si="79"/>
        <v/>
      </c>
      <c r="Q508" s="13" t="str">
        <f t="shared" si="75"/>
        <v/>
      </c>
      <c r="R508" s="13" t="str">
        <f t="shared" si="80"/>
        <v/>
      </c>
      <c r="S508" s="13" t="str">
        <f t="shared" si="76"/>
        <v/>
      </c>
      <c r="T508" s="22" t="str">
        <f>IF(R508&lt;&gt;"",VLOOKUP(P508,Constants!$D$3:$E$10,2),"")</f>
        <v/>
      </c>
    </row>
    <row r="509" spans="2:20" x14ac:dyDescent="0.25">
      <c r="B509" s="59"/>
      <c r="C509" s="59"/>
      <c r="D509" s="60"/>
      <c r="E509" s="59"/>
      <c r="F509" s="59"/>
      <c r="G509" s="59"/>
      <c r="H509" s="61"/>
      <c r="I509" s="61"/>
      <c r="J509" s="61"/>
      <c r="K509" s="62"/>
      <c r="L509" s="10" t="str">
        <f t="shared" si="73"/>
        <v/>
      </c>
      <c r="M509" s="10" t="str">
        <f t="shared" si="74"/>
        <v/>
      </c>
      <c r="N509" s="11" t="str">
        <f t="shared" si="77"/>
        <v/>
      </c>
      <c r="O509" s="10" t="str">
        <f t="shared" si="78"/>
        <v/>
      </c>
      <c r="P509" s="39" t="str">
        <f t="shared" si="79"/>
        <v/>
      </c>
      <c r="Q509" s="13" t="str">
        <f t="shared" si="75"/>
        <v/>
      </c>
      <c r="R509" s="13" t="str">
        <f t="shared" si="80"/>
        <v/>
      </c>
      <c r="S509" s="13" t="str">
        <f t="shared" si="76"/>
        <v/>
      </c>
      <c r="T509" s="22" t="str">
        <f>IF(R509&lt;&gt;"",VLOOKUP(P509,Constants!$D$3:$E$10,2),"")</f>
        <v/>
      </c>
    </row>
    <row r="510" spans="2:20" x14ac:dyDescent="0.25">
      <c r="B510" s="59"/>
      <c r="C510" s="59"/>
      <c r="D510" s="60"/>
      <c r="E510" s="59"/>
      <c r="F510" s="59"/>
      <c r="G510" s="59"/>
      <c r="H510" s="61"/>
      <c r="I510" s="61"/>
      <c r="J510" s="61"/>
      <c r="K510" s="62"/>
      <c r="L510" s="10" t="str">
        <f t="shared" si="73"/>
        <v/>
      </c>
      <c r="M510" s="10" t="str">
        <f t="shared" si="74"/>
        <v/>
      </c>
      <c r="N510" s="11" t="str">
        <f t="shared" si="77"/>
        <v/>
      </c>
      <c r="O510" s="10" t="str">
        <f t="shared" si="78"/>
        <v/>
      </c>
      <c r="P510" s="39" t="str">
        <f t="shared" si="79"/>
        <v/>
      </c>
      <c r="Q510" s="13" t="str">
        <f t="shared" si="75"/>
        <v/>
      </c>
      <c r="R510" s="13" t="str">
        <f t="shared" si="80"/>
        <v/>
      </c>
      <c r="S510" s="13" t="str">
        <f t="shared" si="76"/>
        <v/>
      </c>
      <c r="T510" s="22" t="str">
        <f>IF(R510&lt;&gt;"",VLOOKUP(P510,Constants!$D$3:$E$10,2),"")</f>
        <v/>
      </c>
    </row>
    <row r="511" spans="2:20" x14ac:dyDescent="0.25">
      <c r="B511" s="59"/>
      <c r="C511" s="59"/>
      <c r="D511" s="60"/>
      <c r="E511" s="59"/>
      <c r="F511" s="59"/>
      <c r="G511" s="59"/>
      <c r="H511" s="61"/>
      <c r="I511" s="61"/>
      <c r="J511" s="61"/>
      <c r="K511" s="62"/>
      <c r="L511" s="10" t="str">
        <f t="shared" si="73"/>
        <v/>
      </c>
      <c r="M511" s="10" t="str">
        <f t="shared" si="74"/>
        <v/>
      </c>
      <c r="N511" s="11" t="str">
        <f t="shared" si="77"/>
        <v/>
      </c>
      <c r="O511" s="10" t="str">
        <f t="shared" si="78"/>
        <v/>
      </c>
      <c r="P511" s="39" t="str">
        <f t="shared" si="79"/>
        <v/>
      </c>
      <c r="Q511" s="13" t="str">
        <f t="shared" si="75"/>
        <v/>
      </c>
      <c r="R511" s="13" t="str">
        <f t="shared" si="80"/>
        <v/>
      </c>
      <c r="S511" s="13" t="str">
        <f t="shared" si="76"/>
        <v/>
      </c>
      <c r="T511" s="22" t="str">
        <f>IF(R511&lt;&gt;"",VLOOKUP(P511,Constants!$D$3:$E$10,2),"")</f>
        <v/>
      </c>
    </row>
    <row r="512" spans="2:20" x14ac:dyDescent="0.25">
      <c r="B512" s="59"/>
      <c r="C512" s="59"/>
      <c r="D512" s="60"/>
      <c r="E512" s="59"/>
      <c r="F512" s="59"/>
      <c r="G512" s="59"/>
      <c r="H512" s="61"/>
      <c r="I512" s="61"/>
      <c r="J512" s="61"/>
      <c r="K512" s="62"/>
      <c r="L512" s="10" t="str">
        <f t="shared" si="73"/>
        <v/>
      </c>
      <c r="M512" s="10" t="str">
        <f t="shared" si="74"/>
        <v/>
      </c>
      <c r="N512" s="11" t="str">
        <f t="shared" si="77"/>
        <v/>
      </c>
      <c r="O512" s="10" t="str">
        <f t="shared" si="78"/>
        <v/>
      </c>
      <c r="P512" s="39" t="str">
        <f t="shared" si="79"/>
        <v/>
      </c>
      <c r="Q512" s="13" t="str">
        <f t="shared" si="75"/>
        <v/>
      </c>
      <c r="R512" s="13" t="str">
        <f t="shared" si="80"/>
        <v/>
      </c>
      <c r="S512" s="13" t="str">
        <f t="shared" si="76"/>
        <v/>
      </c>
      <c r="T512" s="22" t="str">
        <f>IF(R512&lt;&gt;"",VLOOKUP(P512,Constants!$D$3:$E$10,2),"")</f>
        <v/>
      </c>
    </row>
    <row r="513" spans="2:20" x14ac:dyDescent="0.25">
      <c r="B513" s="59"/>
      <c r="C513" s="59"/>
      <c r="D513" s="60"/>
      <c r="E513" s="59"/>
      <c r="F513" s="59"/>
      <c r="G513" s="59"/>
      <c r="H513" s="61"/>
      <c r="I513" s="61"/>
      <c r="J513" s="61"/>
      <c r="K513" s="62"/>
      <c r="L513" s="10" t="str">
        <f t="shared" si="73"/>
        <v/>
      </c>
      <c r="M513" s="10" t="str">
        <f t="shared" si="74"/>
        <v/>
      </c>
      <c r="N513" s="11" t="str">
        <f t="shared" si="77"/>
        <v/>
      </c>
      <c r="O513" s="10" t="str">
        <f t="shared" si="78"/>
        <v/>
      </c>
      <c r="P513" s="39" t="str">
        <f t="shared" si="79"/>
        <v/>
      </c>
      <c r="Q513" s="13" t="str">
        <f t="shared" si="75"/>
        <v/>
      </c>
      <c r="R513" s="13" t="str">
        <f t="shared" si="80"/>
        <v/>
      </c>
      <c r="S513" s="13" t="str">
        <f t="shared" si="76"/>
        <v/>
      </c>
      <c r="T513" s="22" t="str">
        <f>IF(R513&lt;&gt;"",VLOOKUP(P513,Constants!$D$3:$E$10,2),"")</f>
        <v/>
      </c>
    </row>
    <row r="514" spans="2:20" x14ac:dyDescent="0.25">
      <c r="B514" s="59"/>
      <c r="C514" s="59"/>
      <c r="D514" s="60"/>
      <c r="E514" s="59"/>
      <c r="F514" s="59"/>
      <c r="G514" s="59"/>
      <c r="H514" s="61"/>
      <c r="I514" s="61"/>
      <c r="J514" s="61"/>
      <c r="K514" s="62"/>
      <c r="L514" s="10" t="str">
        <f t="shared" si="73"/>
        <v/>
      </c>
      <c r="M514" s="10" t="str">
        <f t="shared" si="74"/>
        <v/>
      </c>
      <c r="N514" s="11" t="str">
        <f t="shared" si="77"/>
        <v/>
      </c>
      <c r="O514" s="10" t="str">
        <f t="shared" si="78"/>
        <v/>
      </c>
      <c r="P514" s="39" t="str">
        <f t="shared" si="79"/>
        <v/>
      </c>
      <c r="Q514" s="13" t="str">
        <f t="shared" si="75"/>
        <v/>
      </c>
      <c r="R514" s="13" t="str">
        <f t="shared" si="80"/>
        <v/>
      </c>
      <c r="S514" s="13" t="str">
        <f t="shared" si="76"/>
        <v/>
      </c>
      <c r="T514" s="22" t="str">
        <f>IF(R514&lt;&gt;"",VLOOKUP(P514,Constants!$D$3:$E$10,2),"")</f>
        <v/>
      </c>
    </row>
    <row r="515" spans="2:20" x14ac:dyDescent="0.25">
      <c r="B515" s="59"/>
      <c r="C515" s="59"/>
      <c r="D515" s="60"/>
      <c r="E515" s="59"/>
      <c r="F515" s="59"/>
      <c r="G515" s="59"/>
      <c r="H515" s="61"/>
      <c r="I515" s="61"/>
      <c r="J515" s="61"/>
      <c r="K515" s="62"/>
      <c r="L515" s="10" t="str">
        <f t="shared" si="73"/>
        <v/>
      </c>
      <c r="M515" s="10" t="str">
        <f t="shared" si="74"/>
        <v/>
      </c>
      <c r="N515" s="11" t="str">
        <f t="shared" si="77"/>
        <v/>
      </c>
      <c r="O515" s="10" t="str">
        <f t="shared" si="78"/>
        <v/>
      </c>
      <c r="P515" s="39" t="str">
        <f t="shared" si="79"/>
        <v/>
      </c>
      <c r="Q515" s="13" t="str">
        <f t="shared" si="75"/>
        <v/>
      </c>
      <c r="R515" s="13" t="str">
        <f t="shared" si="80"/>
        <v/>
      </c>
      <c r="S515" s="13" t="str">
        <f t="shared" si="76"/>
        <v/>
      </c>
      <c r="T515" s="22" t="str">
        <f>IF(R515&lt;&gt;"",VLOOKUP(P515,Constants!$D$3:$E$10,2),"")</f>
        <v/>
      </c>
    </row>
    <row r="516" spans="2:20" x14ac:dyDescent="0.25">
      <c r="B516" s="59"/>
      <c r="C516" s="59"/>
      <c r="D516" s="60"/>
      <c r="E516" s="59"/>
      <c r="F516" s="59"/>
      <c r="G516" s="59"/>
      <c r="H516" s="61"/>
      <c r="I516" s="61"/>
      <c r="J516" s="61"/>
      <c r="K516" s="62"/>
      <c r="L516" s="10" t="str">
        <f t="shared" si="73"/>
        <v/>
      </c>
      <c r="M516" s="10" t="str">
        <f t="shared" si="74"/>
        <v/>
      </c>
      <c r="N516" s="11" t="str">
        <f t="shared" si="77"/>
        <v/>
      </c>
      <c r="O516" s="10" t="str">
        <f t="shared" si="78"/>
        <v/>
      </c>
      <c r="P516" s="39" t="str">
        <f t="shared" si="79"/>
        <v/>
      </c>
      <c r="Q516" s="13" t="str">
        <f t="shared" si="75"/>
        <v/>
      </c>
      <c r="R516" s="13" t="str">
        <f t="shared" si="80"/>
        <v/>
      </c>
      <c r="S516" s="13" t="str">
        <f t="shared" si="76"/>
        <v/>
      </c>
      <c r="T516" s="22" t="str">
        <f>IF(R516&lt;&gt;"",VLOOKUP(P516,Constants!$D$3:$E$10,2),"")</f>
        <v/>
      </c>
    </row>
    <row r="517" spans="2:20" x14ac:dyDescent="0.25">
      <c r="B517" s="59"/>
      <c r="C517" s="59"/>
      <c r="D517" s="60"/>
      <c r="E517" s="59"/>
      <c r="F517" s="59"/>
      <c r="G517" s="59"/>
      <c r="H517" s="61"/>
      <c r="I517" s="61"/>
      <c r="J517" s="61"/>
      <c r="K517" s="62"/>
      <c r="L517" s="10" t="str">
        <f t="shared" si="73"/>
        <v/>
      </c>
      <c r="M517" s="10" t="str">
        <f t="shared" si="74"/>
        <v/>
      </c>
      <c r="N517" s="11" t="str">
        <f t="shared" si="77"/>
        <v/>
      </c>
      <c r="O517" s="10" t="str">
        <f t="shared" si="78"/>
        <v/>
      </c>
      <c r="P517" s="39" t="str">
        <f t="shared" si="79"/>
        <v/>
      </c>
      <c r="Q517" s="13" t="str">
        <f t="shared" si="75"/>
        <v/>
      </c>
      <c r="R517" s="13" t="str">
        <f t="shared" si="80"/>
        <v/>
      </c>
      <c r="S517" s="13" t="str">
        <f t="shared" si="76"/>
        <v/>
      </c>
      <c r="T517" s="22" t="str">
        <f>IF(R517&lt;&gt;"",VLOOKUP(P517,Constants!$D$3:$E$10,2),"")</f>
        <v/>
      </c>
    </row>
    <row r="518" spans="2:20" x14ac:dyDescent="0.25">
      <c r="B518" s="59"/>
      <c r="C518" s="59"/>
      <c r="D518" s="60"/>
      <c r="E518" s="59"/>
      <c r="F518" s="59"/>
      <c r="G518" s="59"/>
      <c r="H518" s="61"/>
      <c r="I518" s="61"/>
      <c r="J518" s="61"/>
      <c r="K518" s="62"/>
      <c r="L518" s="10" t="str">
        <f t="shared" si="73"/>
        <v/>
      </c>
      <c r="M518" s="10" t="str">
        <f t="shared" si="74"/>
        <v/>
      </c>
      <c r="N518" s="11" t="str">
        <f t="shared" si="77"/>
        <v/>
      </c>
      <c r="O518" s="10" t="str">
        <f t="shared" si="78"/>
        <v/>
      </c>
      <c r="P518" s="39" t="str">
        <f t="shared" si="79"/>
        <v/>
      </c>
      <c r="Q518" s="13" t="str">
        <f t="shared" si="75"/>
        <v/>
      </c>
      <c r="R518" s="13" t="str">
        <f t="shared" si="80"/>
        <v/>
      </c>
      <c r="S518" s="13" t="str">
        <f t="shared" si="76"/>
        <v/>
      </c>
      <c r="T518" s="22" t="str">
        <f>IF(R518&lt;&gt;"",VLOOKUP(P518,Constants!$D$3:$E$10,2),"")</f>
        <v/>
      </c>
    </row>
    <row r="519" spans="2:20" x14ac:dyDescent="0.25">
      <c r="B519" s="59"/>
      <c r="C519" s="59"/>
      <c r="D519" s="60"/>
      <c r="E519" s="59"/>
      <c r="F519" s="59"/>
      <c r="G519" s="59"/>
      <c r="H519" s="61"/>
      <c r="I519" s="61"/>
      <c r="J519" s="61"/>
      <c r="K519" s="62"/>
      <c r="L519" s="10" t="str">
        <f t="shared" si="73"/>
        <v/>
      </c>
      <c r="M519" s="10" t="str">
        <f t="shared" si="74"/>
        <v/>
      </c>
      <c r="N519" s="11" t="str">
        <f t="shared" si="77"/>
        <v/>
      </c>
      <c r="O519" s="10" t="str">
        <f t="shared" si="78"/>
        <v/>
      </c>
      <c r="P519" s="39" t="str">
        <f t="shared" si="79"/>
        <v/>
      </c>
      <c r="Q519" s="13" t="str">
        <f t="shared" si="75"/>
        <v/>
      </c>
      <c r="R519" s="13" t="str">
        <f t="shared" si="80"/>
        <v/>
      </c>
      <c r="S519" s="13" t="str">
        <f t="shared" si="76"/>
        <v/>
      </c>
      <c r="T519" s="22" t="str">
        <f>IF(R519&lt;&gt;"",VLOOKUP(P519,Constants!$D$3:$E$10,2),"")</f>
        <v/>
      </c>
    </row>
    <row r="520" spans="2:20" x14ac:dyDescent="0.25">
      <c r="B520" s="59"/>
      <c r="C520" s="59"/>
      <c r="D520" s="60"/>
      <c r="E520" s="59"/>
      <c r="F520" s="59"/>
      <c r="G520" s="59"/>
      <c r="H520" s="61"/>
      <c r="I520" s="61"/>
      <c r="J520" s="61"/>
      <c r="K520" s="62"/>
      <c r="L520" s="10" t="str">
        <f t="shared" ref="L520:L583" si="81">IF($D520&lt;&gt;"",$D520*$E520/1000,"")</f>
        <v/>
      </c>
      <c r="M520" s="10" t="str">
        <f t="shared" ref="M520:M583" si="82">IF($D520&lt;&gt;"",$D520*$F520/1000,"")</f>
        <v/>
      </c>
      <c r="N520" s="11" t="str">
        <f t="shared" si="77"/>
        <v/>
      </c>
      <c r="O520" s="10" t="str">
        <f t="shared" si="78"/>
        <v/>
      </c>
      <c r="P520" s="39" t="str">
        <f t="shared" si="79"/>
        <v/>
      </c>
      <c r="Q520" s="13" t="str">
        <f t="shared" ref="Q520:Q583" si="83">IF(F520&lt;&gt;"",F520*E520/1000,"")</f>
        <v/>
      </c>
      <c r="R520" s="13" t="str">
        <f t="shared" si="80"/>
        <v/>
      </c>
      <c r="S520" s="13" t="str">
        <f t="shared" ref="S520:S583" si="84">IF(R520&lt;&gt;"",Q520/R520*1000,"")</f>
        <v/>
      </c>
      <c r="T520" s="22" t="str">
        <f>IF(R520&lt;&gt;"",VLOOKUP(P520,Constants!$D$3:$E$10,2),"")</f>
        <v/>
      </c>
    </row>
    <row r="521" spans="2:20" x14ac:dyDescent="0.25">
      <c r="B521" s="59"/>
      <c r="C521" s="59"/>
      <c r="D521" s="60"/>
      <c r="E521" s="59"/>
      <c r="F521" s="59"/>
      <c r="G521" s="59"/>
      <c r="H521" s="61"/>
      <c r="I521" s="61"/>
      <c r="J521" s="61"/>
      <c r="K521" s="62"/>
      <c r="L521" s="10" t="str">
        <f t="shared" si="81"/>
        <v/>
      </c>
      <c r="M521" s="10" t="str">
        <f t="shared" si="82"/>
        <v/>
      </c>
      <c r="N521" s="11" t="str">
        <f t="shared" si="77"/>
        <v/>
      </c>
      <c r="O521" s="10" t="str">
        <f t="shared" si="78"/>
        <v/>
      </c>
      <c r="P521" s="39" t="str">
        <f t="shared" si="79"/>
        <v/>
      </c>
      <c r="Q521" s="13" t="str">
        <f t="shared" si="83"/>
        <v/>
      </c>
      <c r="R521" s="13" t="str">
        <f t="shared" si="80"/>
        <v/>
      </c>
      <c r="S521" s="13" t="str">
        <f t="shared" si="84"/>
        <v/>
      </c>
      <c r="T521" s="22" t="str">
        <f>IF(R521&lt;&gt;"",VLOOKUP(P521,Constants!$D$3:$E$10,2),"")</f>
        <v/>
      </c>
    </row>
    <row r="522" spans="2:20" x14ac:dyDescent="0.25">
      <c r="B522" s="59"/>
      <c r="C522" s="59"/>
      <c r="D522" s="60"/>
      <c r="E522" s="59"/>
      <c r="F522" s="59"/>
      <c r="G522" s="59"/>
      <c r="H522" s="61"/>
      <c r="I522" s="61"/>
      <c r="J522" s="61"/>
      <c r="K522" s="62"/>
      <c r="L522" s="10" t="str">
        <f t="shared" si="81"/>
        <v/>
      </c>
      <c r="M522" s="10" t="str">
        <f t="shared" si="82"/>
        <v/>
      </c>
      <c r="N522" s="11" t="str">
        <f t="shared" si="77"/>
        <v/>
      </c>
      <c r="O522" s="10" t="str">
        <f t="shared" si="78"/>
        <v/>
      </c>
      <c r="P522" s="39" t="str">
        <f t="shared" si="79"/>
        <v/>
      </c>
      <c r="Q522" s="13" t="str">
        <f t="shared" si="83"/>
        <v/>
      </c>
      <c r="R522" s="13" t="str">
        <f t="shared" si="80"/>
        <v/>
      </c>
      <c r="S522" s="13" t="str">
        <f t="shared" si="84"/>
        <v/>
      </c>
      <c r="T522" s="22" t="str">
        <f>IF(R522&lt;&gt;"",VLOOKUP(P522,Constants!$D$3:$E$10,2),"")</f>
        <v/>
      </c>
    </row>
    <row r="523" spans="2:20" x14ac:dyDescent="0.25">
      <c r="B523" s="59"/>
      <c r="C523" s="59"/>
      <c r="D523" s="60"/>
      <c r="E523" s="59"/>
      <c r="F523" s="59"/>
      <c r="G523" s="59"/>
      <c r="H523" s="61"/>
      <c r="I523" s="61"/>
      <c r="J523" s="61"/>
      <c r="K523" s="62"/>
      <c r="L523" s="10" t="str">
        <f t="shared" si="81"/>
        <v/>
      </c>
      <c r="M523" s="10" t="str">
        <f t="shared" si="82"/>
        <v/>
      </c>
      <c r="N523" s="11" t="str">
        <f t="shared" si="77"/>
        <v/>
      </c>
      <c r="O523" s="10" t="str">
        <f t="shared" si="78"/>
        <v/>
      </c>
      <c r="P523" s="39" t="str">
        <f t="shared" si="79"/>
        <v/>
      </c>
      <c r="Q523" s="13" t="str">
        <f t="shared" si="83"/>
        <v/>
      </c>
      <c r="R523" s="13" t="str">
        <f t="shared" si="80"/>
        <v/>
      </c>
      <c r="S523" s="13" t="str">
        <f t="shared" si="84"/>
        <v/>
      </c>
      <c r="T523" s="22" t="str">
        <f>IF(R523&lt;&gt;"",VLOOKUP(P523,Constants!$D$3:$E$10,2),"")</f>
        <v/>
      </c>
    </row>
    <row r="524" spans="2:20" x14ac:dyDescent="0.25">
      <c r="B524" s="59"/>
      <c r="C524" s="59"/>
      <c r="D524" s="60"/>
      <c r="E524" s="59"/>
      <c r="F524" s="59"/>
      <c r="G524" s="59"/>
      <c r="H524" s="61"/>
      <c r="I524" s="61"/>
      <c r="J524" s="61"/>
      <c r="K524" s="62"/>
      <c r="L524" s="10" t="str">
        <f t="shared" si="81"/>
        <v/>
      </c>
      <c r="M524" s="10" t="str">
        <f t="shared" si="82"/>
        <v/>
      </c>
      <c r="N524" s="11" t="str">
        <f t="shared" si="77"/>
        <v/>
      </c>
      <c r="O524" s="10" t="str">
        <f t="shared" si="78"/>
        <v/>
      </c>
      <c r="P524" s="39" t="str">
        <f t="shared" si="79"/>
        <v/>
      </c>
      <c r="Q524" s="13" t="str">
        <f t="shared" si="83"/>
        <v/>
      </c>
      <c r="R524" s="13" t="str">
        <f t="shared" si="80"/>
        <v/>
      </c>
      <c r="S524" s="13" t="str">
        <f t="shared" si="84"/>
        <v/>
      </c>
      <c r="T524" s="22" t="str">
        <f>IF(R524&lt;&gt;"",VLOOKUP(P524,Constants!$D$3:$E$10,2),"")</f>
        <v/>
      </c>
    </row>
    <row r="525" spans="2:20" x14ac:dyDescent="0.25">
      <c r="B525" s="59"/>
      <c r="C525" s="59"/>
      <c r="D525" s="60"/>
      <c r="E525" s="59"/>
      <c r="F525" s="59"/>
      <c r="G525" s="59"/>
      <c r="H525" s="61"/>
      <c r="I525" s="61"/>
      <c r="J525" s="61"/>
      <c r="K525" s="62"/>
      <c r="L525" s="10" t="str">
        <f t="shared" si="81"/>
        <v/>
      </c>
      <c r="M525" s="10" t="str">
        <f t="shared" si="82"/>
        <v/>
      </c>
      <c r="N525" s="11" t="str">
        <f t="shared" si="77"/>
        <v/>
      </c>
      <c r="O525" s="10" t="str">
        <f t="shared" si="78"/>
        <v/>
      </c>
      <c r="P525" s="39" t="str">
        <f t="shared" si="79"/>
        <v/>
      </c>
      <c r="Q525" s="13" t="str">
        <f t="shared" si="83"/>
        <v/>
      </c>
      <c r="R525" s="13" t="str">
        <f t="shared" si="80"/>
        <v/>
      </c>
      <c r="S525" s="13" t="str">
        <f t="shared" si="84"/>
        <v/>
      </c>
      <c r="T525" s="22" t="str">
        <f>IF(R525&lt;&gt;"",VLOOKUP(P525,Constants!$D$3:$E$10,2),"")</f>
        <v/>
      </c>
    </row>
    <row r="526" spans="2:20" x14ac:dyDescent="0.25">
      <c r="B526" s="59"/>
      <c r="C526" s="59"/>
      <c r="D526" s="60"/>
      <c r="E526" s="59"/>
      <c r="F526" s="59"/>
      <c r="G526" s="59"/>
      <c r="H526" s="61"/>
      <c r="I526" s="61"/>
      <c r="J526" s="61"/>
      <c r="K526" s="62"/>
      <c r="L526" s="10" t="str">
        <f t="shared" si="81"/>
        <v/>
      </c>
      <c r="M526" s="10" t="str">
        <f t="shared" si="82"/>
        <v/>
      </c>
      <c r="N526" s="11" t="str">
        <f t="shared" si="77"/>
        <v/>
      </c>
      <c r="O526" s="10" t="str">
        <f t="shared" si="78"/>
        <v/>
      </c>
      <c r="P526" s="39" t="str">
        <f t="shared" si="79"/>
        <v/>
      </c>
      <c r="Q526" s="13" t="str">
        <f t="shared" si="83"/>
        <v/>
      </c>
      <c r="R526" s="13" t="str">
        <f t="shared" si="80"/>
        <v/>
      </c>
      <c r="S526" s="13" t="str">
        <f t="shared" si="84"/>
        <v/>
      </c>
      <c r="T526" s="22" t="str">
        <f>IF(R526&lt;&gt;"",VLOOKUP(P526,Constants!$D$3:$E$10,2),"")</f>
        <v/>
      </c>
    </row>
    <row r="527" spans="2:20" x14ac:dyDescent="0.25">
      <c r="B527" s="59"/>
      <c r="C527" s="59"/>
      <c r="D527" s="60"/>
      <c r="E527" s="59"/>
      <c r="F527" s="59"/>
      <c r="G527" s="59"/>
      <c r="H527" s="61"/>
      <c r="I527" s="61"/>
      <c r="J527" s="61"/>
      <c r="K527" s="62"/>
      <c r="L527" s="10" t="str">
        <f t="shared" si="81"/>
        <v/>
      </c>
      <c r="M527" s="10" t="str">
        <f t="shared" si="82"/>
        <v/>
      </c>
      <c r="N527" s="11" t="str">
        <f t="shared" si="77"/>
        <v/>
      </c>
      <c r="O527" s="10" t="str">
        <f t="shared" si="78"/>
        <v/>
      </c>
      <c r="P527" s="39" t="str">
        <f t="shared" si="79"/>
        <v/>
      </c>
      <c r="Q527" s="13" t="str">
        <f t="shared" si="83"/>
        <v/>
      </c>
      <c r="R527" s="13" t="str">
        <f t="shared" si="80"/>
        <v/>
      </c>
      <c r="S527" s="13" t="str">
        <f t="shared" si="84"/>
        <v/>
      </c>
      <c r="T527" s="22" t="str">
        <f>IF(R527&lt;&gt;"",VLOOKUP(P527,Constants!$D$3:$E$10,2),"")</f>
        <v/>
      </c>
    </row>
    <row r="528" spans="2:20" x14ac:dyDescent="0.25">
      <c r="B528" s="59"/>
      <c r="C528" s="59"/>
      <c r="D528" s="60"/>
      <c r="E528" s="59"/>
      <c r="F528" s="59"/>
      <c r="G528" s="59"/>
      <c r="H528" s="61"/>
      <c r="I528" s="61"/>
      <c r="J528" s="61"/>
      <c r="K528" s="62"/>
      <c r="L528" s="10" t="str">
        <f t="shared" si="81"/>
        <v/>
      </c>
      <c r="M528" s="10" t="str">
        <f t="shared" si="82"/>
        <v/>
      </c>
      <c r="N528" s="11" t="str">
        <f t="shared" ref="N528:N591" si="85">IF($L528&lt;&gt;"",SQRT($L528*$L528+$M528*$M528),"")</f>
        <v/>
      </c>
      <c r="O528" s="10" t="str">
        <f t="shared" si="78"/>
        <v/>
      </c>
      <c r="P528" s="39" t="str">
        <f t="shared" si="79"/>
        <v/>
      </c>
      <c r="Q528" s="13" t="str">
        <f t="shared" si="83"/>
        <v/>
      </c>
      <c r="R528" s="13" t="str">
        <f t="shared" si="80"/>
        <v/>
      </c>
      <c r="S528" s="13" t="str">
        <f t="shared" si="84"/>
        <v/>
      </c>
      <c r="T528" s="22" t="str">
        <f>IF(R528&lt;&gt;"",VLOOKUP(P528,Constants!$D$3:$E$10,2),"")</f>
        <v/>
      </c>
    </row>
    <row r="529" spans="2:20" x14ac:dyDescent="0.25">
      <c r="B529" s="59"/>
      <c r="C529" s="59"/>
      <c r="D529" s="60"/>
      <c r="E529" s="59"/>
      <c r="F529" s="59"/>
      <c r="G529" s="59"/>
      <c r="H529" s="61"/>
      <c r="I529" s="61"/>
      <c r="J529" s="61"/>
      <c r="K529" s="62"/>
      <c r="L529" s="10" t="str">
        <f t="shared" si="81"/>
        <v/>
      </c>
      <c r="M529" s="10" t="str">
        <f t="shared" si="82"/>
        <v/>
      </c>
      <c r="N529" s="11" t="str">
        <f t="shared" si="85"/>
        <v/>
      </c>
      <c r="O529" s="10" t="str">
        <f t="shared" si="78"/>
        <v/>
      </c>
      <c r="P529" s="39" t="str">
        <f t="shared" si="79"/>
        <v/>
      </c>
      <c r="Q529" s="13" t="str">
        <f t="shared" si="83"/>
        <v/>
      </c>
      <c r="R529" s="13" t="str">
        <f t="shared" si="80"/>
        <v/>
      </c>
      <c r="S529" s="13" t="str">
        <f t="shared" si="84"/>
        <v/>
      </c>
      <c r="T529" s="22" t="str">
        <f>IF(R529&lt;&gt;"",VLOOKUP(P529,Constants!$D$3:$E$10,2),"")</f>
        <v/>
      </c>
    </row>
    <row r="530" spans="2:20" x14ac:dyDescent="0.25">
      <c r="B530" s="59"/>
      <c r="C530" s="59"/>
      <c r="D530" s="60"/>
      <c r="E530" s="59"/>
      <c r="F530" s="59"/>
      <c r="G530" s="59"/>
      <c r="H530" s="61"/>
      <c r="I530" s="61"/>
      <c r="J530" s="61"/>
      <c r="K530" s="62"/>
      <c r="L530" s="10" t="str">
        <f t="shared" si="81"/>
        <v/>
      </c>
      <c r="M530" s="10" t="str">
        <f t="shared" si="82"/>
        <v/>
      </c>
      <c r="N530" s="11" t="str">
        <f t="shared" si="85"/>
        <v/>
      </c>
      <c r="O530" s="10" t="str">
        <f t="shared" si="78"/>
        <v/>
      </c>
      <c r="P530" s="39" t="str">
        <f t="shared" si="79"/>
        <v/>
      </c>
      <c r="Q530" s="13" t="str">
        <f t="shared" si="83"/>
        <v/>
      </c>
      <c r="R530" s="13" t="str">
        <f t="shared" si="80"/>
        <v/>
      </c>
      <c r="S530" s="13" t="str">
        <f t="shared" si="84"/>
        <v/>
      </c>
      <c r="T530" s="22" t="str">
        <f>IF(R530&lt;&gt;"",VLOOKUP(P530,Constants!$D$3:$E$10,2),"")</f>
        <v/>
      </c>
    </row>
    <row r="531" spans="2:20" x14ac:dyDescent="0.25">
      <c r="B531" s="59"/>
      <c r="C531" s="59"/>
      <c r="D531" s="60"/>
      <c r="E531" s="59"/>
      <c r="F531" s="59"/>
      <c r="G531" s="59"/>
      <c r="H531" s="61"/>
      <c r="I531" s="61"/>
      <c r="J531" s="61"/>
      <c r="K531" s="62"/>
      <c r="L531" s="10" t="str">
        <f t="shared" si="81"/>
        <v/>
      </c>
      <c r="M531" s="10" t="str">
        <f t="shared" si="82"/>
        <v/>
      </c>
      <c r="N531" s="11" t="str">
        <f t="shared" si="85"/>
        <v/>
      </c>
      <c r="O531" s="10" t="str">
        <f t="shared" si="78"/>
        <v/>
      </c>
      <c r="P531" s="39" t="str">
        <f t="shared" si="79"/>
        <v/>
      </c>
      <c r="Q531" s="13" t="str">
        <f t="shared" si="83"/>
        <v/>
      </c>
      <c r="R531" s="13" t="str">
        <f t="shared" si="80"/>
        <v/>
      </c>
      <c r="S531" s="13" t="str">
        <f t="shared" si="84"/>
        <v/>
      </c>
      <c r="T531" s="22" t="str">
        <f>IF(R531&lt;&gt;"",VLOOKUP(P531,Constants!$D$3:$E$10,2),"")</f>
        <v/>
      </c>
    </row>
    <row r="532" spans="2:20" x14ac:dyDescent="0.25">
      <c r="B532" s="59"/>
      <c r="C532" s="59"/>
      <c r="D532" s="60"/>
      <c r="E532" s="59"/>
      <c r="F532" s="59"/>
      <c r="G532" s="59"/>
      <c r="H532" s="61"/>
      <c r="I532" s="61"/>
      <c r="J532" s="61"/>
      <c r="K532" s="62"/>
      <c r="L532" s="10" t="str">
        <f t="shared" si="81"/>
        <v/>
      </c>
      <c r="M532" s="10" t="str">
        <f t="shared" si="82"/>
        <v/>
      </c>
      <c r="N532" s="11" t="str">
        <f t="shared" si="85"/>
        <v/>
      </c>
      <c r="O532" s="10" t="str">
        <f t="shared" si="78"/>
        <v/>
      </c>
      <c r="P532" s="39" t="str">
        <f t="shared" si="79"/>
        <v/>
      </c>
      <c r="Q532" s="13" t="str">
        <f t="shared" si="83"/>
        <v/>
      </c>
      <c r="R532" s="13" t="str">
        <f t="shared" si="80"/>
        <v/>
      </c>
      <c r="S532" s="13" t="str">
        <f t="shared" si="84"/>
        <v/>
      </c>
      <c r="T532" s="22" t="str">
        <f>IF(R532&lt;&gt;"",VLOOKUP(P532,Constants!$D$3:$E$10,2),"")</f>
        <v/>
      </c>
    </row>
    <row r="533" spans="2:20" x14ac:dyDescent="0.25">
      <c r="B533" s="59"/>
      <c r="C533" s="59"/>
      <c r="D533" s="60"/>
      <c r="E533" s="59"/>
      <c r="F533" s="59"/>
      <c r="G533" s="59"/>
      <c r="H533" s="61"/>
      <c r="I533" s="61"/>
      <c r="J533" s="61"/>
      <c r="K533" s="62"/>
      <c r="L533" s="10" t="str">
        <f t="shared" si="81"/>
        <v/>
      </c>
      <c r="M533" s="10" t="str">
        <f t="shared" si="82"/>
        <v/>
      </c>
      <c r="N533" s="11" t="str">
        <f t="shared" si="85"/>
        <v/>
      </c>
      <c r="O533" s="10" t="str">
        <f t="shared" si="78"/>
        <v/>
      </c>
      <c r="P533" s="39" t="str">
        <f t="shared" si="79"/>
        <v/>
      </c>
      <c r="Q533" s="13" t="str">
        <f t="shared" si="83"/>
        <v/>
      </c>
      <c r="R533" s="13" t="str">
        <f t="shared" si="80"/>
        <v/>
      </c>
      <c r="S533" s="13" t="str">
        <f t="shared" si="84"/>
        <v/>
      </c>
      <c r="T533" s="22" t="str">
        <f>IF(R533&lt;&gt;"",VLOOKUP(P533,Constants!$D$3:$E$10,2),"")</f>
        <v/>
      </c>
    </row>
    <row r="534" spans="2:20" x14ac:dyDescent="0.25">
      <c r="B534" s="59"/>
      <c r="C534" s="59"/>
      <c r="D534" s="60"/>
      <c r="E534" s="59"/>
      <c r="F534" s="59"/>
      <c r="G534" s="59"/>
      <c r="H534" s="61"/>
      <c r="I534" s="61"/>
      <c r="J534" s="61"/>
      <c r="K534" s="62"/>
      <c r="L534" s="10" t="str">
        <f t="shared" si="81"/>
        <v/>
      </c>
      <c r="M534" s="10" t="str">
        <f t="shared" si="82"/>
        <v/>
      </c>
      <c r="N534" s="11" t="str">
        <f t="shared" si="85"/>
        <v/>
      </c>
      <c r="O534" s="10" t="str">
        <f t="shared" si="78"/>
        <v/>
      </c>
      <c r="P534" s="39" t="str">
        <f t="shared" si="79"/>
        <v/>
      </c>
      <c r="Q534" s="13" t="str">
        <f t="shared" si="83"/>
        <v/>
      </c>
      <c r="R534" s="13" t="str">
        <f t="shared" si="80"/>
        <v/>
      </c>
      <c r="S534" s="13" t="str">
        <f t="shared" si="84"/>
        <v/>
      </c>
      <c r="T534" s="22" t="str">
        <f>IF(R534&lt;&gt;"",VLOOKUP(P534,Constants!$D$3:$E$10,2),"")</f>
        <v/>
      </c>
    </row>
    <row r="535" spans="2:20" x14ac:dyDescent="0.25">
      <c r="B535" s="59"/>
      <c r="C535" s="59"/>
      <c r="D535" s="60"/>
      <c r="E535" s="59"/>
      <c r="F535" s="59"/>
      <c r="G535" s="59"/>
      <c r="H535" s="61"/>
      <c r="I535" s="61"/>
      <c r="J535" s="61"/>
      <c r="K535" s="62"/>
      <c r="L535" s="10" t="str">
        <f t="shared" si="81"/>
        <v/>
      </c>
      <c r="M535" s="10" t="str">
        <f t="shared" si="82"/>
        <v/>
      </c>
      <c r="N535" s="11" t="str">
        <f t="shared" si="85"/>
        <v/>
      </c>
      <c r="O535" s="10" t="str">
        <f t="shared" ref="O535:O598" si="86">IF(D535&lt;&gt;"",1000/(2*D535),"")</f>
        <v/>
      </c>
      <c r="P535" s="39" t="str">
        <f t="shared" ref="P535:P598" si="87">IF($N535&lt;&gt;"",D535*SQRT(E535*E535+F535*F535)/16000,"")</f>
        <v/>
      </c>
      <c r="Q535" s="13" t="str">
        <f t="shared" si="83"/>
        <v/>
      </c>
      <c r="R535" s="13" t="str">
        <f t="shared" ref="R535:R598" si="88">IF(G535&lt;&gt;"",1000/G535,"")</f>
        <v/>
      </c>
      <c r="S535" s="13" t="str">
        <f t="shared" si="84"/>
        <v/>
      </c>
      <c r="T535" s="22" t="str">
        <f>IF(R535&lt;&gt;"",VLOOKUP(P535,Constants!$D$3:$E$10,2),"")</f>
        <v/>
      </c>
    </row>
    <row r="536" spans="2:20" x14ac:dyDescent="0.25">
      <c r="B536" s="59"/>
      <c r="C536" s="59"/>
      <c r="D536" s="60"/>
      <c r="E536" s="59"/>
      <c r="F536" s="59"/>
      <c r="G536" s="59"/>
      <c r="H536" s="61"/>
      <c r="I536" s="61"/>
      <c r="J536" s="61"/>
      <c r="K536" s="62"/>
      <c r="L536" s="10" t="str">
        <f t="shared" si="81"/>
        <v/>
      </c>
      <c r="M536" s="10" t="str">
        <f t="shared" si="82"/>
        <v/>
      </c>
      <c r="N536" s="11" t="str">
        <f t="shared" si="85"/>
        <v/>
      </c>
      <c r="O536" s="10" t="str">
        <f t="shared" si="86"/>
        <v/>
      </c>
      <c r="P536" s="39" t="str">
        <f t="shared" si="87"/>
        <v/>
      </c>
      <c r="Q536" s="13" t="str">
        <f t="shared" si="83"/>
        <v/>
      </c>
      <c r="R536" s="13" t="str">
        <f t="shared" si="88"/>
        <v/>
      </c>
      <c r="S536" s="13" t="str">
        <f t="shared" si="84"/>
        <v/>
      </c>
      <c r="T536" s="22" t="str">
        <f>IF(R536&lt;&gt;"",VLOOKUP(P536,Constants!$D$3:$E$10,2),"")</f>
        <v/>
      </c>
    </row>
    <row r="537" spans="2:20" x14ac:dyDescent="0.25">
      <c r="B537" s="59"/>
      <c r="C537" s="59"/>
      <c r="D537" s="60"/>
      <c r="E537" s="59"/>
      <c r="F537" s="59"/>
      <c r="G537" s="59"/>
      <c r="H537" s="61"/>
      <c r="I537" s="61"/>
      <c r="J537" s="61"/>
      <c r="K537" s="62"/>
      <c r="L537" s="10" t="str">
        <f t="shared" si="81"/>
        <v/>
      </c>
      <c r="M537" s="10" t="str">
        <f t="shared" si="82"/>
        <v/>
      </c>
      <c r="N537" s="11" t="str">
        <f t="shared" si="85"/>
        <v/>
      </c>
      <c r="O537" s="10" t="str">
        <f t="shared" si="86"/>
        <v/>
      </c>
      <c r="P537" s="39" t="str">
        <f t="shared" si="87"/>
        <v/>
      </c>
      <c r="Q537" s="13" t="str">
        <f t="shared" si="83"/>
        <v/>
      </c>
      <c r="R537" s="13" t="str">
        <f t="shared" si="88"/>
        <v/>
      </c>
      <c r="S537" s="13" t="str">
        <f t="shared" si="84"/>
        <v/>
      </c>
      <c r="T537" s="22" t="str">
        <f>IF(R537&lt;&gt;"",VLOOKUP(P537,Constants!$D$3:$E$10,2),"")</f>
        <v/>
      </c>
    </row>
    <row r="538" spans="2:20" x14ac:dyDescent="0.25">
      <c r="B538" s="59"/>
      <c r="C538" s="59"/>
      <c r="D538" s="60"/>
      <c r="E538" s="59"/>
      <c r="F538" s="59"/>
      <c r="G538" s="59"/>
      <c r="H538" s="61"/>
      <c r="I538" s="61"/>
      <c r="J538" s="61"/>
      <c r="K538" s="62"/>
      <c r="L538" s="10" t="str">
        <f t="shared" si="81"/>
        <v/>
      </c>
      <c r="M538" s="10" t="str">
        <f t="shared" si="82"/>
        <v/>
      </c>
      <c r="N538" s="11" t="str">
        <f t="shared" si="85"/>
        <v/>
      </c>
      <c r="O538" s="10" t="str">
        <f t="shared" si="86"/>
        <v/>
      </c>
      <c r="P538" s="39" t="str">
        <f t="shared" si="87"/>
        <v/>
      </c>
      <c r="Q538" s="13" t="str">
        <f t="shared" si="83"/>
        <v/>
      </c>
      <c r="R538" s="13" t="str">
        <f t="shared" si="88"/>
        <v/>
      </c>
      <c r="S538" s="13" t="str">
        <f t="shared" si="84"/>
        <v/>
      </c>
      <c r="T538" s="22" t="str">
        <f>IF(R538&lt;&gt;"",VLOOKUP(P538,Constants!$D$3:$E$10,2),"")</f>
        <v/>
      </c>
    </row>
    <row r="539" spans="2:20" x14ac:dyDescent="0.25">
      <c r="B539" s="59"/>
      <c r="C539" s="59"/>
      <c r="D539" s="60"/>
      <c r="E539" s="59"/>
      <c r="F539" s="59"/>
      <c r="G539" s="59"/>
      <c r="H539" s="61"/>
      <c r="I539" s="61"/>
      <c r="J539" s="61"/>
      <c r="K539" s="62"/>
      <c r="L539" s="10" t="str">
        <f t="shared" si="81"/>
        <v/>
      </c>
      <c r="M539" s="10" t="str">
        <f t="shared" si="82"/>
        <v/>
      </c>
      <c r="N539" s="11" t="str">
        <f t="shared" si="85"/>
        <v/>
      </c>
      <c r="O539" s="10" t="str">
        <f t="shared" si="86"/>
        <v/>
      </c>
      <c r="P539" s="39" t="str">
        <f t="shared" si="87"/>
        <v/>
      </c>
      <c r="Q539" s="13" t="str">
        <f t="shared" si="83"/>
        <v/>
      </c>
      <c r="R539" s="13" t="str">
        <f t="shared" si="88"/>
        <v/>
      </c>
      <c r="S539" s="13" t="str">
        <f t="shared" si="84"/>
        <v/>
      </c>
      <c r="T539" s="22" t="str">
        <f>IF(R539&lt;&gt;"",VLOOKUP(P539,Constants!$D$3:$E$10,2),"")</f>
        <v/>
      </c>
    </row>
    <row r="540" spans="2:20" x14ac:dyDescent="0.25">
      <c r="B540" s="59"/>
      <c r="C540" s="59"/>
      <c r="D540" s="60"/>
      <c r="E540" s="59"/>
      <c r="F540" s="59"/>
      <c r="G540" s="59"/>
      <c r="H540" s="61"/>
      <c r="I540" s="61"/>
      <c r="J540" s="61"/>
      <c r="K540" s="62"/>
      <c r="L540" s="10" t="str">
        <f t="shared" si="81"/>
        <v/>
      </c>
      <c r="M540" s="10" t="str">
        <f t="shared" si="82"/>
        <v/>
      </c>
      <c r="N540" s="11" t="str">
        <f t="shared" si="85"/>
        <v/>
      </c>
      <c r="O540" s="10" t="str">
        <f t="shared" si="86"/>
        <v/>
      </c>
      <c r="P540" s="39" t="str">
        <f t="shared" si="87"/>
        <v/>
      </c>
      <c r="Q540" s="13" t="str">
        <f t="shared" si="83"/>
        <v/>
      </c>
      <c r="R540" s="13" t="str">
        <f t="shared" si="88"/>
        <v/>
      </c>
      <c r="S540" s="13" t="str">
        <f t="shared" si="84"/>
        <v/>
      </c>
      <c r="T540" s="22" t="str">
        <f>IF(R540&lt;&gt;"",VLOOKUP(P540,Constants!$D$3:$E$10,2),"")</f>
        <v/>
      </c>
    </row>
    <row r="541" spans="2:20" x14ac:dyDescent="0.25">
      <c r="B541" s="59"/>
      <c r="C541" s="59"/>
      <c r="D541" s="60"/>
      <c r="E541" s="59"/>
      <c r="F541" s="59"/>
      <c r="G541" s="59"/>
      <c r="H541" s="61"/>
      <c r="I541" s="61"/>
      <c r="J541" s="61"/>
      <c r="K541" s="62"/>
      <c r="L541" s="10" t="str">
        <f t="shared" si="81"/>
        <v/>
      </c>
      <c r="M541" s="10" t="str">
        <f t="shared" si="82"/>
        <v/>
      </c>
      <c r="N541" s="11" t="str">
        <f t="shared" si="85"/>
        <v/>
      </c>
      <c r="O541" s="10" t="str">
        <f t="shared" si="86"/>
        <v/>
      </c>
      <c r="P541" s="39" t="str">
        <f t="shared" si="87"/>
        <v/>
      </c>
      <c r="Q541" s="13" t="str">
        <f t="shared" si="83"/>
        <v/>
      </c>
      <c r="R541" s="13" t="str">
        <f t="shared" si="88"/>
        <v/>
      </c>
      <c r="S541" s="13" t="str">
        <f t="shared" si="84"/>
        <v/>
      </c>
      <c r="T541" s="22" t="str">
        <f>IF(R541&lt;&gt;"",VLOOKUP(P541,Constants!$D$3:$E$10,2),"")</f>
        <v/>
      </c>
    </row>
    <row r="542" spans="2:20" x14ac:dyDescent="0.25">
      <c r="B542" s="59"/>
      <c r="C542" s="59"/>
      <c r="D542" s="60"/>
      <c r="E542" s="59"/>
      <c r="F542" s="59"/>
      <c r="G542" s="59"/>
      <c r="H542" s="61"/>
      <c r="I542" s="61"/>
      <c r="J542" s="61"/>
      <c r="K542" s="62"/>
      <c r="L542" s="10" t="str">
        <f t="shared" si="81"/>
        <v/>
      </c>
      <c r="M542" s="10" t="str">
        <f t="shared" si="82"/>
        <v/>
      </c>
      <c r="N542" s="11" t="str">
        <f t="shared" si="85"/>
        <v/>
      </c>
      <c r="O542" s="10" t="str">
        <f t="shared" si="86"/>
        <v/>
      </c>
      <c r="P542" s="39" t="str">
        <f t="shared" si="87"/>
        <v/>
      </c>
      <c r="Q542" s="13" t="str">
        <f t="shared" si="83"/>
        <v/>
      </c>
      <c r="R542" s="13" t="str">
        <f t="shared" si="88"/>
        <v/>
      </c>
      <c r="S542" s="13" t="str">
        <f t="shared" si="84"/>
        <v/>
      </c>
      <c r="T542" s="22" t="str">
        <f>IF(R542&lt;&gt;"",VLOOKUP(P542,Constants!$D$3:$E$10,2),"")</f>
        <v/>
      </c>
    </row>
    <row r="543" spans="2:20" x14ac:dyDescent="0.25">
      <c r="B543" s="59"/>
      <c r="C543" s="59"/>
      <c r="D543" s="60"/>
      <c r="E543" s="59"/>
      <c r="F543" s="59"/>
      <c r="G543" s="59"/>
      <c r="H543" s="61"/>
      <c r="I543" s="61"/>
      <c r="J543" s="61"/>
      <c r="K543" s="62"/>
      <c r="L543" s="10" t="str">
        <f t="shared" si="81"/>
        <v/>
      </c>
      <c r="M543" s="10" t="str">
        <f t="shared" si="82"/>
        <v/>
      </c>
      <c r="N543" s="11" t="str">
        <f t="shared" si="85"/>
        <v/>
      </c>
      <c r="O543" s="10" t="str">
        <f t="shared" si="86"/>
        <v/>
      </c>
      <c r="P543" s="39" t="str">
        <f t="shared" si="87"/>
        <v/>
      </c>
      <c r="Q543" s="13" t="str">
        <f t="shared" si="83"/>
        <v/>
      </c>
      <c r="R543" s="13" t="str">
        <f t="shared" si="88"/>
        <v/>
      </c>
      <c r="S543" s="13" t="str">
        <f t="shared" si="84"/>
        <v/>
      </c>
      <c r="T543" s="22" t="str">
        <f>IF(R543&lt;&gt;"",VLOOKUP(P543,Constants!$D$3:$E$10,2),"")</f>
        <v/>
      </c>
    </row>
    <row r="544" spans="2:20" x14ac:dyDescent="0.25">
      <c r="B544" s="59"/>
      <c r="C544" s="59"/>
      <c r="D544" s="60"/>
      <c r="E544" s="59"/>
      <c r="F544" s="59"/>
      <c r="G544" s="59"/>
      <c r="H544" s="61"/>
      <c r="I544" s="61"/>
      <c r="J544" s="61"/>
      <c r="K544" s="62"/>
      <c r="L544" s="10" t="str">
        <f t="shared" si="81"/>
        <v/>
      </c>
      <c r="M544" s="10" t="str">
        <f t="shared" si="82"/>
        <v/>
      </c>
      <c r="N544" s="11" t="str">
        <f t="shared" si="85"/>
        <v/>
      </c>
      <c r="O544" s="10" t="str">
        <f t="shared" si="86"/>
        <v/>
      </c>
      <c r="P544" s="39" t="str">
        <f t="shared" si="87"/>
        <v/>
      </c>
      <c r="Q544" s="13" t="str">
        <f t="shared" si="83"/>
        <v/>
      </c>
      <c r="R544" s="13" t="str">
        <f t="shared" si="88"/>
        <v/>
      </c>
      <c r="S544" s="13" t="str">
        <f t="shared" si="84"/>
        <v/>
      </c>
      <c r="T544" s="22" t="str">
        <f>IF(R544&lt;&gt;"",VLOOKUP(P544,Constants!$D$3:$E$10,2),"")</f>
        <v/>
      </c>
    </row>
    <row r="545" spans="2:20" x14ac:dyDescent="0.25">
      <c r="B545" s="59"/>
      <c r="C545" s="59"/>
      <c r="D545" s="60"/>
      <c r="E545" s="59"/>
      <c r="F545" s="59"/>
      <c r="G545" s="59"/>
      <c r="H545" s="61"/>
      <c r="I545" s="61"/>
      <c r="J545" s="61"/>
      <c r="K545" s="62"/>
      <c r="L545" s="10" t="str">
        <f t="shared" si="81"/>
        <v/>
      </c>
      <c r="M545" s="10" t="str">
        <f t="shared" si="82"/>
        <v/>
      </c>
      <c r="N545" s="11" t="str">
        <f t="shared" si="85"/>
        <v/>
      </c>
      <c r="O545" s="10" t="str">
        <f t="shared" si="86"/>
        <v/>
      </c>
      <c r="P545" s="39" t="str">
        <f t="shared" si="87"/>
        <v/>
      </c>
      <c r="Q545" s="13" t="str">
        <f t="shared" si="83"/>
        <v/>
      </c>
      <c r="R545" s="13" t="str">
        <f t="shared" si="88"/>
        <v/>
      </c>
      <c r="S545" s="13" t="str">
        <f t="shared" si="84"/>
        <v/>
      </c>
      <c r="T545" s="22" t="str">
        <f>IF(R545&lt;&gt;"",VLOOKUP(P545,Constants!$D$3:$E$10,2),"")</f>
        <v/>
      </c>
    </row>
    <row r="546" spans="2:20" x14ac:dyDescent="0.25">
      <c r="B546" s="59"/>
      <c r="C546" s="59"/>
      <c r="D546" s="60"/>
      <c r="E546" s="59"/>
      <c r="F546" s="59"/>
      <c r="G546" s="59"/>
      <c r="H546" s="61"/>
      <c r="I546" s="61"/>
      <c r="J546" s="61"/>
      <c r="K546" s="62"/>
      <c r="L546" s="10" t="str">
        <f t="shared" si="81"/>
        <v/>
      </c>
      <c r="M546" s="10" t="str">
        <f t="shared" si="82"/>
        <v/>
      </c>
      <c r="N546" s="11" t="str">
        <f t="shared" si="85"/>
        <v/>
      </c>
      <c r="O546" s="10" t="str">
        <f t="shared" si="86"/>
        <v/>
      </c>
      <c r="P546" s="39" t="str">
        <f t="shared" si="87"/>
        <v/>
      </c>
      <c r="Q546" s="13" t="str">
        <f t="shared" si="83"/>
        <v/>
      </c>
      <c r="R546" s="13" t="str">
        <f t="shared" si="88"/>
        <v/>
      </c>
      <c r="S546" s="13" t="str">
        <f t="shared" si="84"/>
        <v/>
      </c>
      <c r="T546" s="22" t="str">
        <f>IF(R546&lt;&gt;"",VLOOKUP(P546,Constants!$D$3:$E$10,2),"")</f>
        <v/>
      </c>
    </row>
    <row r="547" spans="2:20" x14ac:dyDescent="0.25">
      <c r="B547" s="59"/>
      <c r="C547" s="59"/>
      <c r="D547" s="60"/>
      <c r="E547" s="59"/>
      <c r="F547" s="59"/>
      <c r="G547" s="59"/>
      <c r="H547" s="61"/>
      <c r="I547" s="61"/>
      <c r="J547" s="61"/>
      <c r="K547" s="62"/>
      <c r="L547" s="10" t="str">
        <f t="shared" si="81"/>
        <v/>
      </c>
      <c r="M547" s="10" t="str">
        <f t="shared" si="82"/>
        <v/>
      </c>
      <c r="N547" s="11" t="str">
        <f t="shared" si="85"/>
        <v/>
      </c>
      <c r="O547" s="10" t="str">
        <f t="shared" si="86"/>
        <v/>
      </c>
      <c r="P547" s="39" t="str">
        <f t="shared" si="87"/>
        <v/>
      </c>
      <c r="Q547" s="13" t="str">
        <f t="shared" si="83"/>
        <v/>
      </c>
      <c r="R547" s="13" t="str">
        <f t="shared" si="88"/>
        <v/>
      </c>
      <c r="S547" s="13" t="str">
        <f t="shared" si="84"/>
        <v/>
      </c>
      <c r="T547" s="22" t="str">
        <f>IF(R547&lt;&gt;"",VLOOKUP(P547,Constants!$D$3:$E$10,2),"")</f>
        <v/>
      </c>
    </row>
    <row r="548" spans="2:20" x14ac:dyDescent="0.25">
      <c r="B548" s="59"/>
      <c r="C548" s="59"/>
      <c r="D548" s="60"/>
      <c r="E548" s="59"/>
      <c r="F548" s="59"/>
      <c r="G548" s="59"/>
      <c r="H548" s="61"/>
      <c r="I548" s="61"/>
      <c r="J548" s="61"/>
      <c r="K548" s="62"/>
      <c r="L548" s="10" t="str">
        <f t="shared" si="81"/>
        <v/>
      </c>
      <c r="M548" s="10" t="str">
        <f t="shared" si="82"/>
        <v/>
      </c>
      <c r="N548" s="11" t="str">
        <f t="shared" si="85"/>
        <v/>
      </c>
      <c r="O548" s="10" t="str">
        <f t="shared" si="86"/>
        <v/>
      </c>
      <c r="P548" s="39" t="str">
        <f t="shared" si="87"/>
        <v/>
      </c>
      <c r="Q548" s="13" t="str">
        <f t="shared" si="83"/>
        <v/>
      </c>
      <c r="R548" s="13" t="str">
        <f t="shared" si="88"/>
        <v/>
      </c>
      <c r="S548" s="13" t="str">
        <f t="shared" si="84"/>
        <v/>
      </c>
      <c r="T548" s="22" t="str">
        <f>IF(R548&lt;&gt;"",VLOOKUP(P548,Constants!$D$3:$E$10,2),"")</f>
        <v/>
      </c>
    </row>
    <row r="549" spans="2:20" x14ac:dyDescent="0.25">
      <c r="B549" s="59"/>
      <c r="C549" s="59"/>
      <c r="D549" s="60"/>
      <c r="E549" s="59"/>
      <c r="F549" s="59"/>
      <c r="G549" s="59"/>
      <c r="H549" s="61"/>
      <c r="I549" s="61"/>
      <c r="J549" s="61"/>
      <c r="K549" s="62"/>
      <c r="L549" s="10" t="str">
        <f t="shared" si="81"/>
        <v/>
      </c>
      <c r="M549" s="10" t="str">
        <f t="shared" si="82"/>
        <v/>
      </c>
      <c r="N549" s="11" t="str">
        <f t="shared" si="85"/>
        <v/>
      </c>
      <c r="O549" s="10" t="str">
        <f t="shared" si="86"/>
        <v/>
      </c>
      <c r="P549" s="39" t="str">
        <f t="shared" si="87"/>
        <v/>
      </c>
      <c r="Q549" s="13" t="str">
        <f t="shared" si="83"/>
        <v/>
      </c>
      <c r="R549" s="13" t="str">
        <f t="shared" si="88"/>
        <v/>
      </c>
      <c r="S549" s="13" t="str">
        <f t="shared" si="84"/>
        <v/>
      </c>
      <c r="T549" s="22" t="str">
        <f>IF(R549&lt;&gt;"",VLOOKUP(P549,Constants!$D$3:$E$10,2),"")</f>
        <v/>
      </c>
    </row>
    <row r="550" spans="2:20" x14ac:dyDescent="0.25">
      <c r="B550" s="59"/>
      <c r="C550" s="59"/>
      <c r="D550" s="60"/>
      <c r="E550" s="59"/>
      <c r="F550" s="59"/>
      <c r="G550" s="59"/>
      <c r="H550" s="61"/>
      <c r="I550" s="61"/>
      <c r="J550" s="61"/>
      <c r="K550" s="62"/>
      <c r="L550" s="10" t="str">
        <f t="shared" si="81"/>
        <v/>
      </c>
      <c r="M550" s="10" t="str">
        <f t="shared" si="82"/>
        <v/>
      </c>
      <c r="N550" s="11" t="str">
        <f t="shared" si="85"/>
        <v/>
      </c>
      <c r="O550" s="10" t="str">
        <f t="shared" si="86"/>
        <v/>
      </c>
      <c r="P550" s="39" t="str">
        <f t="shared" si="87"/>
        <v/>
      </c>
      <c r="Q550" s="13" t="str">
        <f t="shared" si="83"/>
        <v/>
      </c>
      <c r="R550" s="13" t="str">
        <f t="shared" si="88"/>
        <v/>
      </c>
      <c r="S550" s="13" t="str">
        <f t="shared" si="84"/>
        <v/>
      </c>
      <c r="T550" s="22" t="str">
        <f>IF(R550&lt;&gt;"",VLOOKUP(P550,Constants!$D$3:$E$10,2),"")</f>
        <v/>
      </c>
    </row>
    <row r="551" spans="2:20" x14ac:dyDescent="0.25">
      <c r="B551" s="59"/>
      <c r="C551" s="59"/>
      <c r="D551" s="60"/>
      <c r="E551" s="59"/>
      <c r="F551" s="59"/>
      <c r="G551" s="59"/>
      <c r="H551" s="61"/>
      <c r="I551" s="61"/>
      <c r="J551" s="61"/>
      <c r="K551" s="62"/>
      <c r="L551" s="10" t="str">
        <f t="shared" si="81"/>
        <v/>
      </c>
      <c r="M551" s="10" t="str">
        <f t="shared" si="82"/>
        <v/>
      </c>
      <c r="N551" s="11" t="str">
        <f t="shared" si="85"/>
        <v/>
      </c>
      <c r="O551" s="10" t="str">
        <f t="shared" si="86"/>
        <v/>
      </c>
      <c r="P551" s="39" t="str">
        <f t="shared" si="87"/>
        <v/>
      </c>
      <c r="Q551" s="13" t="str">
        <f t="shared" si="83"/>
        <v/>
      </c>
      <c r="R551" s="13" t="str">
        <f t="shared" si="88"/>
        <v/>
      </c>
      <c r="S551" s="13" t="str">
        <f t="shared" si="84"/>
        <v/>
      </c>
      <c r="T551" s="22" t="str">
        <f>IF(R551&lt;&gt;"",VLOOKUP(P551,Constants!$D$3:$E$10,2),"")</f>
        <v/>
      </c>
    </row>
    <row r="552" spans="2:20" x14ac:dyDescent="0.25">
      <c r="B552" s="59"/>
      <c r="C552" s="59"/>
      <c r="D552" s="60"/>
      <c r="E552" s="59"/>
      <c r="F552" s="59"/>
      <c r="G552" s="59"/>
      <c r="H552" s="61"/>
      <c r="I552" s="61"/>
      <c r="J552" s="61"/>
      <c r="K552" s="62"/>
      <c r="L552" s="10" t="str">
        <f t="shared" si="81"/>
        <v/>
      </c>
      <c r="M552" s="10" t="str">
        <f t="shared" si="82"/>
        <v/>
      </c>
      <c r="N552" s="11" t="str">
        <f t="shared" si="85"/>
        <v/>
      </c>
      <c r="O552" s="10" t="str">
        <f t="shared" si="86"/>
        <v/>
      </c>
      <c r="P552" s="39" t="str">
        <f t="shared" si="87"/>
        <v/>
      </c>
      <c r="Q552" s="13" t="str">
        <f t="shared" si="83"/>
        <v/>
      </c>
      <c r="R552" s="13" t="str">
        <f t="shared" si="88"/>
        <v/>
      </c>
      <c r="S552" s="13" t="str">
        <f t="shared" si="84"/>
        <v/>
      </c>
      <c r="T552" s="22" t="str">
        <f>IF(R552&lt;&gt;"",VLOOKUP(P552,Constants!$D$3:$E$10,2),"")</f>
        <v/>
      </c>
    </row>
    <row r="553" spans="2:20" x14ac:dyDescent="0.25">
      <c r="B553" s="59"/>
      <c r="C553" s="59"/>
      <c r="D553" s="60"/>
      <c r="E553" s="59"/>
      <c r="F553" s="59"/>
      <c r="G553" s="59"/>
      <c r="H553" s="61"/>
      <c r="I553" s="61"/>
      <c r="J553" s="61"/>
      <c r="K553" s="62"/>
      <c r="L553" s="10" t="str">
        <f t="shared" si="81"/>
        <v/>
      </c>
      <c r="M553" s="10" t="str">
        <f t="shared" si="82"/>
        <v/>
      </c>
      <c r="N553" s="11" t="str">
        <f t="shared" si="85"/>
        <v/>
      </c>
      <c r="O553" s="10" t="str">
        <f t="shared" si="86"/>
        <v/>
      </c>
      <c r="P553" s="39" t="str">
        <f t="shared" si="87"/>
        <v/>
      </c>
      <c r="Q553" s="13" t="str">
        <f t="shared" si="83"/>
        <v/>
      </c>
      <c r="R553" s="13" t="str">
        <f t="shared" si="88"/>
        <v/>
      </c>
      <c r="S553" s="13" t="str">
        <f t="shared" si="84"/>
        <v/>
      </c>
      <c r="T553" s="22" t="str">
        <f>IF(R553&lt;&gt;"",VLOOKUP(P553,Constants!$D$3:$E$10,2),"")</f>
        <v/>
      </c>
    </row>
    <row r="554" spans="2:20" x14ac:dyDescent="0.25">
      <c r="B554" s="59"/>
      <c r="C554" s="59"/>
      <c r="D554" s="60"/>
      <c r="E554" s="59"/>
      <c r="F554" s="59"/>
      <c r="G554" s="59"/>
      <c r="H554" s="61"/>
      <c r="I554" s="61"/>
      <c r="J554" s="61"/>
      <c r="K554" s="62"/>
      <c r="L554" s="10" t="str">
        <f t="shared" si="81"/>
        <v/>
      </c>
      <c r="M554" s="10" t="str">
        <f t="shared" si="82"/>
        <v/>
      </c>
      <c r="N554" s="11" t="str">
        <f t="shared" si="85"/>
        <v/>
      </c>
      <c r="O554" s="10" t="str">
        <f t="shared" si="86"/>
        <v/>
      </c>
      <c r="P554" s="39" t="str">
        <f t="shared" si="87"/>
        <v/>
      </c>
      <c r="Q554" s="13" t="str">
        <f t="shared" si="83"/>
        <v/>
      </c>
      <c r="R554" s="13" t="str">
        <f t="shared" si="88"/>
        <v/>
      </c>
      <c r="S554" s="13" t="str">
        <f t="shared" si="84"/>
        <v/>
      </c>
      <c r="T554" s="22" t="str">
        <f>IF(R554&lt;&gt;"",VLOOKUP(P554,Constants!$D$3:$E$10,2),"")</f>
        <v/>
      </c>
    </row>
    <row r="555" spans="2:20" x14ac:dyDescent="0.25">
      <c r="B555" s="59"/>
      <c r="C555" s="59"/>
      <c r="D555" s="60"/>
      <c r="E555" s="59"/>
      <c r="F555" s="59"/>
      <c r="G555" s="59"/>
      <c r="H555" s="61"/>
      <c r="I555" s="61"/>
      <c r="J555" s="61"/>
      <c r="K555" s="62"/>
      <c r="L555" s="10" t="str">
        <f t="shared" si="81"/>
        <v/>
      </c>
      <c r="M555" s="10" t="str">
        <f t="shared" si="82"/>
        <v/>
      </c>
      <c r="N555" s="11" t="str">
        <f t="shared" si="85"/>
        <v/>
      </c>
      <c r="O555" s="10" t="str">
        <f t="shared" si="86"/>
        <v/>
      </c>
      <c r="P555" s="39" t="str">
        <f t="shared" si="87"/>
        <v/>
      </c>
      <c r="Q555" s="13" t="str">
        <f t="shared" si="83"/>
        <v/>
      </c>
      <c r="R555" s="13" t="str">
        <f t="shared" si="88"/>
        <v/>
      </c>
      <c r="S555" s="13" t="str">
        <f t="shared" si="84"/>
        <v/>
      </c>
      <c r="T555" s="22" t="str">
        <f>IF(R555&lt;&gt;"",VLOOKUP(P555,Constants!$D$3:$E$10,2),"")</f>
        <v/>
      </c>
    </row>
    <row r="556" spans="2:20" x14ac:dyDescent="0.25">
      <c r="B556" s="59"/>
      <c r="C556" s="59"/>
      <c r="D556" s="60"/>
      <c r="E556" s="59"/>
      <c r="F556" s="59"/>
      <c r="G556" s="59"/>
      <c r="H556" s="61"/>
      <c r="I556" s="61"/>
      <c r="J556" s="61"/>
      <c r="K556" s="62"/>
      <c r="L556" s="10" t="str">
        <f t="shared" si="81"/>
        <v/>
      </c>
      <c r="M556" s="10" t="str">
        <f t="shared" si="82"/>
        <v/>
      </c>
      <c r="N556" s="11" t="str">
        <f t="shared" si="85"/>
        <v/>
      </c>
      <c r="O556" s="10" t="str">
        <f t="shared" si="86"/>
        <v/>
      </c>
      <c r="P556" s="39" t="str">
        <f t="shared" si="87"/>
        <v/>
      </c>
      <c r="Q556" s="13" t="str">
        <f t="shared" si="83"/>
        <v/>
      </c>
      <c r="R556" s="13" t="str">
        <f t="shared" si="88"/>
        <v/>
      </c>
      <c r="S556" s="13" t="str">
        <f t="shared" si="84"/>
        <v/>
      </c>
      <c r="T556" s="22" t="str">
        <f>IF(R556&lt;&gt;"",VLOOKUP(P556,Constants!$D$3:$E$10,2),"")</f>
        <v/>
      </c>
    </row>
    <row r="557" spans="2:20" x14ac:dyDescent="0.25">
      <c r="B557" s="59"/>
      <c r="C557" s="59"/>
      <c r="D557" s="60"/>
      <c r="E557" s="59"/>
      <c r="F557" s="59"/>
      <c r="G557" s="59"/>
      <c r="H557" s="61"/>
      <c r="I557" s="61"/>
      <c r="J557" s="61"/>
      <c r="K557" s="62"/>
      <c r="L557" s="10" t="str">
        <f t="shared" si="81"/>
        <v/>
      </c>
      <c r="M557" s="10" t="str">
        <f t="shared" si="82"/>
        <v/>
      </c>
      <c r="N557" s="11" t="str">
        <f t="shared" si="85"/>
        <v/>
      </c>
      <c r="O557" s="10" t="str">
        <f t="shared" si="86"/>
        <v/>
      </c>
      <c r="P557" s="39" t="str">
        <f t="shared" si="87"/>
        <v/>
      </c>
      <c r="Q557" s="13" t="str">
        <f t="shared" si="83"/>
        <v/>
      </c>
      <c r="R557" s="13" t="str">
        <f t="shared" si="88"/>
        <v/>
      </c>
      <c r="S557" s="13" t="str">
        <f t="shared" si="84"/>
        <v/>
      </c>
      <c r="T557" s="22" t="str">
        <f>IF(R557&lt;&gt;"",VLOOKUP(P557,Constants!$D$3:$E$10,2),"")</f>
        <v/>
      </c>
    </row>
    <row r="558" spans="2:20" x14ac:dyDescent="0.25">
      <c r="B558" s="59"/>
      <c r="C558" s="59"/>
      <c r="D558" s="60"/>
      <c r="E558" s="59"/>
      <c r="F558" s="59"/>
      <c r="G558" s="59"/>
      <c r="H558" s="61"/>
      <c r="I558" s="61"/>
      <c r="J558" s="61"/>
      <c r="K558" s="62"/>
      <c r="L558" s="10" t="str">
        <f t="shared" si="81"/>
        <v/>
      </c>
      <c r="M558" s="10" t="str">
        <f t="shared" si="82"/>
        <v/>
      </c>
      <c r="N558" s="11" t="str">
        <f t="shared" si="85"/>
        <v/>
      </c>
      <c r="O558" s="10" t="str">
        <f t="shared" si="86"/>
        <v/>
      </c>
      <c r="P558" s="39" t="str">
        <f t="shared" si="87"/>
        <v/>
      </c>
      <c r="Q558" s="13" t="str">
        <f t="shared" si="83"/>
        <v/>
      </c>
      <c r="R558" s="13" t="str">
        <f t="shared" si="88"/>
        <v/>
      </c>
      <c r="S558" s="13" t="str">
        <f t="shared" si="84"/>
        <v/>
      </c>
      <c r="T558" s="22" t="str">
        <f>IF(R558&lt;&gt;"",VLOOKUP(P558,Constants!$D$3:$E$10,2),"")</f>
        <v/>
      </c>
    </row>
    <row r="559" spans="2:20" x14ac:dyDescent="0.25">
      <c r="B559" s="59"/>
      <c r="C559" s="59"/>
      <c r="D559" s="60"/>
      <c r="E559" s="59"/>
      <c r="F559" s="59"/>
      <c r="G559" s="59"/>
      <c r="H559" s="61"/>
      <c r="I559" s="61"/>
      <c r="J559" s="61"/>
      <c r="K559" s="62"/>
      <c r="L559" s="10" t="str">
        <f t="shared" si="81"/>
        <v/>
      </c>
      <c r="M559" s="10" t="str">
        <f t="shared" si="82"/>
        <v/>
      </c>
      <c r="N559" s="11" t="str">
        <f t="shared" si="85"/>
        <v/>
      </c>
      <c r="O559" s="10" t="str">
        <f t="shared" si="86"/>
        <v/>
      </c>
      <c r="P559" s="39" t="str">
        <f t="shared" si="87"/>
        <v/>
      </c>
      <c r="Q559" s="13" t="str">
        <f t="shared" si="83"/>
        <v/>
      </c>
      <c r="R559" s="13" t="str">
        <f t="shared" si="88"/>
        <v/>
      </c>
      <c r="S559" s="13" t="str">
        <f t="shared" si="84"/>
        <v/>
      </c>
      <c r="T559" s="22" t="str">
        <f>IF(R559&lt;&gt;"",VLOOKUP(P559,Constants!$D$3:$E$10,2),"")</f>
        <v/>
      </c>
    </row>
    <row r="560" spans="2:20" x14ac:dyDescent="0.25">
      <c r="B560" s="59"/>
      <c r="C560" s="59"/>
      <c r="D560" s="60"/>
      <c r="E560" s="59"/>
      <c r="F560" s="59"/>
      <c r="G560" s="59"/>
      <c r="H560" s="61"/>
      <c r="I560" s="61"/>
      <c r="J560" s="61"/>
      <c r="K560" s="62"/>
      <c r="L560" s="10" t="str">
        <f t="shared" si="81"/>
        <v/>
      </c>
      <c r="M560" s="10" t="str">
        <f t="shared" si="82"/>
        <v/>
      </c>
      <c r="N560" s="11" t="str">
        <f t="shared" si="85"/>
        <v/>
      </c>
      <c r="O560" s="10" t="str">
        <f t="shared" si="86"/>
        <v/>
      </c>
      <c r="P560" s="39" t="str">
        <f t="shared" si="87"/>
        <v/>
      </c>
      <c r="Q560" s="13" t="str">
        <f t="shared" si="83"/>
        <v/>
      </c>
      <c r="R560" s="13" t="str">
        <f t="shared" si="88"/>
        <v/>
      </c>
      <c r="S560" s="13" t="str">
        <f t="shared" si="84"/>
        <v/>
      </c>
      <c r="T560" s="22" t="str">
        <f>IF(R560&lt;&gt;"",VLOOKUP(P560,Constants!$D$3:$E$10,2),"")</f>
        <v/>
      </c>
    </row>
    <row r="561" spans="2:20" x14ac:dyDescent="0.25">
      <c r="B561" s="59"/>
      <c r="C561" s="59"/>
      <c r="D561" s="60"/>
      <c r="E561" s="59"/>
      <c r="F561" s="59"/>
      <c r="G561" s="59"/>
      <c r="H561" s="61"/>
      <c r="I561" s="61"/>
      <c r="J561" s="61"/>
      <c r="K561" s="62"/>
      <c r="L561" s="10" t="str">
        <f t="shared" si="81"/>
        <v/>
      </c>
      <c r="M561" s="10" t="str">
        <f t="shared" si="82"/>
        <v/>
      </c>
      <c r="N561" s="11" t="str">
        <f t="shared" si="85"/>
        <v/>
      </c>
      <c r="O561" s="10" t="str">
        <f t="shared" si="86"/>
        <v/>
      </c>
      <c r="P561" s="39" t="str">
        <f t="shared" si="87"/>
        <v/>
      </c>
      <c r="Q561" s="13" t="str">
        <f t="shared" si="83"/>
        <v/>
      </c>
      <c r="R561" s="13" t="str">
        <f t="shared" si="88"/>
        <v/>
      </c>
      <c r="S561" s="13" t="str">
        <f t="shared" si="84"/>
        <v/>
      </c>
      <c r="T561" s="22" t="str">
        <f>IF(R561&lt;&gt;"",VLOOKUP(P561,Constants!$D$3:$E$10,2),"")</f>
        <v/>
      </c>
    </row>
    <row r="562" spans="2:20" x14ac:dyDescent="0.25">
      <c r="B562" s="59"/>
      <c r="C562" s="59"/>
      <c r="D562" s="60"/>
      <c r="E562" s="59"/>
      <c r="F562" s="59"/>
      <c r="G562" s="59"/>
      <c r="H562" s="61"/>
      <c r="I562" s="61"/>
      <c r="J562" s="61"/>
      <c r="K562" s="62"/>
      <c r="L562" s="10" t="str">
        <f t="shared" si="81"/>
        <v/>
      </c>
      <c r="M562" s="10" t="str">
        <f t="shared" si="82"/>
        <v/>
      </c>
      <c r="N562" s="11" t="str">
        <f t="shared" si="85"/>
        <v/>
      </c>
      <c r="O562" s="10" t="str">
        <f t="shared" si="86"/>
        <v/>
      </c>
      <c r="P562" s="39" t="str">
        <f t="shared" si="87"/>
        <v/>
      </c>
      <c r="Q562" s="13" t="str">
        <f t="shared" si="83"/>
        <v/>
      </c>
      <c r="R562" s="13" t="str">
        <f t="shared" si="88"/>
        <v/>
      </c>
      <c r="S562" s="13" t="str">
        <f t="shared" si="84"/>
        <v/>
      </c>
      <c r="T562" s="22" t="str">
        <f>IF(R562&lt;&gt;"",VLOOKUP(P562,Constants!$D$3:$E$10,2),"")</f>
        <v/>
      </c>
    </row>
    <row r="563" spans="2:20" x14ac:dyDescent="0.25">
      <c r="B563" s="59"/>
      <c r="C563" s="59"/>
      <c r="D563" s="60"/>
      <c r="E563" s="59"/>
      <c r="F563" s="59"/>
      <c r="G563" s="59"/>
      <c r="H563" s="61"/>
      <c r="I563" s="61"/>
      <c r="J563" s="61"/>
      <c r="K563" s="62"/>
      <c r="L563" s="10" t="str">
        <f t="shared" si="81"/>
        <v/>
      </c>
      <c r="M563" s="10" t="str">
        <f t="shared" si="82"/>
        <v/>
      </c>
      <c r="N563" s="11" t="str">
        <f t="shared" si="85"/>
        <v/>
      </c>
      <c r="O563" s="10" t="str">
        <f t="shared" si="86"/>
        <v/>
      </c>
      <c r="P563" s="39" t="str">
        <f t="shared" si="87"/>
        <v/>
      </c>
      <c r="Q563" s="13" t="str">
        <f t="shared" si="83"/>
        <v/>
      </c>
      <c r="R563" s="13" t="str">
        <f t="shared" si="88"/>
        <v/>
      </c>
      <c r="S563" s="13" t="str">
        <f t="shared" si="84"/>
        <v/>
      </c>
      <c r="T563" s="22" t="str">
        <f>IF(R563&lt;&gt;"",VLOOKUP(P563,Constants!$D$3:$E$10,2),"")</f>
        <v/>
      </c>
    </row>
    <row r="564" spans="2:20" x14ac:dyDescent="0.25">
      <c r="B564" s="59"/>
      <c r="C564" s="59"/>
      <c r="D564" s="60"/>
      <c r="E564" s="59"/>
      <c r="F564" s="59"/>
      <c r="G564" s="59"/>
      <c r="H564" s="61"/>
      <c r="I564" s="61"/>
      <c r="J564" s="61"/>
      <c r="K564" s="62"/>
      <c r="L564" s="10" t="str">
        <f t="shared" si="81"/>
        <v/>
      </c>
      <c r="M564" s="10" t="str">
        <f t="shared" si="82"/>
        <v/>
      </c>
      <c r="N564" s="11" t="str">
        <f t="shared" si="85"/>
        <v/>
      </c>
      <c r="O564" s="10" t="str">
        <f t="shared" si="86"/>
        <v/>
      </c>
      <c r="P564" s="39" t="str">
        <f t="shared" si="87"/>
        <v/>
      </c>
      <c r="Q564" s="13" t="str">
        <f t="shared" si="83"/>
        <v/>
      </c>
      <c r="R564" s="13" t="str">
        <f t="shared" si="88"/>
        <v/>
      </c>
      <c r="S564" s="13" t="str">
        <f t="shared" si="84"/>
        <v/>
      </c>
      <c r="T564" s="22" t="str">
        <f>IF(R564&lt;&gt;"",VLOOKUP(P564,Constants!$D$3:$E$10,2),"")</f>
        <v/>
      </c>
    </row>
    <row r="565" spans="2:20" x14ac:dyDescent="0.25">
      <c r="B565" s="59"/>
      <c r="C565" s="59"/>
      <c r="D565" s="60"/>
      <c r="E565" s="59"/>
      <c r="F565" s="59"/>
      <c r="G565" s="59"/>
      <c r="H565" s="61"/>
      <c r="I565" s="61"/>
      <c r="J565" s="61"/>
      <c r="K565" s="62"/>
      <c r="L565" s="10" t="str">
        <f t="shared" si="81"/>
        <v/>
      </c>
      <c r="M565" s="10" t="str">
        <f t="shared" si="82"/>
        <v/>
      </c>
      <c r="N565" s="11" t="str">
        <f t="shared" si="85"/>
        <v/>
      </c>
      <c r="O565" s="10" t="str">
        <f t="shared" si="86"/>
        <v/>
      </c>
      <c r="P565" s="39" t="str">
        <f t="shared" si="87"/>
        <v/>
      </c>
      <c r="Q565" s="13" t="str">
        <f t="shared" si="83"/>
        <v/>
      </c>
      <c r="R565" s="13" t="str">
        <f t="shared" si="88"/>
        <v/>
      </c>
      <c r="S565" s="13" t="str">
        <f t="shared" si="84"/>
        <v/>
      </c>
      <c r="T565" s="22" t="str">
        <f>IF(R565&lt;&gt;"",VLOOKUP(P565,Constants!$D$3:$E$10,2),"")</f>
        <v/>
      </c>
    </row>
    <row r="566" spans="2:20" x14ac:dyDescent="0.25">
      <c r="B566" s="59"/>
      <c r="C566" s="59"/>
      <c r="D566" s="60"/>
      <c r="E566" s="59"/>
      <c r="F566" s="59"/>
      <c r="G566" s="59"/>
      <c r="H566" s="61"/>
      <c r="I566" s="61"/>
      <c r="J566" s="61"/>
      <c r="K566" s="62"/>
      <c r="L566" s="10" t="str">
        <f t="shared" si="81"/>
        <v/>
      </c>
      <c r="M566" s="10" t="str">
        <f t="shared" si="82"/>
        <v/>
      </c>
      <c r="N566" s="11" t="str">
        <f t="shared" si="85"/>
        <v/>
      </c>
      <c r="O566" s="10" t="str">
        <f t="shared" si="86"/>
        <v/>
      </c>
      <c r="P566" s="39" t="str">
        <f t="shared" si="87"/>
        <v/>
      </c>
      <c r="Q566" s="13" t="str">
        <f t="shared" si="83"/>
        <v/>
      </c>
      <c r="R566" s="13" t="str">
        <f t="shared" si="88"/>
        <v/>
      </c>
      <c r="S566" s="13" t="str">
        <f t="shared" si="84"/>
        <v/>
      </c>
      <c r="T566" s="22" t="str">
        <f>IF(R566&lt;&gt;"",VLOOKUP(P566,Constants!$D$3:$E$10,2),"")</f>
        <v/>
      </c>
    </row>
    <row r="567" spans="2:20" x14ac:dyDescent="0.25">
      <c r="B567" s="59"/>
      <c r="C567" s="59"/>
      <c r="D567" s="60"/>
      <c r="E567" s="59"/>
      <c r="F567" s="59"/>
      <c r="G567" s="59"/>
      <c r="H567" s="61"/>
      <c r="I567" s="61"/>
      <c r="J567" s="61"/>
      <c r="K567" s="62"/>
      <c r="L567" s="10" t="str">
        <f t="shared" si="81"/>
        <v/>
      </c>
      <c r="M567" s="10" t="str">
        <f t="shared" si="82"/>
        <v/>
      </c>
      <c r="N567" s="11" t="str">
        <f t="shared" si="85"/>
        <v/>
      </c>
      <c r="O567" s="10" t="str">
        <f t="shared" si="86"/>
        <v/>
      </c>
      <c r="P567" s="39" t="str">
        <f t="shared" si="87"/>
        <v/>
      </c>
      <c r="Q567" s="13" t="str">
        <f t="shared" si="83"/>
        <v/>
      </c>
      <c r="R567" s="13" t="str">
        <f t="shared" si="88"/>
        <v/>
      </c>
      <c r="S567" s="13" t="str">
        <f t="shared" si="84"/>
        <v/>
      </c>
      <c r="T567" s="22" t="str">
        <f>IF(R567&lt;&gt;"",VLOOKUP(P567,Constants!$D$3:$E$10,2),"")</f>
        <v/>
      </c>
    </row>
    <row r="568" spans="2:20" x14ac:dyDescent="0.25">
      <c r="B568" s="59"/>
      <c r="C568" s="59"/>
      <c r="D568" s="60"/>
      <c r="E568" s="59"/>
      <c r="F568" s="59"/>
      <c r="G568" s="59"/>
      <c r="H568" s="61"/>
      <c r="I568" s="61"/>
      <c r="J568" s="61"/>
      <c r="K568" s="62"/>
      <c r="L568" s="10" t="str">
        <f t="shared" si="81"/>
        <v/>
      </c>
      <c r="M568" s="10" t="str">
        <f t="shared" si="82"/>
        <v/>
      </c>
      <c r="N568" s="11" t="str">
        <f t="shared" si="85"/>
        <v/>
      </c>
      <c r="O568" s="10" t="str">
        <f t="shared" si="86"/>
        <v/>
      </c>
      <c r="P568" s="39" t="str">
        <f t="shared" si="87"/>
        <v/>
      </c>
      <c r="Q568" s="13" t="str">
        <f t="shared" si="83"/>
        <v/>
      </c>
      <c r="R568" s="13" t="str">
        <f t="shared" si="88"/>
        <v/>
      </c>
      <c r="S568" s="13" t="str">
        <f t="shared" si="84"/>
        <v/>
      </c>
      <c r="T568" s="22" t="str">
        <f>IF(R568&lt;&gt;"",VLOOKUP(P568,Constants!$D$3:$E$10,2),"")</f>
        <v/>
      </c>
    </row>
    <row r="569" spans="2:20" x14ac:dyDescent="0.25">
      <c r="B569" s="59"/>
      <c r="C569" s="59"/>
      <c r="D569" s="60"/>
      <c r="E569" s="59"/>
      <c r="F569" s="59"/>
      <c r="G569" s="59"/>
      <c r="H569" s="61"/>
      <c r="I569" s="61"/>
      <c r="J569" s="61"/>
      <c r="K569" s="62"/>
      <c r="L569" s="10" t="str">
        <f t="shared" si="81"/>
        <v/>
      </c>
      <c r="M569" s="10" t="str">
        <f t="shared" si="82"/>
        <v/>
      </c>
      <c r="N569" s="11" t="str">
        <f t="shared" si="85"/>
        <v/>
      </c>
      <c r="O569" s="10" t="str">
        <f t="shared" si="86"/>
        <v/>
      </c>
      <c r="P569" s="39" t="str">
        <f t="shared" si="87"/>
        <v/>
      </c>
      <c r="Q569" s="13" t="str">
        <f t="shared" si="83"/>
        <v/>
      </c>
      <c r="R569" s="13" t="str">
        <f t="shared" si="88"/>
        <v/>
      </c>
      <c r="S569" s="13" t="str">
        <f t="shared" si="84"/>
        <v/>
      </c>
      <c r="T569" s="22" t="str">
        <f>IF(R569&lt;&gt;"",VLOOKUP(P569,Constants!$D$3:$E$10,2),"")</f>
        <v/>
      </c>
    </row>
    <row r="570" spans="2:20" x14ac:dyDescent="0.25">
      <c r="B570" s="59"/>
      <c r="C570" s="59"/>
      <c r="D570" s="60"/>
      <c r="E570" s="59"/>
      <c r="F570" s="59"/>
      <c r="G570" s="59"/>
      <c r="H570" s="61"/>
      <c r="I570" s="61"/>
      <c r="J570" s="61"/>
      <c r="K570" s="62"/>
      <c r="L570" s="10" t="str">
        <f t="shared" si="81"/>
        <v/>
      </c>
      <c r="M570" s="10" t="str">
        <f t="shared" si="82"/>
        <v/>
      </c>
      <c r="N570" s="11" t="str">
        <f t="shared" si="85"/>
        <v/>
      </c>
      <c r="O570" s="10" t="str">
        <f t="shared" si="86"/>
        <v/>
      </c>
      <c r="P570" s="39" t="str">
        <f t="shared" si="87"/>
        <v/>
      </c>
      <c r="Q570" s="13" t="str">
        <f t="shared" si="83"/>
        <v/>
      </c>
      <c r="R570" s="13" t="str">
        <f t="shared" si="88"/>
        <v/>
      </c>
      <c r="S570" s="13" t="str">
        <f t="shared" si="84"/>
        <v/>
      </c>
      <c r="T570" s="22" t="str">
        <f>IF(R570&lt;&gt;"",VLOOKUP(P570,Constants!$D$3:$E$10,2),"")</f>
        <v/>
      </c>
    </row>
    <row r="571" spans="2:20" x14ac:dyDescent="0.25">
      <c r="B571" s="59"/>
      <c r="C571" s="59"/>
      <c r="D571" s="60"/>
      <c r="E571" s="59"/>
      <c r="F571" s="59"/>
      <c r="G571" s="59"/>
      <c r="H571" s="61"/>
      <c r="I571" s="61"/>
      <c r="J571" s="61"/>
      <c r="K571" s="62"/>
      <c r="L571" s="10" t="str">
        <f t="shared" si="81"/>
        <v/>
      </c>
      <c r="M571" s="10" t="str">
        <f t="shared" si="82"/>
        <v/>
      </c>
      <c r="N571" s="11" t="str">
        <f t="shared" si="85"/>
        <v/>
      </c>
      <c r="O571" s="10" t="str">
        <f t="shared" si="86"/>
        <v/>
      </c>
      <c r="P571" s="39" t="str">
        <f t="shared" si="87"/>
        <v/>
      </c>
      <c r="Q571" s="13" t="str">
        <f t="shared" si="83"/>
        <v/>
      </c>
      <c r="R571" s="13" t="str">
        <f t="shared" si="88"/>
        <v/>
      </c>
      <c r="S571" s="13" t="str">
        <f t="shared" si="84"/>
        <v/>
      </c>
      <c r="T571" s="22" t="str">
        <f>IF(R571&lt;&gt;"",VLOOKUP(P571,Constants!$D$3:$E$10,2),"")</f>
        <v/>
      </c>
    </row>
    <row r="572" spans="2:20" x14ac:dyDescent="0.25">
      <c r="B572" s="59"/>
      <c r="C572" s="59"/>
      <c r="D572" s="60"/>
      <c r="E572" s="59"/>
      <c r="F572" s="59"/>
      <c r="G572" s="59"/>
      <c r="H572" s="61"/>
      <c r="I572" s="61"/>
      <c r="J572" s="61"/>
      <c r="K572" s="62"/>
      <c r="L572" s="10" t="str">
        <f t="shared" si="81"/>
        <v/>
      </c>
      <c r="M572" s="10" t="str">
        <f t="shared" si="82"/>
        <v/>
      </c>
      <c r="N572" s="11" t="str">
        <f t="shared" si="85"/>
        <v/>
      </c>
      <c r="O572" s="10" t="str">
        <f t="shared" si="86"/>
        <v/>
      </c>
      <c r="P572" s="39" t="str">
        <f t="shared" si="87"/>
        <v/>
      </c>
      <c r="Q572" s="13" t="str">
        <f t="shared" si="83"/>
        <v/>
      </c>
      <c r="R572" s="13" t="str">
        <f t="shared" si="88"/>
        <v/>
      </c>
      <c r="S572" s="13" t="str">
        <f t="shared" si="84"/>
        <v/>
      </c>
      <c r="T572" s="22" t="str">
        <f>IF(R572&lt;&gt;"",VLOOKUP(P572,Constants!$D$3:$E$10,2),"")</f>
        <v/>
      </c>
    </row>
    <row r="573" spans="2:20" x14ac:dyDescent="0.25">
      <c r="B573" s="59"/>
      <c r="C573" s="59"/>
      <c r="D573" s="60"/>
      <c r="E573" s="59"/>
      <c r="F573" s="59"/>
      <c r="G573" s="59"/>
      <c r="H573" s="61"/>
      <c r="I573" s="61"/>
      <c r="J573" s="61"/>
      <c r="K573" s="62"/>
      <c r="L573" s="10" t="str">
        <f t="shared" si="81"/>
        <v/>
      </c>
      <c r="M573" s="10" t="str">
        <f t="shared" si="82"/>
        <v/>
      </c>
      <c r="N573" s="11" t="str">
        <f t="shared" si="85"/>
        <v/>
      </c>
      <c r="O573" s="10" t="str">
        <f t="shared" si="86"/>
        <v/>
      </c>
      <c r="P573" s="39" t="str">
        <f t="shared" si="87"/>
        <v/>
      </c>
      <c r="Q573" s="13" t="str">
        <f t="shared" si="83"/>
        <v/>
      </c>
      <c r="R573" s="13" t="str">
        <f t="shared" si="88"/>
        <v/>
      </c>
      <c r="S573" s="13" t="str">
        <f t="shared" si="84"/>
        <v/>
      </c>
      <c r="T573" s="22" t="str">
        <f>IF(R573&lt;&gt;"",VLOOKUP(P573,Constants!$D$3:$E$10,2),"")</f>
        <v/>
      </c>
    </row>
    <row r="574" spans="2:20" x14ac:dyDescent="0.25">
      <c r="B574" s="59"/>
      <c r="C574" s="59"/>
      <c r="D574" s="60"/>
      <c r="E574" s="59"/>
      <c r="F574" s="59"/>
      <c r="G574" s="59"/>
      <c r="H574" s="61"/>
      <c r="I574" s="61"/>
      <c r="J574" s="61"/>
      <c r="K574" s="62"/>
      <c r="L574" s="10" t="str">
        <f t="shared" si="81"/>
        <v/>
      </c>
      <c r="M574" s="10" t="str">
        <f t="shared" si="82"/>
        <v/>
      </c>
      <c r="N574" s="11" t="str">
        <f t="shared" si="85"/>
        <v/>
      </c>
      <c r="O574" s="10" t="str">
        <f t="shared" si="86"/>
        <v/>
      </c>
      <c r="P574" s="39" t="str">
        <f t="shared" si="87"/>
        <v/>
      </c>
      <c r="Q574" s="13" t="str">
        <f t="shared" si="83"/>
        <v/>
      </c>
      <c r="R574" s="13" t="str">
        <f t="shared" si="88"/>
        <v/>
      </c>
      <c r="S574" s="13" t="str">
        <f t="shared" si="84"/>
        <v/>
      </c>
      <c r="T574" s="22" t="str">
        <f>IF(R574&lt;&gt;"",VLOOKUP(P574,Constants!$D$3:$E$10,2),"")</f>
        <v/>
      </c>
    </row>
    <row r="575" spans="2:20" x14ac:dyDescent="0.25">
      <c r="B575" s="59"/>
      <c r="C575" s="59"/>
      <c r="D575" s="60"/>
      <c r="E575" s="59"/>
      <c r="F575" s="59"/>
      <c r="G575" s="59"/>
      <c r="H575" s="61"/>
      <c r="I575" s="61"/>
      <c r="J575" s="61"/>
      <c r="K575" s="62"/>
      <c r="L575" s="10" t="str">
        <f t="shared" si="81"/>
        <v/>
      </c>
      <c r="M575" s="10" t="str">
        <f t="shared" si="82"/>
        <v/>
      </c>
      <c r="N575" s="11" t="str">
        <f t="shared" si="85"/>
        <v/>
      </c>
      <c r="O575" s="10" t="str">
        <f t="shared" si="86"/>
        <v/>
      </c>
      <c r="P575" s="39" t="str">
        <f t="shared" si="87"/>
        <v/>
      </c>
      <c r="Q575" s="13" t="str">
        <f t="shared" si="83"/>
        <v/>
      </c>
      <c r="R575" s="13" t="str">
        <f t="shared" si="88"/>
        <v/>
      </c>
      <c r="S575" s="13" t="str">
        <f t="shared" si="84"/>
        <v/>
      </c>
      <c r="T575" s="22" t="str">
        <f>IF(R575&lt;&gt;"",VLOOKUP(P575,Constants!$D$3:$E$10,2),"")</f>
        <v/>
      </c>
    </row>
    <row r="576" spans="2:20" x14ac:dyDescent="0.25">
      <c r="B576" s="59"/>
      <c r="C576" s="59"/>
      <c r="D576" s="60"/>
      <c r="E576" s="59"/>
      <c r="F576" s="59"/>
      <c r="G576" s="59"/>
      <c r="H576" s="61"/>
      <c r="I576" s="61"/>
      <c r="J576" s="61"/>
      <c r="K576" s="62"/>
      <c r="L576" s="10" t="str">
        <f t="shared" si="81"/>
        <v/>
      </c>
      <c r="M576" s="10" t="str">
        <f t="shared" si="82"/>
        <v/>
      </c>
      <c r="N576" s="11" t="str">
        <f t="shared" si="85"/>
        <v/>
      </c>
      <c r="O576" s="10" t="str">
        <f t="shared" si="86"/>
        <v/>
      </c>
      <c r="P576" s="39" t="str">
        <f t="shared" si="87"/>
        <v/>
      </c>
      <c r="Q576" s="13" t="str">
        <f t="shared" si="83"/>
        <v/>
      </c>
      <c r="R576" s="13" t="str">
        <f t="shared" si="88"/>
        <v/>
      </c>
      <c r="S576" s="13" t="str">
        <f t="shared" si="84"/>
        <v/>
      </c>
      <c r="T576" s="22" t="str">
        <f>IF(R576&lt;&gt;"",VLOOKUP(P576,Constants!$D$3:$E$10,2),"")</f>
        <v/>
      </c>
    </row>
    <row r="577" spans="2:20" x14ac:dyDescent="0.25">
      <c r="B577" s="59"/>
      <c r="C577" s="59"/>
      <c r="D577" s="60"/>
      <c r="E577" s="59"/>
      <c r="F577" s="59"/>
      <c r="G577" s="59"/>
      <c r="H577" s="61"/>
      <c r="I577" s="61"/>
      <c r="J577" s="61"/>
      <c r="K577" s="62"/>
      <c r="L577" s="10" t="str">
        <f t="shared" si="81"/>
        <v/>
      </c>
      <c r="M577" s="10" t="str">
        <f t="shared" si="82"/>
        <v/>
      </c>
      <c r="N577" s="11" t="str">
        <f t="shared" si="85"/>
        <v/>
      </c>
      <c r="O577" s="10" t="str">
        <f t="shared" si="86"/>
        <v/>
      </c>
      <c r="P577" s="39" t="str">
        <f t="shared" si="87"/>
        <v/>
      </c>
      <c r="Q577" s="13" t="str">
        <f t="shared" si="83"/>
        <v/>
      </c>
      <c r="R577" s="13" t="str">
        <f t="shared" si="88"/>
        <v/>
      </c>
      <c r="S577" s="13" t="str">
        <f t="shared" si="84"/>
        <v/>
      </c>
      <c r="T577" s="22" t="str">
        <f>IF(R577&lt;&gt;"",VLOOKUP(P577,Constants!$D$3:$E$10,2),"")</f>
        <v/>
      </c>
    </row>
    <row r="578" spans="2:20" x14ac:dyDescent="0.25">
      <c r="B578" s="59"/>
      <c r="C578" s="59"/>
      <c r="D578" s="60"/>
      <c r="E578" s="59"/>
      <c r="F578" s="59"/>
      <c r="G578" s="59"/>
      <c r="H578" s="61"/>
      <c r="I578" s="61"/>
      <c r="J578" s="61"/>
      <c r="K578" s="62"/>
      <c r="L578" s="10" t="str">
        <f t="shared" si="81"/>
        <v/>
      </c>
      <c r="M578" s="10" t="str">
        <f t="shared" si="82"/>
        <v/>
      </c>
      <c r="N578" s="11" t="str">
        <f t="shared" si="85"/>
        <v/>
      </c>
      <c r="O578" s="10" t="str">
        <f t="shared" si="86"/>
        <v/>
      </c>
      <c r="P578" s="39" t="str">
        <f t="shared" si="87"/>
        <v/>
      </c>
      <c r="Q578" s="13" t="str">
        <f t="shared" si="83"/>
        <v/>
      </c>
      <c r="R578" s="13" t="str">
        <f t="shared" si="88"/>
        <v/>
      </c>
      <c r="S578" s="13" t="str">
        <f t="shared" si="84"/>
        <v/>
      </c>
      <c r="T578" s="22" t="str">
        <f>IF(R578&lt;&gt;"",VLOOKUP(P578,Constants!$D$3:$E$10,2),"")</f>
        <v/>
      </c>
    </row>
    <row r="579" spans="2:20" x14ac:dyDescent="0.25">
      <c r="B579" s="59"/>
      <c r="C579" s="59"/>
      <c r="D579" s="60"/>
      <c r="E579" s="59"/>
      <c r="F579" s="59"/>
      <c r="G579" s="59"/>
      <c r="H579" s="61"/>
      <c r="I579" s="61"/>
      <c r="J579" s="61"/>
      <c r="K579" s="62"/>
      <c r="L579" s="10" t="str">
        <f t="shared" si="81"/>
        <v/>
      </c>
      <c r="M579" s="10" t="str">
        <f t="shared" si="82"/>
        <v/>
      </c>
      <c r="N579" s="11" t="str">
        <f t="shared" si="85"/>
        <v/>
      </c>
      <c r="O579" s="10" t="str">
        <f t="shared" si="86"/>
        <v/>
      </c>
      <c r="P579" s="39" t="str">
        <f t="shared" si="87"/>
        <v/>
      </c>
      <c r="Q579" s="13" t="str">
        <f t="shared" si="83"/>
        <v/>
      </c>
      <c r="R579" s="13" t="str">
        <f t="shared" si="88"/>
        <v/>
      </c>
      <c r="S579" s="13" t="str">
        <f t="shared" si="84"/>
        <v/>
      </c>
      <c r="T579" s="22" t="str">
        <f>IF(R579&lt;&gt;"",VLOOKUP(P579,Constants!$D$3:$E$10,2),"")</f>
        <v/>
      </c>
    </row>
    <row r="580" spans="2:20" x14ac:dyDescent="0.25">
      <c r="B580" s="59"/>
      <c r="C580" s="59"/>
      <c r="D580" s="60"/>
      <c r="E580" s="59"/>
      <c r="F580" s="59"/>
      <c r="G580" s="59"/>
      <c r="H580" s="61"/>
      <c r="I580" s="61"/>
      <c r="J580" s="61"/>
      <c r="K580" s="62"/>
      <c r="L580" s="10" t="str">
        <f t="shared" si="81"/>
        <v/>
      </c>
      <c r="M580" s="10" t="str">
        <f t="shared" si="82"/>
        <v/>
      </c>
      <c r="N580" s="11" t="str">
        <f t="shared" si="85"/>
        <v/>
      </c>
      <c r="O580" s="10" t="str">
        <f t="shared" si="86"/>
        <v/>
      </c>
      <c r="P580" s="39" t="str">
        <f t="shared" si="87"/>
        <v/>
      </c>
      <c r="Q580" s="13" t="str">
        <f t="shared" si="83"/>
        <v/>
      </c>
      <c r="R580" s="13" t="str">
        <f t="shared" si="88"/>
        <v/>
      </c>
      <c r="S580" s="13" t="str">
        <f t="shared" si="84"/>
        <v/>
      </c>
      <c r="T580" s="22" t="str">
        <f>IF(R580&lt;&gt;"",VLOOKUP(P580,Constants!$D$3:$E$10,2),"")</f>
        <v/>
      </c>
    </row>
    <row r="581" spans="2:20" x14ac:dyDescent="0.25">
      <c r="B581" s="59"/>
      <c r="C581" s="59"/>
      <c r="D581" s="60"/>
      <c r="E581" s="59"/>
      <c r="F581" s="59"/>
      <c r="G581" s="59"/>
      <c r="H581" s="61"/>
      <c r="I581" s="61"/>
      <c r="J581" s="61"/>
      <c r="K581" s="62"/>
      <c r="L581" s="10" t="str">
        <f t="shared" si="81"/>
        <v/>
      </c>
      <c r="M581" s="10" t="str">
        <f t="shared" si="82"/>
        <v/>
      </c>
      <c r="N581" s="11" t="str">
        <f t="shared" si="85"/>
        <v/>
      </c>
      <c r="O581" s="10" t="str">
        <f t="shared" si="86"/>
        <v/>
      </c>
      <c r="P581" s="39" t="str">
        <f t="shared" si="87"/>
        <v/>
      </c>
      <c r="Q581" s="13" t="str">
        <f t="shared" si="83"/>
        <v/>
      </c>
      <c r="R581" s="13" t="str">
        <f t="shared" si="88"/>
        <v/>
      </c>
      <c r="S581" s="13" t="str">
        <f t="shared" si="84"/>
        <v/>
      </c>
      <c r="T581" s="22" t="str">
        <f>IF(R581&lt;&gt;"",VLOOKUP(P581,Constants!$D$3:$E$10,2),"")</f>
        <v/>
      </c>
    </row>
    <row r="582" spans="2:20" x14ac:dyDescent="0.25">
      <c r="B582" s="59"/>
      <c r="C582" s="59"/>
      <c r="D582" s="60"/>
      <c r="E582" s="59"/>
      <c r="F582" s="59"/>
      <c r="G582" s="59"/>
      <c r="H582" s="61"/>
      <c r="I582" s="61"/>
      <c r="J582" s="61"/>
      <c r="K582" s="62"/>
      <c r="L582" s="10" t="str">
        <f t="shared" si="81"/>
        <v/>
      </c>
      <c r="M582" s="10" t="str">
        <f t="shared" si="82"/>
        <v/>
      </c>
      <c r="N582" s="11" t="str">
        <f t="shared" si="85"/>
        <v/>
      </c>
      <c r="O582" s="10" t="str">
        <f t="shared" si="86"/>
        <v/>
      </c>
      <c r="P582" s="39" t="str">
        <f t="shared" si="87"/>
        <v/>
      </c>
      <c r="Q582" s="13" t="str">
        <f t="shared" si="83"/>
        <v/>
      </c>
      <c r="R582" s="13" t="str">
        <f t="shared" si="88"/>
        <v/>
      </c>
      <c r="S582" s="13" t="str">
        <f t="shared" si="84"/>
        <v/>
      </c>
      <c r="T582" s="22" t="str">
        <f>IF(R582&lt;&gt;"",VLOOKUP(P582,Constants!$D$3:$E$10,2),"")</f>
        <v/>
      </c>
    </row>
    <row r="583" spans="2:20" x14ac:dyDescent="0.25">
      <c r="B583" s="59"/>
      <c r="C583" s="59"/>
      <c r="D583" s="60"/>
      <c r="E583" s="59"/>
      <c r="F583" s="59"/>
      <c r="G583" s="59"/>
      <c r="H583" s="61"/>
      <c r="I583" s="61"/>
      <c r="J583" s="61"/>
      <c r="K583" s="62"/>
      <c r="L583" s="10" t="str">
        <f t="shared" si="81"/>
        <v/>
      </c>
      <c r="M583" s="10" t="str">
        <f t="shared" si="82"/>
        <v/>
      </c>
      <c r="N583" s="11" t="str">
        <f t="shared" si="85"/>
        <v/>
      </c>
      <c r="O583" s="10" t="str">
        <f t="shared" si="86"/>
        <v/>
      </c>
      <c r="P583" s="39" t="str">
        <f t="shared" si="87"/>
        <v/>
      </c>
      <c r="Q583" s="13" t="str">
        <f t="shared" si="83"/>
        <v/>
      </c>
      <c r="R583" s="13" t="str">
        <f t="shared" si="88"/>
        <v/>
      </c>
      <c r="S583" s="13" t="str">
        <f t="shared" si="84"/>
        <v/>
      </c>
      <c r="T583" s="22" t="str">
        <f>IF(R583&lt;&gt;"",VLOOKUP(P583,Constants!$D$3:$E$10,2),"")</f>
        <v/>
      </c>
    </row>
    <row r="584" spans="2:20" x14ac:dyDescent="0.25">
      <c r="B584" s="59"/>
      <c r="C584" s="59"/>
      <c r="D584" s="60"/>
      <c r="E584" s="59"/>
      <c r="F584" s="59"/>
      <c r="G584" s="59"/>
      <c r="H584" s="61"/>
      <c r="I584" s="61"/>
      <c r="J584" s="61"/>
      <c r="K584" s="62"/>
      <c r="L584" s="10" t="str">
        <f t="shared" ref="L584:L647" si="89">IF($D584&lt;&gt;"",$D584*$E584/1000,"")</f>
        <v/>
      </c>
      <c r="M584" s="10" t="str">
        <f t="shared" ref="M584:M647" si="90">IF($D584&lt;&gt;"",$D584*$F584/1000,"")</f>
        <v/>
      </c>
      <c r="N584" s="11" t="str">
        <f t="shared" si="85"/>
        <v/>
      </c>
      <c r="O584" s="10" t="str">
        <f t="shared" si="86"/>
        <v/>
      </c>
      <c r="P584" s="39" t="str">
        <f t="shared" si="87"/>
        <v/>
      </c>
      <c r="Q584" s="13" t="str">
        <f t="shared" ref="Q584:Q647" si="91">IF(F584&lt;&gt;"",F584*E584/1000,"")</f>
        <v/>
      </c>
      <c r="R584" s="13" t="str">
        <f t="shared" si="88"/>
        <v/>
      </c>
      <c r="S584" s="13" t="str">
        <f t="shared" ref="S584:S647" si="92">IF(R584&lt;&gt;"",Q584/R584*1000,"")</f>
        <v/>
      </c>
      <c r="T584" s="22" t="str">
        <f>IF(R584&lt;&gt;"",VLOOKUP(P584,Constants!$D$3:$E$10,2),"")</f>
        <v/>
      </c>
    </row>
    <row r="585" spans="2:20" x14ac:dyDescent="0.25">
      <c r="B585" s="59"/>
      <c r="C585" s="59"/>
      <c r="D585" s="60"/>
      <c r="E585" s="59"/>
      <c r="F585" s="59"/>
      <c r="G585" s="59"/>
      <c r="H585" s="61"/>
      <c r="I585" s="61"/>
      <c r="J585" s="61"/>
      <c r="K585" s="62"/>
      <c r="L585" s="10" t="str">
        <f t="shared" si="89"/>
        <v/>
      </c>
      <c r="M585" s="10" t="str">
        <f t="shared" si="90"/>
        <v/>
      </c>
      <c r="N585" s="11" t="str">
        <f t="shared" si="85"/>
        <v/>
      </c>
      <c r="O585" s="10" t="str">
        <f t="shared" si="86"/>
        <v/>
      </c>
      <c r="P585" s="39" t="str">
        <f t="shared" si="87"/>
        <v/>
      </c>
      <c r="Q585" s="13" t="str">
        <f t="shared" si="91"/>
        <v/>
      </c>
      <c r="R585" s="13" t="str">
        <f t="shared" si="88"/>
        <v/>
      </c>
      <c r="S585" s="13" t="str">
        <f t="shared" si="92"/>
        <v/>
      </c>
      <c r="T585" s="22" t="str">
        <f>IF(R585&lt;&gt;"",VLOOKUP(P585,Constants!$D$3:$E$10,2),"")</f>
        <v/>
      </c>
    </row>
    <row r="586" spans="2:20" x14ac:dyDescent="0.25">
      <c r="B586" s="59"/>
      <c r="C586" s="59"/>
      <c r="D586" s="60"/>
      <c r="E586" s="59"/>
      <c r="F586" s="59"/>
      <c r="G586" s="59"/>
      <c r="H586" s="61"/>
      <c r="I586" s="61"/>
      <c r="J586" s="61"/>
      <c r="K586" s="62"/>
      <c r="L586" s="10" t="str">
        <f t="shared" si="89"/>
        <v/>
      </c>
      <c r="M586" s="10" t="str">
        <f t="shared" si="90"/>
        <v/>
      </c>
      <c r="N586" s="11" t="str">
        <f t="shared" si="85"/>
        <v/>
      </c>
      <c r="O586" s="10" t="str">
        <f t="shared" si="86"/>
        <v/>
      </c>
      <c r="P586" s="39" t="str">
        <f t="shared" si="87"/>
        <v/>
      </c>
      <c r="Q586" s="13" t="str">
        <f t="shared" si="91"/>
        <v/>
      </c>
      <c r="R586" s="13" t="str">
        <f t="shared" si="88"/>
        <v/>
      </c>
      <c r="S586" s="13" t="str">
        <f t="shared" si="92"/>
        <v/>
      </c>
      <c r="T586" s="22" t="str">
        <f>IF(R586&lt;&gt;"",VLOOKUP(P586,Constants!$D$3:$E$10,2),"")</f>
        <v/>
      </c>
    </row>
    <row r="587" spans="2:20" x14ac:dyDescent="0.25">
      <c r="B587" s="59"/>
      <c r="C587" s="59"/>
      <c r="D587" s="60"/>
      <c r="E587" s="59"/>
      <c r="F587" s="59"/>
      <c r="G587" s="59"/>
      <c r="H587" s="61"/>
      <c r="I587" s="61"/>
      <c r="J587" s="61"/>
      <c r="K587" s="62"/>
      <c r="L587" s="10" t="str">
        <f t="shared" si="89"/>
        <v/>
      </c>
      <c r="M587" s="10" t="str">
        <f t="shared" si="90"/>
        <v/>
      </c>
      <c r="N587" s="11" t="str">
        <f t="shared" si="85"/>
        <v/>
      </c>
      <c r="O587" s="10" t="str">
        <f t="shared" si="86"/>
        <v/>
      </c>
      <c r="P587" s="39" t="str">
        <f t="shared" si="87"/>
        <v/>
      </c>
      <c r="Q587" s="13" t="str">
        <f t="shared" si="91"/>
        <v/>
      </c>
      <c r="R587" s="13" t="str">
        <f t="shared" si="88"/>
        <v/>
      </c>
      <c r="S587" s="13" t="str">
        <f t="shared" si="92"/>
        <v/>
      </c>
      <c r="T587" s="22" t="str">
        <f>IF(R587&lt;&gt;"",VLOOKUP(P587,Constants!$D$3:$E$10,2),"")</f>
        <v/>
      </c>
    </row>
    <row r="588" spans="2:20" x14ac:dyDescent="0.25">
      <c r="B588" s="59"/>
      <c r="C588" s="59"/>
      <c r="D588" s="60"/>
      <c r="E588" s="59"/>
      <c r="F588" s="59"/>
      <c r="G588" s="59"/>
      <c r="H588" s="61"/>
      <c r="I588" s="61"/>
      <c r="J588" s="61"/>
      <c r="K588" s="62"/>
      <c r="L588" s="10" t="str">
        <f t="shared" si="89"/>
        <v/>
      </c>
      <c r="M588" s="10" t="str">
        <f t="shared" si="90"/>
        <v/>
      </c>
      <c r="N588" s="11" t="str">
        <f t="shared" si="85"/>
        <v/>
      </c>
      <c r="O588" s="10" t="str">
        <f t="shared" si="86"/>
        <v/>
      </c>
      <c r="P588" s="39" t="str">
        <f t="shared" si="87"/>
        <v/>
      </c>
      <c r="Q588" s="13" t="str">
        <f t="shared" si="91"/>
        <v/>
      </c>
      <c r="R588" s="13" t="str">
        <f t="shared" si="88"/>
        <v/>
      </c>
      <c r="S588" s="13" t="str">
        <f t="shared" si="92"/>
        <v/>
      </c>
      <c r="T588" s="22" t="str">
        <f>IF(R588&lt;&gt;"",VLOOKUP(P588,Constants!$D$3:$E$10,2),"")</f>
        <v/>
      </c>
    </row>
    <row r="589" spans="2:20" x14ac:dyDescent="0.25">
      <c r="B589" s="59"/>
      <c r="C589" s="59"/>
      <c r="D589" s="60"/>
      <c r="E589" s="59"/>
      <c r="F589" s="59"/>
      <c r="G589" s="59"/>
      <c r="H589" s="61"/>
      <c r="I589" s="61"/>
      <c r="J589" s="61"/>
      <c r="K589" s="62"/>
      <c r="L589" s="10" t="str">
        <f t="shared" si="89"/>
        <v/>
      </c>
      <c r="M589" s="10" t="str">
        <f t="shared" si="90"/>
        <v/>
      </c>
      <c r="N589" s="11" t="str">
        <f t="shared" si="85"/>
        <v/>
      </c>
      <c r="O589" s="10" t="str">
        <f t="shared" si="86"/>
        <v/>
      </c>
      <c r="P589" s="39" t="str">
        <f t="shared" si="87"/>
        <v/>
      </c>
      <c r="Q589" s="13" t="str">
        <f t="shared" si="91"/>
        <v/>
      </c>
      <c r="R589" s="13" t="str">
        <f t="shared" si="88"/>
        <v/>
      </c>
      <c r="S589" s="13" t="str">
        <f t="shared" si="92"/>
        <v/>
      </c>
      <c r="T589" s="22" t="str">
        <f>IF(R589&lt;&gt;"",VLOOKUP(P589,Constants!$D$3:$E$10,2),"")</f>
        <v/>
      </c>
    </row>
    <row r="590" spans="2:20" x14ac:dyDescent="0.25">
      <c r="B590" s="59"/>
      <c r="C590" s="59"/>
      <c r="D590" s="60"/>
      <c r="E590" s="59"/>
      <c r="F590" s="59"/>
      <c r="G590" s="59"/>
      <c r="H590" s="61"/>
      <c r="I590" s="61"/>
      <c r="J590" s="61"/>
      <c r="K590" s="62"/>
      <c r="L590" s="10" t="str">
        <f t="shared" si="89"/>
        <v/>
      </c>
      <c r="M590" s="10" t="str">
        <f t="shared" si="90"/>
        <v/>
      </c>
      <c r="N590" s="11" t="str">
        <f t="shared" si="85"/>
        <v/>
      </c>
      <c r="O590" s="10" t="str">
        <f t="shared" si="86"/>
        <v/>
      </c>
      <c r="P590" s="39" t="str">
        <f t="shared" si="87"/>
        <v/>
      </c>
      <c r="Q590" s="13" t="str">
        <f t="shared" si="91"/>
        <v/>
      </c>
      <c r="R590" s="13" t="str">
        <f t="shared" si="88"/>
        <v/>
      </c>
      <c r="S590" s="13" t="str">
        <f t="shared" si="92"/>
        <v/>
      </c>
      <c r="T590" s="22" t="str">
        <f>IF(R590&lt;&gt;"",VLOOKUP(P590,Constants!$D$3:$E$10,2),"")</f>
        <v/>
      </c>
    </row>
    <row r="591" spans="2:20" x14ac:dyDescent="0.25">
      <c r="B591" s="59"/>
      <c r="C591" s="59"/>
      <c r="D591" s="60"/>
      <c r="E591" s="59"/>
      <c r="F591" s="59"/>
      <c r="G591" s="59"/>
      <c r="H591" s="61"/>
      <c r="I591" s="61"/>
      <c r="J591" s="61"/>
      <c r="K591" s="62"/>
      <c r="L591" s="10" t="str">
        <f t="shared" si="89"/>
        <v/>
      </c>
      <c r="M591" s="10" t="str">
        <f t="shared" si="90"/>
        <v/>
      </c>
      <c r="N591" s="11" t="str">
        <f t="shared" si="85"/>
        <v/>
      </c>
      <c r="O591" s="10" t="str">
        <f t="shared" si="86"/>
        <v/>
      </c>
      <c r="P591" s="39" t="str">
        <f t="shared" si="87"/>
        <v/>
      </c>
      <c r="Q591" s="13" t="str">
        <f t="shared" si="91"/>
        <v/>
      </c>
      <c r="R591" s="13" t="str">
        <f t="shared" si="88"/>
        <v/>
      </c>
      <c r="S591" s="13" t="str">
        <f t="shared" si="92"/>
        <v/>
      </c>
      <c r="T591" s="22" t="str">
        <f>IF(R591&lt;&gt;"",VLOOKUP(P591,Constants!$D$3:$E$10,2),"")</f>
        <v/>
      </c>
    </row>
    <row r="592" spans="2:20" x14ac:dyDescent="0.25">
      <c r="B592" s="59"/>
      <c r="C592" s="59"/>
      <c r="D592" s="60"/>
      <c r="E592" s="59"/>
      <c r="F592" s="59"/>
      <c r="G592" s="59"/>
      <c r="H592" s="61"/>
      <c r="I592" s="61"/>
      <c r="J592" s="61"/>
      <c r="K592" s="62"/>
      <c r="L592" s="10" t="str">
        <f t="shared" si="89"/>
        <v/>
      </c>
      <c r="M592" s="10" t="str">
        <f t="shared" si="90"/>
        <v/>
      </c>
      <c r="N592" s="11" t="str">
        <f t="shared" ref="N592:N655" si="93">IF($L592&lt;&gt;"",SQRT($L592*$L592+$M592*$M592),"")</f>
        <v/>
      </c>
      <c r="O592" s="10" t="str">
        <f t="shared" si="86"/>
        <v/>
      </c>
      <c r="P592" s="39" t="str">
        <f t="shared" si="87"/>
        <v/>
      </c>
      <c r="Q592" s="13" t="str">
        <f t="shared" si="91"/>
        <v/>
      </c>
      <c r="R592" s="13" t="str">
        <f t="shared" si="88"/>
        <v/>
      </c>
      <c r="S592" s="13" t="str">
        <f t="shared" si="92"/>
        <v/>
      </c>
      <c r="T592" s="22" t="str">
        <f>IF(R592&lt;&gt;"",VLOOKUP(P592,Constants!$D$3:$E$10,2),"")</f>
        <v/>
      </c>
    </row>
    <row r="593" spans="2:20" x14ac:dyDescent="0.25">
      <c r="B593" s="59"/>
      <c r="C593" s="59"/>
      <c r="D593" s="60"/>
      <c r="E593" s="59"/>
      <c r="F593" s="59"/>
      <c r="G593" s="59"/>
      <c r="H593" s="61"/>
      <c r="I593" s="61"/>
      <c r="J593" s="61"/>
      <c r="K593" s="62"/>
      <c r="L593" s="10" t="str">
        <f t="shared" si="89"/>
        <v/>
      </c>
      <c r="M593" s="10" t="str">
        <f t="shared" si="90"/>
        <v/>
      </c>
      <c r="N593" s="11" t="str">
        <f t="shared" si="93"/>
        <v/>
      </c>
      <c r="O593" s="10" t="str">
        <f t="shared" si="86"/>
        <v/>
      </c>
      <c r="P593" s="39" t="str">
        <f t="shared" si="87"/>
        <v/>
      </c>
      <c r="Q593" s="13" t="str">
        <f t="shared" si="91"/>
        <v/>
      </c>
      <c r="R593" s="13" t="str">
        <f t="shared" si="88"/>
        <v/>
      </c>
      <c r="S593" s="13" t="str">
        <f t="shared" si="92"/>
        <v/>
      </c>
      <c r="T593" s="22" t="str">
        <f>IF(R593&lt;&gt;"",VLOOKUP(P593,Constants!$D$3:$E$10,2),"")</f>
        <v/>
      </c>
    </row>
    <row r="594" spans="2:20" x14ac:dyDescent="0.25">
      <c r="B594" s="59"/>
      <c r="C594" s="59"/>
      <c r="D594" s="60"/>
      <c r="E594" s="59"/>
      <c r="F594" s="59"/>
      <c r="G594" s="59"/>
      <c r="H594" s="61"/>
      <c r="I594" s="61"/>
      <c r="J594" s="61"/>
      <c r="K594" s="62"/>
      <c r="L594" s="10" t="str">
        <f t="shared" si="89"/>
        <v/>
      </c>
      <c r="M594" s="10" t="str">
        <f t="shared" si="90"/>
        <v/>
      </c>
      <c r="N594" s="11" t="str">
        <f t="shared" si="93"/>
        <v/>
      </c>
      <c r="O594" s="10" t="str">
        <f t="shared" si="86"/>
        <v/>
      </c>
      <c r="P594" s="39" t="str">
        <f t="shared" si="87"/>
        <v/>
      </c>
      <c r="Q594" s="13" t="str">
        <f t="shared" si="91"/>
        <v/>
      </c>
      <c r="R594" s="13" t="str">
        <f t="shared" si="88"/>
        <v/>
      </c>
      <c r="S594" s="13" t="str">
        <f t="shared" si="92"/>
        <v/>
      </c>
      <c r="T594" s="22" t="str">
        <f>IF(R594&lt;&gt;"",VLOOKUP(P594,Constants!$D$3:$E$10,2),"")</f>
        <v/>
      </c>
    </row>
    <row r="595" spans="2:20" x14ac:dyDescent="0.25">
      <c r="B595" s="59"/>
      <c r="C595" s="59"/>
      <c r="D595" s="60"/>
      <c r="E595" s="59"/>
      <c r="F595" s="59"/>
      <c r="G595" s="59"/>
      <c r="H595" s="61"/>
      <c r="I595" s="61"/>
      <c r="J595" s="61"/>
      <c r="K595" s="62"/>
      <c r="L595" s="10" t="str">
        <f t="shared" si="89"/>
        <v/>
      </c>
      <c r="M595" s="10" t="str">
        <f t="shared" si="90"/>
        <v/>
      </c>
      <c r="N595" s="11" t="str">
        <f t="shared" si="93"/>
        <v/>
      </c>
      <c r="O595" s="10" t="str">
        <f t="shared" si="86"/>
        <v/>
      </c>
      <c r="P595" s="39" t="str">
        <f t="shared" si="87"/>
        <v/>
      </c>
      <c r="Q595" s="13" t="str">
        <f t="shared" si="91"/>
        <v/>
      </c>
      <c r="R595" s="13" t="str">
        <f t="shared" si="88"/>
        <v/>
      </c>
      <c r="S595" s="13" t="str">
        <f t="shared" si="92"/>
        <v/>
      </c>
      <c r="T595" s="22" t="str">
        <f>IF(R595&lt;&gt;"",VLOOKUP(P595,Constants!$D$3:$E$10,2),"")</f>
        <v/>
      </c>
    </row>
    <row r="596" spans="2:20" x14ac:dyDescent="0.25">
      <c r="B596" s="59"/>
      <c r="C596" s="59"/>
      <c r="D596" s="60"/>
      <c r="E596" s="59"/>
      <c r="F596" s="59"/>
      <c r="G596" s="59"/>
      <c r="H596" s="61"/>
      <c r="I596" s="61"/>
      <c r="J596" s="61"/>
      <c r="K596" s="62"/>
      <c r="L596" s="10" t="str">
        <f t="shared" si="89"/>
        <v/>
      </c>
      <c r="M596" s="10" t="str">
        <f t="shared" si="90"/>
        <v/>
      </c>
      <c r="N596" s="11" t="str">
        <f t="shared" si="93"/>
        <v/>
      </c>
      <c r="O596" s="10" t="str">
        <f t="shared" si="86"/>
        <v/>
      </c>
      <c r="P596" s="39" t="str">
        <f t="shared" si="87"/>
        <v/>
      </c>
      <c r="Q596" s="13" t="str">
        <f t="shared" si="91"/>
        <v/>
      </c>
      <c r="R596" s="13" t="str">
        <f t="shared" si="88"/>
        <v/>
      </c>
      <c r="S596" s="13" t="str">
        <f t="shared" si="92"/>
        <v/>
      </c>
      <c r="T596" s="22" t="str">
        <f>IF(R596&lt;&gt;"",VLOOKUP(P596,Constants!$D$3:$E$10,2),"")</f>
        <v/>
      </c>
    </row>
    <row r="597" spans="2:20" x14ac:dyDescent="0.25">
      <c r="B597" s="59"/>
      <c r="C597" s="59"/>
      <c r="D597" s="60"/>
      <c r="E597" s="59"/>
      <c r="F597" s="59"/>
      <c r="G597" s="59"/>
      <c r="H597" s="61"/>
      <c r="I597" s="61"/>
      <c r="J597" s="61"/>
      <c r="K597" s="62"/>
      <c r="L597" s="10" t="str">
        <f t="shared" si="89"/>
        <v/>
      </c>
      <c r="M597" s="10" t="str">
        <f t="shared" si="90"/>
        <v/>
      </c>
      <c r="N597" s="11" t="str">
        <f t="shared" si="93"/>
        <v/>
      </c>
      <c r="O597" s="10" t="str">
        <f t="shared" si="86"/>
        <v/>
      </c>
      <c r="P597" s="39" t="str">
        <f t="shared" si="87"/>
        <v/>
      </c>
      <c r="Q597" s="13" t="str">
        <f t="shared" si="91"/>
        <v/>
      </c>
      <c r="R597" s="13" t="str">
        <f t="shared" si="88"/>
        <v/>
      </c>
      <c r="S597" s="13" t="str">
        <f t="shared" si="92"/>
        <v/>
      </c>
      <c r="T597" s="22" t="str">
        <f>IF(R597&lt;&gt;"",VLOOKUP(P597,Constants!$D$3:$E$10,2),"")</f>
        <v/>
      </c>
    </row>
    <row r="598" spans="2:20" x14ac:dyDescent="0.25">
      <c r="B598" s="59"/>
      <c r="C598" s="59"/>
      <c r="D598" s="60"/>
      <c r="E598" s="59"/>
      <c r="F598" s="59"/>
      <c r="G598" s="59"/>
      <c r="H598" s="61"/>
      <c r="I598" s="61"/>
      <c r="J598" s="61"/>
      <c r="K598" s="62"/>
      <c r="L598" s="10" t="str">
        <f t="shared" si="89"/>
        <v/>
      </c>
      <c r="M598" s="10" t="str">
        <f t="shared" si="90"/>
        <v/>
      </c>
      <c r="N598" s="11" t="str">
        <f t="shared" si="93"/>
        <v/>
      </c>
      <c r="O598" s="10" t="str">
        <f t="shared" si="86"/>
        <v/>
      </c>
      <c r="P598" s="39" t="str">
        <f t="shared" si="87"/>
        <v/>
      </c>
      <c r="Q598" s="13" t="str">
        <f t="shared" si="91"/>
        <v/>
      </c>
      <c r="R598" s="13" t="str">
        <f t="shared" si="88"/>
        <v/>
      </c>
      <c r="S598" s="13" t="str">
        <f t="shared" si="92"/>
        <v/>
      </c>
      <c r="T598" s="22" t="str">
        <f>IF(R598&lt;&gt;"",VLOOKUP(P598,Constants!$D$3:$E$10,2),"")</f>
        <v/>
      </c>
    </row>
    <row r="599" spans="2:20" x14ac:dyDescent="0.25">
      <c r="B599" s="59"/>
      <c r="C599" s="59"/>
      <c r="D599" s="60"/>
      <c r="E599" s="59"/>
      <c r="F599" s="59"/>
      <c r="G599" s="59"/>
      <c r="H599" s="61"/>
      <c r="I599" s="61"/>
      <c r="J599" s="61"/>
      <c r="K599" s="62"/>
      <c r="L599" s="10" t="str">
        <f t="shared" si="89"/>
        <v/>
      </c>
      <c r="M599" s="10" t="str">
        <f t="shared" si="90"/>
        <v/>
      </c>
      <c r="N599" s="11" t="str">
        <f t="shared" si="93"/>
        <v/>
      </c>
      <c r="O599" s="10" t="str">
        <f t="shared" ref="O599:O662" si="94">IF(D599&lt;&gt;"",1000/(2*D599),"")</f>
        <v/>
      </c>
      <c r="P599" s="39" t="str">
        <f t="shared" ref="P599:P662" si="95">IF($N599&lt;&gt;"",D599*SQRT(E599*E599+F599*F599)/16000,"")</f>
        <v/>
      </c>
      <c r="Q599" s="13" t="str">
        <f t="shared" si="91"/>
        <v/>
      </c>
      <c r="R599" s="13" t="str">
        <f t="shared" ref="R599:R662" si="96">IF(G599&lt;&gt;"",1000/G599,"")</f>
        <v/>
      </c>
      <c r="S599" s="13" t="str">
        <f t="shared" si="92"/>
        <v/>
      </c>
      <c r="T599" s="22" t="str">
        <f>IF(R599&lt;&gt;"",VLOOKUP(P599,Constants!$D$3:$E$10,2),"")</f>
        <v/>
      </c>
    </row>
    <row r="600" spans="2:20" x14ac:dyDescent="0.25">
      <c r="B600" s="59"/>
      <c r="C600" s="59"/>
      <c r="D600" s="60"/>
      <c r="E600" s="59"/>
      <c r="F600" s="59"/>
      <c r="G600" s="59"/>
      <c r="H600" s="61"/>
      <c r="I600" s="61"/>
      <c r="J600" s="61"/>
      <c r="K600" s="62"/>
      <c r="L600" s="10" t="str">
        <f t="shared" si="89"/>
        <v/>
      </c>
      <c r="M600" s="10" t="str">
        <f t="shared" si="90"/>
        <v/>
      </c>
      <c r="N600" s="11" t="str">
        <f t="shared" si="93"/>
        <v/>
      </c>
      <c r="O600" s="10" t="str">
        <f t="shared" si="94"/>
        <v/>
      </c>
      <c r="P600" s="39" t="str">
        <f t="shared" si="95"/>
        <v/>
      </c>
      <c r="Q600" s="13" t="str">
        <f t="shared" si="91"/>
        <v/>
      </c>
      <c r="R600" s="13" t="str">
        <f t="shared" si="96"/>
        <v/>
      </c>
      <c r="S600" s="13" t="str">
        <f t="shared" si="92"/>
        <v/>
      </c>
      <c r="T600" s="22" t="str">
        <f>IF(R600&lt;&gt;"",VLOOKUP(P600,Constants!$D$3:$E$10,2),"")</f>
        <v/>
      </c>
    </row>
    <row r="601" spans="2:20" x14ac:dyDescent="0.25">
      <c r="B601" s="59"/>
      <c r="C601" s="59"/>
      <c r="D601" s="60"/>
      <c r="E601" s="59"/>
      <c r="F601" s="59"/>
      <c r="G601" s="59"/>
      <c r="H601" s="61"/>
      <c r="I601" s="61"/>
      <c r="J601" s="61"/>
      <c r="K601" s="62"/>
      <c r="L601" s="10" t="str">
        <f t="shared" si="89"/>
        <v/>
      </c>
      <c r="M601" s="10" t="str">
        <f t="shared" si="90"/>
        <v/>
      </c>
      <c r="N601" s="11" t="str">
        <f t="shared" si="93"/>
        <v/>
      </c>
      <c r="O601" s="10" t="str">
        <f t="shared" si="94"/>
        <v/>
      </c>
      <c r="P601" s="39" t="str">
        <f t="shared" si="95"/>
        <v/>
      </c>
      <c r="Q601" s="13" t="str">
        <f t="shared" si="91"/>
        <v/>
      </c>
      <c r="R601" s="13" t="str">
        <f t="shared" si="96"/>
        <v/>
      </c>
      <c r="S601" s="13" t="str">
        <f t="shared" si="92"/>
        <v/>
      </c>
      <c r="T601" s="22" t="str">
        <f>IF(R601&lt;&gt;"",VLOOKUP(P601,Constants!$D$3:$E$10,2),"")</f>
        <v/>
      </c>
    </row>
    <row r="602" spans="2:20" x14ac:dyDescent="0.25">
      <c r="B602" s="59"/>
      <c r="C602" s="59"/>
      <c r="D602" s="60"/>
      <c r="E602" s="59"/>
      <c r="F602" s="59"/>
      <c r="G602" s="59"/>
      <c r="H602" s="61"/>
      <c r="I602" s="61"/>
      <c r="J602" s="61"/>
      <c r="K602" s="62"/>
      <c r="L602" s="10" t="str">
        <f t="shared" si="89"/>
        <v/>
      </c>
      <c r="M602" s="10" t="str">
        <f t="shared" si="90"/>
        <v/>
      </c>
      <c r="N602" s="11" t="str">
        <f t="shared" si="93"/>
        <v/>
      </c>
      <c r="O602" s="10" t="str">
        <f t="shared" si="94"/>
        <v/>
      </c>
      <c r="P602" s="39" t="str">
        <f t="shared" si="95"/>
        <v/>
      </c>
      <c r="Q602" s="13" t="str">
        <f t="shared" si="91"/>
        <v/>
      </c>
      <c r="R602" s="13" t="str">
        <f t="shared" si="96"/>
        <v/>
      </c>
      <c r="S602" s="13" t="str">
        <f t="shared" si="92"/>
        <v/>
      </c>
      <c r="T602" s="22" t="str">
        <f>IF(R602&lt;&gt;"",VLOOKUP(P602,Constants!$D$3:$E$10,2),"")</f>
        <v/>
      </c>
    </row>
    <row r="603" spans="2:20" x14ac:dyDescent="0.25">
      <c r="B603" s="59"/>
      <c r="C603" s="59"/>
      <c r="D603" s="60"/>
      <c r="E603" s="59"/>
      <c r="F603" s="59"/>
      <c r="G603" s="59"/>
      <c r="H603" s="61"/>
      <c r="I603" s="61"/>
      <c r="J603" s="61"/>
      <c r="K603" s="62"/>
      <c r="L603" s="10" t="str">
        <f t="shared" si="89"/>
        <v/>
      </c>
      <c r="M603" s="10" t="str">
        <f t="shared" si="90"/>
        <v/>
      </c>
      <c r="N603" s="11" t="str">
        <f t="shared" si="93"/>
        <v/>
      </c>
      <c r="O603" s="10" t="str">
        <f t="shared" si="94"/>
        <v/>
      </c>
      <c r="P603" s="39" t="str">
        <f t="shared" si="95"/>
        <v/>
      </c>
      <c r="Q603" s="13" t="str">
        <f t="shared" si="91"/>
        <v/>
      </c>
      <c r="R603" s="13" t="str">
        <f t="shared" si="96"/>
        <v/>
      </c>
      <c r="S603" s="13" t="str">
        <f t="shared" si="92"/>
        <v/>
      </c>
      <c r="T603" s="22" t="str">
        <f>IF(R603&lt;&gt;"",VLOOKUP(P603,Constants!$D$3:$E$10,2),"")</f>
        <v/>
      </c>
    </row>
    <row r="604" spans="2:20" x14ac:dyDescent="0.25">
      <c r="B604" s="59"/>
      <c r="C604" s="59"/>
      <c r="D604" s="60"/>
      <c r="E604" s="59"/>
      <c r="F604" s="59"/>
      <c r="G604" s="59"/>
      <c r="H604" s="61"/>
      <c r="I604" s="61"/>
      <c r="J604" s="61"/>
      <c r="K604" s="62"/>
      <c r="L604" s="10" t="str">
        <f t="shared" si="89"/>
        <v/>
      </c>
      <c r="M604" s="10" t="str">
        <f t="shared" si="90"/>
        <v/>
      </c>
      <c r="N604" s="11" t="str">
        <f t="shared" si="93"/>
        <v/>
      </c>
      <c r="O604" s="10" t="str">
        <f t="shared" si="94"/>
        <v/>
      </c>
      <c r="P604" s="39" t="str">
        <f t="shared" si="95"/>
        <v/>
      </c>
      <c r="Q604" s="13" t="str">
        <f t="shared" si="91"/>
        <v/>
      </c>
      <c r="R604" s="13" t="str">
        <f t="shared" si="96"/>
        <v/>
      </c>
      <c r="S604" s="13" t="str">
        <f t="shared" si="92"/>
        <v/>
      </c>
      <c r="T604" s="22" t="str">
        <f>IF(R604&lt;&gt;"",VLOOKUP(P604,Constants!$D$3:$E$10,2),"")</f>
        <v/>
      </c>
    </row>
    <row r="605" spans="2:20" x14ac:dyDescent="0.25">
      <c r="B605" s="59"/>
      <c r="C605" s="59"/>
      <c r="D605" s="60"/>
      <c r="E605" s="59"/>
      <c r="F605" s="59"/>
      <c r="G605" s="59"/>
      <c r="H605" s="61"/>
      <c r="I605" s="61"/>
      <c r="J605" s="61"/>
      <c r="K605" s="62"/>
      <c r="L605" s="10" t="str">
        <f t="shared" si="89"/>
        <v/>
      </c>
      <c r="M605" s="10" t="str">
        <f t="shared" si="90"/>
        <v/>
      </c>
      <c r="N605" s="11" t="str">
        <f t="shared" si="93"/>
        <v/>
      </c>
      <c r="O605" s="10" t="str">
        <f t="shared" si="94"/>
        <v/>
      </c>
      <c r="P605" s="39" t="str">
        <f t="shared" si="95"/>
        <v/>
      </c>
      <c r="Q605" s="13" t="str">
        <f t="shared" si="91"/>
        <v/>
      </c>
      <c r="R605" s="13" t="str">
        <f t="shared" si="96"/>
        <v/>
      </c>
      <c r="S605" s="13" t="str">
        <f t="shared" si="92"/>
        <v/>
      </c>
      <c r="T605" s="22" t="str">
        <f>IF(R605&lt;&gt;"",VLOOKUP(P605,Constants!$D$3:$E$10,2),"")</f>
        <v/>
      </c>
    </row>
    <row r="606" spans="2:20" x14ac:dyDescent="0.25">
      <c r="B606" s="59"/>
      <c r="C606" s="59"/>
      <c r="D606" s="60"/>
      <c r="E606" s="59"/>
      <c r="F606" s="59"/>
      <c r="G606" s="59"/>
      <c r="H606" s="61"/>
      <c r="I606" s="61"/>
      <c r="J606" s="61"/>
      <c r="K606" s="62"/>
      <c r="L606" s="10" t="str">
        <f t="shared" si="89"/>
        <v/>
      </c>
      <c r="M606" s="10" t="str">
        <f t="shared" si="90"/>
        <v/>
      </c>
      <c r="N606" s="11" t="str">
        <f t="shared" si="93"/>
        <v/>
      </c>
      <c r="O606" s="10" t="str">
        <f t="shared" si="94"/>
        <v/>
      </c>
      <c r="P606" s="39" t="str">
        <f t="shared" si="95"/>
        <v/>
      </c>
      <c r="Q606" s="13" t="str">
        <f t="shared" si="91"/>
        <v/>
      </c>
      <c r="R606" s="13" t="str">
        <f t="shared" si="96"/>
        <v/>
      </c>
      <c r="S606" s="13" t="str">
        <f t="shared" si="92"/>
        <v/>
      </c>
      <c r="T606" s="22" t="str">
        <f>IF(R606&lt;&gt;"",VLOOKUP(P606,Constants!$D$3:$E$10,2),"")</f>
        <v/>
      </c>
    </row>
    <row r="607" spans="2:20" x14ac:dyDescent="0.25">
      <c r="B607" s="59"/>
      <c r="C607" s="59"/>
      <c r="D607" s="60"/>
      <c r="E607" s="59"/>
      <c r="F607" s="59"/>
      <c r="G607" s="59"/>
      <c r="H607" s="61"/>
      <c r="I607" s="61"/>
      <c r="J607" s="61"/>
      <c r="K607" s="62"/>
      <c r="L607" s="10" t="str">
        <f t="shared" si="89"/>
        <v/>
      </c>
      <c r="M607" s="10" t="str">
        <f t="shared" si="90"/>
        <v/>
      </c>
      <c r="N607" s="11" t="str">
        <f t="shared" si="93"/>
        <v/>
      </c>
      <c r="O607" s="10" t="str">
        <f t="shared" si="94"/>
        <v/>
      </c>
      <c r="P607" s="39" t="str">
        <f t="shared" si="95"/>
        <v/>
      </c>
      <c r="Q607" s="13" t="str">
        <f t="shared" si="91"/>
        <v/>
      </c>
      <c r="R607" s="13" t="str">
        <f t="shared" si="96"/>
        <v/>
      </c>
      <c r="S607" s="13" t="str">
        <f t="shared" si="92"/>
        <v/>
      </c>
      <c r="T607" s="22" t="str">
        <f>IF(R607&lt;&gt;"",VLOOKUP(P607,Constants!$D$3:$E$10,2),"")</f>
        <v/>
      </c>
    </row>
    <row r="608" spans="2:20" x14ac:dyDescent="0.25">
      <c r="B608" s="59"/>
      <c r="C608" s="59"/>
      <c r="D608" s="60"/>
      <c r="E608" s="59"/>
      <c r="F608" s="59"/>
      <c r="G608" s="59"/>
      <c r="H608" s="61"/>
      <c r="I608" s="61"/>
      <c r="J608" s="61"/>
      <c r="K608" s="62"/>
      <c r="L608" s="10" t="str">
        <f t="shared" si="89"/>
        <v/>
      </c>
      <c r="M608" s="10" t="str">
        <f t="shared" si="90"/>
        <v/>
      </c>
      <c r="N608" s="11" t="str">
        <f t="shared" si="93"/>
        <v/>
      </c>
      <c r="O608" s="10" t="str">
        <f t="shared" si="94"/>
        <v/>
      </c>
      <c r="P608" s="39" t="str">
        <f t="shared" si="95"/>
        <v/>
      </c>
      <c r="Q608" s="13" t="str">
        <f t="shared" si="91"/>
        <v/>
      </c>
      <c r="R608" s="13" t="str">
        <f t="shared" si="96"/>
        <v/>
      </c>
      <c r="S608" s="13" t="str">
        <f t="shared" si="92"/>
        <v/>
      </c>
      <c r="T608" s="22" t="str">
        <f>IF(R608&lt;&gt;"",VLOOKUP(P608,Constants!$D$3:$E$10,2),"")</f>
        <v/>
      </c>
    </row>
    <row r="609" spans="2:20" x14ac:dyDescent="0.25">
      <c r="B609" s="59"/>
      <c r="C609" s="59"/>
      <c r="D609" s="60"/>
      <c r="E609" s="59"/>
      <c r="F609" s="59"/>
      <c r="G609" s="59"/>
      <c r="H609" s="61"/>
      <c r="I609" s="61"/>
      <c r="J609" s="61"/>
      <c r="K609" s="62"/>
      <c r="L609" s="10" t="str">
        <f t="shared" si="89"/>
        <v/>
      </c>
      <c r="M609" s="10" t="str">
        <f t="shared" si="90"/>
        <v/>
      </c>
      <c r="N609" s="11" t="str">
        <f t="shared" si="93"/>
        <v/>
      </c>
      <c r="O609" s="10" t="str">
        <f t="shared" si="94"/>
        <v/>
      </c>
      <c r="P609" s="39" t="str">
        <f t="shared" si="95"/>
        <v/>
      </c>
      <c r="Q609" s="13" t="str">
        <f t="shared" si="91"/>
        <v/>
      </c>
      <c r="R609" s="13" t="str">
        <f t="shared" si="96"/>
        <v/>
      </c>
      <c r="S609" s="13" t="str">
        <f t="shared" si="92"/>
        <v/>
      </c>
      <c r="T609" s="22" t="str">
        <f>IF(R609&lt;&gt;"",VLOOKUP(P609,Constants!$D$3:$E$10,2),"")</f>
        <v/>
      </c>
    </row>
    <row r="610" spans="2:20" x14ac:dyDescent="0.25">
      <c r="B610" s="59"/>
      <c r="C610" s="59"/>
      <c r="D610" s="60"/>
      <c r="E610" s="59"/>
      <c r="F610" s="59"/>
      <c r="G610" s="59"/>
      <c r="H610" s="61"/>
      <c r="I610" s="61"/>
      <c r="J610" s="61"/>
      <c r="K610" s="62"/>
      <c r="L610" s="10" t="str">
        <f t="shared" si="89"/>
        <v/>
      </c>
      <c r="M610" s="10" t="str">
        <f t="shared" si="90"/>
        <v/>
      </c>
      <c r="N610" s="11" t="str">
        <f t="shared" si="93"/>
        <v/>
      </c>
      <c r="O610" s="10" t="str">
        <f t="shared" si="94"/>
        <v/>
      </c>
      <c r="P610" s="39" t="str">
        <f t="shared" si="95"/>
        <v/>
      </c>
      <c r="Q610" s="13" t="str">
        <f t="shared" si="91"/>
        <v/>
      </c>
      <c r="R610" s="13" t="str">
        <f t="shared" si="96"/>
        <v/>
      </c>
      <c r="S610" s="13" t="str">
        <f t="shared" si="92"/>
        <v/>
      </c>
      <c r="T610" s="22" t="str">
        <f>IF(R610&lt;&gt;"",VLOOKUP(P610,Constants!$D$3:$E$10,2),"")</f>
        <v/>
      </c>
    </row>
    <row r="611" spans="2:20" x14ac:dyDescent="0.25">
      <c r="B611" s="59"/>
      <c r="C611" s="59"/>
      <c r="D611" s="60"/>
      <c r="E611" s="59"/>
      <c r="F611" s="59"/>
      <c r="G611" s="59"/>
      <c r="H611" s="61"/>
      <c r="I611" s="61"/>
      <c r="J611" s="61"/>
      <c r="K611" s="62"/>
      <c r="L611" s="10" t="str">
        <f t="shared" si="89"/>
        <v/>
      </c>
      <c r="M611" s="10" t="str">
        <f t="shared" si="90"/>
        <v/>
      </c>
      <c r="N611" s="11" t="str">
        <f t="shared" si="93"/>
        <v/>
      </c>
      <c r="O611" s="10" t="str">
        <f t="shared" si="94"/>
        <v/>
      </c>
      <c r="P611" s="39" t="str">
        <f t="shared" si="95"/>
        <v/>
      </c>
      <c r="Q611" s="13" t="str">
        <f t="shared" si="91"/>
        <v/>
      </c>
      <c r="R611" s="13" t="str">
        <f t="shared" si="96"/>
        <v/>
      </c>
      <c r="S611" s="13" t="str">
        <f t="shared" si="92"/>
        <v/>
      </c>
      <c r="T611" s="22" t="str">
        <f>IF(R611&lt;&gt;"",VLOOKUP(P611,Constants!$D$3:$E$10,2),"")</f>
        <v/>
      </c>
    </row>
    <row r="612" spans="2:20" x14ac:dyDescent="0.25">
      <c r="B612" s="59"/>
      <c r="C612" s="59"/>
      <c r="D612" s="60"/>
      <c r="E612" s="59"/>
      <c r="F612" s="59"/>
      <c r="G612" s="59"/>
      <c r="H612" s="61"/>
      <c r="I612" s="61"/>
      <c r="J612" s="61"/>
      <c r="K612" s="62"/>
      <c r="L612" s="10" t="str">
        <f t="shared" si="89"/>
        <v/>
      </c>
      <c r="M612" s="10" t="str">
        <f t="shared" si="90"/>
        <v/>
      </c>
      <c r="N612" s="11" t="str">
        <f t="shared" si="93"/>
        <v/>
      </c>
      <c r="O612" s="10" t="str">
        <f t="shared" si="94"/>
        <v/>
      </c>
      <c r="P612" s="39" t="str">
        <f t="shared" si="95"/>
        <v/>
      </c>
      <c r="Q612" s="13" t="str">
        <f t="shared" si="91"/>
        <v/>
      </c>
      <c r="R612" s="13" t="str">
        <f t="shared" si="96"/>
        <v/>
      </c>
      <c r="S612" s="13" t="str">
        <f t="shared" si="92"/>
        <v/>
      </c>
      <c r="T612" s="22" t="str">
        <f>IF(R612&lt;&gt;"",VLOOKUP(P612,Constants!$D$3:$E$10,2),"")</f>
        <v/>
      </c>
    </row>
    <row r="613" spans="2:20" x14ac:dyDescent="0.25">
      <c r="B613" s="59"/>
      <c r="C613" s="59"/>
      <c r="D613" s="60"/>
      <c r="E613" s="59"/>
      <c r="F613" s="59"/>
      <c r="G613" s="59"/>
      <c r="H613" s="61"/>
      <c r="I613" s="61"/>
      <c r="J613" s="61"/>
      <c r="K613" s="62"/>
      <c r="L613" s="10" t="str">
        <f t="shared" si="89"/>
        <v/>
      </c>
      <c r="M613" s="10" t="str">
        <f t="shared" si="90"/>
        <v/>
      </c>
      <c r="N613" s="11" t="str">
        <f t="shared" si="93"/>
        <v/>
      </c>
      <c r="O613" s="10" t="str">
        <f t="shared" si="94"/>
        <v/>
      </c>
      <c r="P613" s="39" t="str">
        <f t="shared" si="95"/>
        <v/>
      </c>
      <c r="Q613" s="13" t="str">
        <f t="shared" si="91"/>
        <v/>
      </c>
      <c r="R613" s="13" t="str">
        <f t="shared" si="96"/>
        <v/>
      </c>
      <c r="S613" s="13" t="str">
        <f t="shared" si="92"/>
        <v/>
      </c>
      <c r="T613" s="22" t="str">
        <f>IF(R613&lt;&gt;"",VLOOKUP(P613,Constants!$D$3:$E$10,2),"")</f>
        <v/>
      </c>
    </row>
    <row r="614" spans="2:20" x14ac:dyDescent="0.25">
      <c r="B614" s="59"/>
      <c r="C614" s="59"/>
      <c r="D614" s="60"/>
      <c r="E614" s="59"/>
      <c r="F614" s="59"/>
      <c r="G614" s="59"/>
      <c r="H614" s="61"/>
      <c r="I614" s="61"/>
      <c r="J614" s="61"/>
      <c r="K614" s="62"/>
      <c r="L614" s="10" t="str">
        <f t="shared" si="89"/>
        <v/>
      </c>
      <c r="M614" s="10" t="str">
        <f t="shared" si="90"/>
        <v/>
      </c>
      <c r="N614" s="11" t="str">
        <f t="shared" si="93"/>
        <v/>
      </c>
      <c r="O614" s="10" t="str">
        <f t="shared" si="94"/>
        <v/>
      </c>
      <c r="P614" s="39" t="str">
        <f t="shared" si="95"/>
        <v/>
      </c>
      <c r="Q614" s="13" t="str">
        <f t="shared" si="91"/>
        <v/>
      </c>
      <c r="R614" s="13" t="str">
        <f t="shared" si="96"/>
        <v/>
      </c>
      <c r="S614" s="13" t="str">
        <f t="shared" si="92"/>
        <v/>
      </c>
      <c r="T614" s="22" t="str">
        <f>IF(R614&lt;&gt;"",VLOOKUP(P614,Constants!$D$3:$E$10,2),"")</f>
        <v/>
      </c>
    </row>
    <row r="615" spans="2:20" x14ac:dyDescent="0.25">
      <c r="B615" s="59"/>
      <c r="C615" s="59"/>
      <c r="D615" s="60"/>
      <c r="E615" s="59"/>
      <c r="F615" s="59"/>
      <c r="G615" s="59"/>
      <c r="H615" s="61"/>
      <c r="I615" s="61"/>
      <c r="J615" s="61"/>
      <c r="K615" s="62"/>
      <c r="L615" s="10" t="str">
        <f t="shared" si="89"/>
        <v/>
      </c>
      <c r="M615" s="10" t="str">
        <f t="shared" si="90"/>
        <v/>
      </c>
      <c r="N615" s="11" t="str">
        <f t="shared" si="93"/>
        <v/>
      </c>
      <c r="O615" s="10" t="str">
        <f t="shared" si="94"/>
        <v/>
      </c>
      <c r="P615" s="39" t="str">
        <f t="shared" si="95"/>
        <v/>
      </c>
      <c r="Q615" s="13" t="str">
        <f t="shared" si="91"/>
        <v/>
      </c>
      <c r="R615" s="13" t="str">
        <f t="shared" si="96"/>
        <v/>
      </c>
      <c r="S615" s="13" t="str">
        <f t="shared" si="92"/>
        <v/>
      </c>
      <c r="T615" s="22" t="str">
        <f>IF(R615&lt;&gt;"",VLOOKUP(P615,Constants!$D$3:$E$10,2),"")</f>
        <v/>
      </c>
    </row>
    <row r="616" spans="2:20" x14ac:dyDescent="0.25">
      <c r="B616" s="59"/>
      <c r="C616" s="59"/>
      <c r="D616" s="60"/>
      <c r="E616" s="59"/>
      <c r="F616" s="59"/>
      <c r="G616" s="59"/>
      <c r="H616" s="61"/>
      <c r="I616" s="61"/>
      <c r="J616" s="61"/>
      <c r="K616" s="62"/>
      <c r="L616" s="10" t="str">
        <f t="shared" si="89"/>
        <v/>
      </c>
      <c r="M616" s="10" t="str">
        <f t="shared" si="90"/>
        <v/>
      </c>
      <c r="N616" s="11" t="str">
        <f t="shared" si="93"/>
        <v/>
      </c>
      <c r="O616" s="10" t="str">
        <f t="shared" si="94"/>
        <v/>
      </c>
      <c r="P616" s="39" t="str">
        <f t="shared" si="95"/>
        <v/>
      </c>
      <c r="Q616" s="13" t="str">
        <f t="shared" si="91"/>
        <v/>
      </c>
      <c r="R616" s="13" t="str">
        <f t="shared" si="96"/>
        <v/>
      </c>
      <c r="S616" s="13" t="str">
        <f t="shared" si="92"/>
        <v/>
      </c>
      <c r="T616" s="22" t="str">
        <f>IF(R616&lt;&gt;"",VLOOKUP(P616,Constants!$D$3:$E$10,2),"")</f>
        <v/>
      </c>
    </row>
    <row r="617" spans="2:20" x14ac:dyDescent="0.25">
      <c r="B617" s="59"/>
      <c r="C617" s="59"/>
      <c r="D617" s="60"/>
      <c r="E617" s="59"/>
      <c r="F617" s="59"/>
      <c r="G617" s="59"/>
      <c r="H617" s="61"/>
      <c r="I617" s="61"/>
      <c r="J617" s="61"/>
      <c r="K617" s="62"/>
      <c r="L617" s="10" t="str">
        <f t="shared" si="89"/>
        <v/>
      </c>
      <c r="M617" s="10" t="str">
        <f t="shared" si="90"/>
        <v/>
      </c>
      <c r="N617" s="11" t="str">
        <f t="shared" si="93"/>
        <v/>
      </c>
      <c r="O617" s="10" t="str">
        <f t="shared" si="94"/>
        <v/>
      </c>
      <c r="P617" s="39" t="str">
        <f t="shared" si="95"/>
        <v/>
      </c>
      <c r="Q617" s="13" t="str">
        <f t="shared" si="91"/>
        <v/>
      </c>
      <c r="R617" s="13" t="str">
        <f t="shared" si="96"/>
        <v/>
      </c>
      <c r="S617" s="13" t="str">
        <f t="shared" si="92"/>
        <v/>
      </c>
      <c r="T617" s="22" t="str">
        <f>IF(R617&lt;&gt;"",VLOOKUP(P617,Constants!$D$3:$E$10,2),"")</f>
        <v/>
      </c>
    </row>
    <row r="618" spans="2:20" x14ac:dyDescent="0.25">
      <c r="B618" s="59"/>
      <c r="C618" s="59"/>
      <c r="D618" s="60"/>
      <c r="E618" s="59"/>
      <c r="F618" s="59"/>
      <c r="G618" s="59"/>
      <c r="H618" s="61"/>
      <c r="I618" s="61"/>
      <c r="J618" s="61"/>
      <c r="K618" s="62"/>
      <c r="L618" s="10" t="str">
        <f t="shared" si="89"/>
        <v/>
      </c>
      <c r="M618" s="10" t="str">
        <f t="shared" si="90"/>
        <v/>
      </c>
      <c r="N618" s="11" t="str">
        <f t="shared" si="93"/>
        <v/>
      </c>
      <c r="O618" s="10" t="str">
        <f t="shared" si="94"/>
        <v/>
      </c>
      <c r="P618" s="39" t="str">
        <f t="shared" si="95"/>
        <v/>
      </c>
      <c r="Q618" s="13" t="str">
        <f t="shared" si="91"/>
        <v/>
      </c>
      <c r="R618" s="13" t="str">
        <f t="shared" si="96"/>
        <v/>
      </c>
      <c r="S618" s="13" t="str">
        <f t="shared" si="92"/>
        <v/>
      </c>
      <c r="T618" s="22" t="str">
        <f>IF(R618&lt;&gt;"",VLOOKUP(P618,Constants!$D$3:$E$10,2),"")</f>
        <v/>
      </c>
    </row>
    <row r="619" spans="2:20" x14ac:dyDescent="0.25">
      <c r="B619" s="59"/>
      <c r="C619" s="59"/>
      <c r="D619" s="60"/>
      <c r="E619" s="59"/>
      <c r="F619" s="59"/>
      <c r="G619" s="59"/>
      <c r="H619" s="61"/>
      <c r="I619" s="61"/>
      <c r="J619" s="61"/>
      <c r="K619" s="62"/>
      <c r="L619" s="10" t="str">
        <f t="shared" si="89"/>
        <v/>
      </c>
      <c r="M619" s="10" t="str">
        <f t="shared" si="90"/>
        <v/>
      </c>
      <c r="N619" s="11" t="str">
        <f t="shared" si="93"/>
        <v/>
      </c>
      <c r="O619" s="10" t="str">
        <f t="shared" si="94"/>
        <v/>
      </c>
      <c r="P619" s="39" t="str">
        <f t="shared" si="95"/>
        <v/>
      </c>
      <c r="Q619" s="13" t="str">
        <f t="shared" si="91"/>
        <v/>
      </c>
      <c r="R619" s="13" t="str">
        <f t="shared" si="96"/>
        <v/>
      </c>
      <c r="S619" s="13" t="str">
        <f t="shared" si="92"/>
        <v/>
      </c>
      <c r="T619" s="22" t="str">
        <f>IF(R619&lt;&gt;"",VLOOKUP(P619,Constants!$D$3:$E$10,2),"")</f>
        <v/>
      </c>
    </row>
    <row r="620" spans="2:20" x14ac:dyDescent="0.25">
      <c r="B620" s="59"/>
      <c r="C620" s="59"/>
      <c r="D620" s="60"/>
      <c r="E620" s="59"/>
      <c r="F620" s="59"/>
      <c r="G620" s="59"/>
      <c r="H620" s="61"/>
      <c r="I620" s="61"/>
      <c r="J620" s="61"/>
      <c r="K620" s="62"/>
      <c r="L620" s="10" t="str">
        <f t="shared" si="89"/>
        <v/>
      </c>
      <c r="M620" s="10" t="str">
        <f t="shared" si="90"/>
        <v/>
      </c>
      <c r="N620" s="11" t="str">
        <f t="shared" si="93"/>
        <v/>
      </c>
      <c r="O620" s="10" t="str">
        <f t="shared" si="94"/>
        <v/>
      </c>
      <c r="P620" s="39" t="str">
        <f t="shared" si="95"/>
        <v/>
      </c>
      <c r="Q620" s="13" t="str">
        <f t="shared" si="91"/>
        <v/>
      </c>
      <c r="R620" s="13" t="str">
        <f t="shared" si="96"/>
        <v/>
      </c>
      <c r="S620" s="13" t="str">
        <f t="shared" si="92"/>
        <v/>
      </c>
      <c r="T620" s="22" t="str">
        <f>IF(R620&lt;&gt;"",VLOOKUP(P620,Constants!$D$3:$E$10,2),"")</f>
        <v/>
      </c>
    </row>
    <row r="621" spans="2:20" x14ac:dyDescent="0.25">
      <c r="B621" s="59"/>
      <c r="C621" s="59"/>
      <c r="D621" s="60"/>
      <c r="E621" s="59"/>
      <c r="F621" s="59"/>
      <c r="G621" s="59"/>
      <c r="H621" s="61"/>
      <c r="I621" s="61"/>
      <c r="J621" s="61"/>
      <c r="K621" s="62"/>
      <c r="L621" s="10" t="str">
        <f t="shared" si="89"/>
        <v/>
      </c>
      <c r="M621" s="10" t="str">
        <f t="shared" si="90"/>
        <v/>
      </c>
      <c r="N621" s="11" t="str">
        <f t="shared" si="93"/>
        <v/>
      </c>
      <c r="O621" s="10" t="str">
        <f t="shared" si="94"/>
        <v/>
      </c>
      <c r="P621" s="39" t="str">
        <f t="shared" si="95"/>
        <v/>
      </c>
      <c r="Q621" s="13" t="str">
        <f t="shared" si="91"/>
        <v/>
      </c>
      <c r="R621" s="13" t="str">
        <f t="shared" si="96"/>
        <v/>
      </c>
      <c r="S621" s="13" t="str">
        <f t="shared" si="92"/>
        <v/>
      </c>
      <c r="T621" s="22" t="str">
        <f>IF(R621&lt;&gt;"",VLOOKUP(P621,Constants!$D$3:$E$10,2),"")</f>
        <v/>
      </c>
    </row>
    <row r="622" spans="2:20" x14ac:dyDescent="0.25">
      <c r="B622" s="59"/>
      <c r="C622" s="59"/>
      <c r="D622" s="60"/>
      <c r="E622" s="59"/>
      <c r="F622" s="59"/>
      <c r="G622" s="59"/>
      <c r="H622" s="61"/>
      <c r="I622" s="61"/>
      <c r="J622" s="61"/>
      <c r="K622" s="62"/>
      <c r="L622" s="10" t="str">
        <f t="shared" si="89"/>
        <v/>
      </c>
      <c r="M622" s="10" t="str">
        <f t="shared" si="90"/>
        <v/>
      </c>
      <c r="N622" s="11" t="str">
        <f t="shared" si="93"/>
        <v/>
      </c>
      <c r="O622" s="10" t="str">
        <f t="shared" si="94"/>
        <v/>
      </c>
      <c r="P622" s="39" t="str">
        <f t="shared" si="95"/>
        <v/>
      </c>
      <c r="Q622" s="13" t="str">
        <f t="shared" si="91"/>
        <v/>
      </c>
      <c r="R622" s="13" t="str">
        <f t="shared" si="96"/>
        <v/>
      </c>
      <c r="S622" s="13" t="str">
        <f t="shared" si="92"/>
        <v/>
      </c>
      <c r="T622" s="22" t="str">
        <f>IF(R622&lt;&gt;"",VLOOKUP(P622,Constants!$D$3:$E$10,2),"")</f>
        <v/>
      </c>
    </row>
    <row r="623" spans="2:20" x14ac:dyDescent="0.25">
      <c r="B623" s="59"/>
      <c r="C623" s="59"/>
      <c r="D623" s="60"/>
      <c r="E623" s="59"/>
      <c r="F623" s="59"/>
      <c r="G623" s="59"/>
      <c r="H623" s="61"/>
      <c r="I623" s="61"/>
      <c r="J623" s="61"/>
      <c r="K623" s="62"/>
      <c r="L623" s="10" t="str">
        <f t="shared" si="89"/>
        <v/>
      </c>
      <c r="M623" s="10" t="str">
        <f t="shared" si="90"/>
        <v/>
      </c>
      <c r="N623" s="11" t="str">
        <f t="shared" si="93"/>
        <v/>
      </c>
      <c r="O623" s="10" t="str">
        <f t="shared" si="94"/>
        <v/>
      </c>
      <c r="P623" s="39" t="str">
        <f t="shared" si="95"/>
        <v/>
      </c>
      <c r="Q623" s="13" t="str">
        <f t="shared" si="91"/>
        <v/>
      </c>
      <c r="R623" s="13" t="str">
        <f t="shared" si="96"/>
        <v/>
      </c>
      <c r="S623" s="13" t="str">
        <f t="shared" si="92"/>
        <v/>
      </c>
      <c r="T623" s="22" t="str">
        <f>IF(R623&lt;&gt;"",VLOOKUP(P623,Constants!$D$3:$E$10,2),"")</f>
        <v/>
      </c>
    </row>
    <row r="624" spans="2:20" x14ac:dyDescent="0.25">
      <c r="B624" s="59"/>
      <c r="C624" s="59"/>
      <c r="D624" s="60"/>
      <c r="E624" s="59"/>
      <c r="F624" s="59"/>
      <c r="G624" s="59"/>
      <c r="H624" s="61"/>
      <c r="I624" s="61"/>
      <c r="J624" s="61"/>
      <c r="K624" s="62"/>
      <c r="L624" s="10" t="str">
        <f t="shared" si="89"/>
        <v/>
      </c>
      <c r="M624" s="10" t="str">
        <f t="shared" si="90"/>
        <v/>
      </c>
      <c r="N624" s="11" t="str">
        <f t="shared" si="93"/>
        <v/>
      </c>
      <c r="O624" s="10" t="str">
        <f t="shared" si="94"/>
        <v/>
      </c>
      <c r="P624" s="39" t="str">
        <f t="shared" si="95"/>
        <v/>
      </c>
      <c r="Q624" s="13" t="str">
        <f t="shared" si="91"/>
        <v/>
      </c>
      <c r="R624" s="13" t="str">
        <f t="shared" si="96"/>
        <v/>
      </c>
      <c r="S624" s="13" t="str">
        <f t="shared" si="92"/>
        <v/>
      </c>
      <c r="T624" s="22" t="str">
        <f>IF(R624&lt;&gt;"",VLOOKUP(P624,Constants!$D$3:$E$10,2),"")</f>
        <v/>
      </c>
    </row>
    <row r="625" spans="2:20" x14ac:dyDescent="0.25">
      <c r="B625" s="59"/>
      <c r="C625" s="59"/>
      <c r="D625" s="60"/>
      <c r="E625" s="59"/>
      <c r="F625" s="59"/>
      <c r="G625" s="59"/>
      <c r="H625" s="61"/>
      <c r="I625" s="61"/>
      <c r="J625" s="61"/>
      <c r="K625" s="62"/>
      <c r="L625" s="10" t="str">
        <f t="shared" si="89"/>
        <v/>
      </c>
      <c r="M625" s="10" t="str">
        <f t="shared" si="90"/>
        <v/>
      </c>
      <c r="N625" s="11" t="str">
        <f t="shared" si="93"/>
        <v/>
      </c>
      <c r="O625" s="10" t="str">
        <f t="shared" si="94"/>
        <v/>
      </c>
      <c r="P625" s="39" t="str">
        <f t="shared" si="95"/>
        <v/>
      </c>
      <c r="Q625" s="13" t="str">
        <f t="shared" si="91"/>
        <v/>
      </c>
      <c r="R625" s="13" t="str">
        <f t="shared" si="96"/>
        <v/>
      </c>
      <c r="S625" s="13" t="str">
        <f t="shared" si="92"/>
        <v/>
      </c>
      <c r="T625" s="22" t="str">
        <f>IF(R625&lt;&gt;"",VLOOKUP(P625,Constants!$D$3:$E$10,2),"")</f>
        <v/>
      </c>
    </row>
    <row r="626" spans="2:20" x14ac:dyDescent="0.25">
      <c r="B626" s="59"/>
      <c r="C626" s="59"/>
      <c r="D626" s="60"/>
      <c r="E626" s="59"/>
      <c r="F626" s="59"/>
      <c r="G626" s="59"/>
      <c r="H626" s="61"/>
      <c r="I626" s="61"/>
      <c r="J626" s="61"/>
      <c r="K626" s="62"/>
      <c r="L626" s="10" t="str">
        <f t="shared" si="89"/>
        <v/>
      </c>
      <c r="M626" s="10" t="str">
        <f t="shared" si="90"/>
        <v/>
      </c>
      <c r="N626" s="11" t="str">
        <f t="shared" si="93"/>
        <v/>
      </c>
      <c r="O626" s="10" t="str">
        <f t="shared" si="94"/>
        <v/>
      </c>
      <c r="P626" s="39" t="str">
        <f t="shared" si="95"/>
        <v/>
      </c>
      <c r="Q626" s="13" t="str">
        <f t="shared" si="91"/>
        <v/>
      </c>
      <c r="R626" s="13" t="str">
        <f t="shared" si="96"/>
        <v/>
      </c>
      <c r="S626" s="13" t="str">
        <f t="shared" si="92"/>
        <v/>
      </c>
      <c r="T626" s="22" t="str">
        <f>IF(R626&lt;&gt;"",VLOOKUP(P626,Constants!$D$3:$E$10,2),"")</f>
        <v/>
      </c>
    </row>
    <row r="627" spans="2:20" x14ac:dyDescent="0.25">
      <c r="B627" s="59"/>
      <c r="C627" s="59"/>
      <c r="D627" s="60"/>
      <c r="E627" s="59"/>
      <c r="F627" s="59"/>
      <c r="G627" s="59"/>
      <c r="H627" s="61"/>
      <c r="I627" s="61"/>
      <c r="J627" s="61"/>
      <c r="K627" s="62"/>
      <c r="L627" s="10" t="str">
        <f t="shared" si="89"/>
        <v/>
      </c>
      <c r="M627" s="10" t="str">
        <f t="shared" si="90"/>
        <v/>
      </c>
      <c r="N627" s="11" t="str">
        <f t="shared" si="93"/>
        <v/>
      </c>
      <c r="O627" s="10" t="str">
        <f t="shared" si="94"/>
        <v/>
      </c>
      <c r="P627" s="39" t="str">
        <f t="shared" si="95"/>
        <v/>
      </c>
      <c r="Q627" s="13" t="str">
        <f t="shared" si="91"/>
        <v/>
      </c>
      <c r="R627" s="13" t="str">
        <f t="shared" si="96"/>
        <v/>
      </c>
      <c r="S627" s="13" t="str">
        <f t="shared" si="92"/>
        <v/>
      </c>
      <c r="T627" s="22" t="str">
        <f>IF(R627&lt;&gt;"",VLOOKUP(P627,Constants!$D$3:$E$10,2),"")</f>
        <v/>
      </c>
    </row>
    <row r="628" spans="2:20" x14ac:dyDescent="0.25">
      <c r="B628" s="59"/>
      <c r="C628" s="59"/>
      <c r="D628" s="60"/>
      <c r="E628" s="59"/>
      <c r="F628" s="59"/>
      <c r="G628" s="59"/>
      <c r="H628" s="61"/>
      <c r="I628" s="61"/>
      <c r="J628" s="61"/>
      <c r="K628" s="62"/>
      <c r="L628" s="10" t="str">
        <f t="shared" si="89"/>
        <v/>
      </c>
      <c r="M628" s="10" t="str">
        <f t="shared" si="90"/>
        <v/>
      </c>
      <c r="N628" s="11" t="str">
        <f t="shared" si="93"/>
        <v/>
      </c>
      <c r="O628" s="10" t="str">
        <f t="shared" si="94"/>
        <v/>
      </c>
      <c r="P628" s="39" t="str">
        <f t="shared" si="95"/>
        <v/>
      </c>
      <c r="Q628" s="13" t="str">
        <f t="shared" si="91"/>
        <v/>
      </c>
      <c r="R628" s="13" t="str">
        <f t="shared" si="96"/>
        <v/>
      </c>
      <c r="S628" s="13" t="str">
        <f t="shared" si="92"/>
        <v/>
      </c>
      <c r="T628" s="22" t="str">
        <f>IF(R628&lt;&gt;"",VLOOKUP(P628,Constants!$D$3:$E$10,2),"")</f>
        <v/>
      </c>
    </row>
    <row r="629" spans="2:20" x14ac:dyDescent="0.25">
      <c r="B629" s="59"/>
      <c r="C629" s="59"/>
      <c r="D629" s="60"/>
      <c r="E629" s="59"/>
      <c r="F629" s="59"/>
      <c r="G629" s="59"/>
      <c r="H629" s="61"/>
      <c r="I629" s="61"/>
      <c r="J629" s="61"/>
      <c r="K629" s="62"/>
      <c r="L629" s="10" t="str">
        <f t="shared" si="89"/>
        <v/>
      </c>
      <c r="M629" s="10" t="str">
        <f t="shared" si="90"/>
        <v/>
      </c>
      <c r="N629" s="11" t="str">
        <f t="shared" si="93"/>
        <v/>
      </c>
      <c r="O629" s="10" t="str">
        <f t="shared" si="94"/>
        <v/>
      </c>
      <c r="P629" s="39" t="str">
        <f t="shared" si="95"/>
        <v/>
      </c>
      <c r="Q629" s="13" t="str">
        <f t="shared" si="91"/>
        <v/>
      </c>
      <c r="R629" s="13" t="str">
        <f t="shared" si="96"/>
        <v/>
      </c>
      <c r="S629" s="13" t="str">
        <f t="shared" si="92"/>
        <v/>
      </c>
      <c r="T629" s="22" t="str">
        <f>IF(R629&lt;&gt;"",VLOOKUP(P629,Constants!$D$3:$E$10,2),"")</f>
        <v/>
      </c>
    </row>
    <row r="630" spans="2:20" x14ac:dyDescent="0.25">
      <c r="B630" s="59"/>
      <c r="C630" s="59"/>
      <c r="D630" s="60"/>
      <c r="E630" s="59"/>
      <c r="F630" s="59"/>
      <c r="G630" s="59"/>
      <c r="H630" s="61"/>
      <c r="I630" s="61"/>
      <c r="J630" s="61"/>
      <c r="K630" s="62"/>
      <c r="L630" s="10" t="str">
        <f t="shared" si="89"/>
        <v/>
      </c>
      <c r="M630" s="10" t="str">
        <f t="shared" si="90"/>
        <v/>
      </c>
      <c r="N630" s="11" t="str">
        <f t="shared" si="93"/>
        <v/>
      </c>
      <c r="O630" s="10" t="str">
        <f t="shared" si="94"/>
        <v/>
      </c>
      <c r="P630" s="39" t="str">
        <f t="shared" si="95"/>
        <v/>
      </c>
      <c r="Q630" s="13" t="str">
        <f t="shared" si="91"/>
        <v/>
      </c>
      <c r="R630" s="13" t="str">
        <f t="shared" si="96"/>
        <v/>
      </c>
      <c r="S630" s="13" t="str">
        <f t="shared" si="92"/>
        <v/>
      </c>
      <c r="T630" s="22" t="str">
        <f>IF(R630&lt;&gt;"",VLOOKUP(P630,Constants!$D$3:$E$10,2),"")</f>
        <v/>
      </c>
    </row>
    <row r="631" spans="2:20" x14ac:dyDescent="0.25">
      <c r="B631" s="59"/>
      <c r="C631" s="59"/>
      <c r="D631" s="60"/>
      <c r="E631" s="59"/>
      <c r="F631" s="59"/>
      <c r="G631" s="59"/>
      <c r="H631" s="61"/>
      <c r="I631" s="61"/>
      <c r="J631" s="61"/>
      <c r="K631" s="62"/>
      <c r="L631" s="10" t="str">
        <f t="shared" si="89"/>
        <v/>
      </c>
      <c r="M631" s="10" t="str">
        <f t="shared" si="90"/>
        <v/>
      </c>
      <c r="N631" s="11" t="str">
        <f t="shared" si="93"/>
        <v/>
      </c>
      <c r="O631" s="10" t="str">
        <f t="shared" si="94"/>
        <v/>
      </c>
      <c r="P631" s="39" t="str">
        <f t="shared" si="95"/>
        <v/>
      </c>
      <c r="Q631" s="13" t="str">
        <f t="shared" si="91"/>
        <v/>
      </c>
      <c r="R631" s="13" t="str">
        <f t="shared" si="96"/>
        <v/>
      </c>
      <c r="S631" s="13" t="str">
        <f t="shared" si="92"/>
        <v/>
      </c>
      <c r="T631" s="22" t="str">
        <f>IF(R631&lt;&gt;"",VLOOKUP(P631,Constants!$D$3:$E$10,2),"")</f>
        <v/>
      </c>
    </row>
    <row r="632" spans="2:20" x14ac:dyDescent="0.25">
      <c r="B632" s="59"/>
      <c r="C632" s="59"/>
      <c r="D632" s="60"/>
      <c r="E632" s="59"/>
      <c r="F632" s="59"/>
      <c r="G632" s="59"/>
      <c r="H632" s="61"/>
      <c r="I632" s="61"/>
      <c r="J632" s="61"/>
      <c r="K632" s="62"/>
      <c r="L632" s="10" t="str">
        <f t="shared" si="89"/>
        <v/>
      </c>
      <c r="M632" s="10" t="str">
        <f t="shared" si="90"/>
        <v/>
      </c>
      <c r="N632" s="11" t="str">
        <f t="shared" si="93"/>
        <v/>
      </c>
      <c r="O632" s="10" t="str">
        <f t="shared" si="94"/>
        <v/>
      </c>
      <c r="P632" s="39" t="str">
        <f t="shared" si="95"/>
        <v/>
      </c>
      <c r="Q632" s="13" t="str">
        <f t="shared" si="91"/>
        <v/>
      </c>
      <c r="R632" s="13" t="str">
        <f t="shared" si="96"/>
        <v/>
      </c>
      <c r="S632" s="13" t="str">
        <f t="shared" si="92"/>
        <v/>
      </c>
      <c r="T632" s="22" t="str">
        <f>IF(R632&lt;&gt;"",VLOOKUP(P632,Constants!$D$3:$E$10,2),"")</f>
        <v/>
      </c>
    </row>
    <row r="633" spans="2:20" x14ac:dyDescent="0.25">
      <c r="B633" s="59"/>
      <c r="C633" s="59"/>
      <c r="D633" s="60"/>
      <c r="E633" s="59"/>
      <c r="F633" s="59"/>
      <c r="G633" s="59"/>
      <c r="H633" s="61"/>
      <c r="I633" s="61"/>
      <c r="J633" s="61"/>
      <c r="K633" s="62"/>
      <c r="L633" s="10" t="str">
        <f t="shared" si="89"/>
        <v/>
      </c>
      <c r="M633" s="10" t="str">
        <f t="shared" si="90"/>
        <v/>
      </c>
      <c r="N633" s="11" t="str">
        <f t="shared" si="93"/>
        <v/>
      </c>
      <c r="O633" s="10" t="str">
        <f t="shared" si="94"/>
        <v/>
      </c>
      <c r="P633" s="39" t="str">
        <f t="shared" si="95"/>
        <v/>
      </c>
      <c r="Q633" s="13" t="str">
        <f t="shared" si="91"/>
        <v/>
      </c>
      <c r="R633" s="13" t="str">
        <f t="shared" si="96"/>
        <v/>
      </c>
      <c r="S633" s="13" t="str">
        <f t="shared" si="92"/>
        <v/>
      </c>
      <c r="T633" s="22" t="str">
        <f>IF(R633&lt;&gt;"",VLOOKUP(P633,Constants!$D$3:$E$10,2),"")</f>
        <v/>
      </c>
    </row>
    <row r="634" spans="2:20" x14ac:dyDescent="0.25">
      <c r="L634" s="10" t="str">
        <f t="shared" si="89"/>
        <v/>
      </c>
      <c r="M634" s="10" t="str">
        <f t="shared" si="90"/>
        <v/>
      </c>
      <c r="N634" s="11" t="str">
        <f t="shared" si="93"/>
        <v/>
      </c>
      <c r="O634" s="10" t="str">
        <f t="shared" si="94"/>
        <v/>
      </c>
      <c r="P634" s="39" t="str">
        <f t="shared" si="95"/>
        <v/>
      </c>
      <c r="Q634" s="13" t="str">
        <f t="shared" si="91"/>
        <v/>
      </c>
      <c r="R634" s="13" t="str">
        <f t="shared" si="96"/>
        <v/>
      </c>
      <c r="S634" s="13" t="str">
        <f t="shared" si="92"/>
        <v/>
      </c>
      <c r="T634" s="22" t="str">
        <f>IF(R634&lt;&gt;"",VLOOKUP(P634,Constants!$D$3:$E$10,2),"")</f>
        <v/>
      </c>
    </row>
    <row r="635" spans="2:20" x14ac:dyDescent="0.25">
      <c r="L635" s="10" t="str">
        <f t="shared" si="89"/>
        <v/>
      </c>
      <c r="M635" s="10" t="str">
        <f t="shared" si="90"/>
        <v/>
      </c>
      <c r="N635" s="11" t="str">
        <f t="shared" si="93"/>
        <v/>
      </c>
      <c r="O635" s="10" t="str">
        <f t="shared" si="94"/>
        <v/>
      </c>
      <c r="P635" s="39" t="str">
        <f t="shared" si="95"/>
        <v/>
      </c>
      <c r="Q635" s="13" t="str">
        <f t="shared" si="91"/>
        <v/>
      </c>
      <c r="R635" s="13" t="str">
        <f t="shared" si="96"/>
        <v/>
      </c>
      <c r="S635" s="13" t="str">
        <f t="shared" si="92"/>
        <v/>
      </c>
      <c r="T635" s="22" t="str">
        <f>IF(R635&lt;&gt;"",VLOOKUP(P635,Constants!$D$3:$E$10,2),"")</f>
        <v/>
      </c>
    </row>
    <row r="636" spans="2:20" x14ac:dyDescent="0.25">
      <c r="L636" s="10" t="str">
        <f t="shared" si="89"/>
        <v/>
      </c>
      <c r="M636" s="10" t="str">
        <f t="shared" si="90"/>
        <v/>
      </c>
      <c r="N636" s="11" t="str">
        <f t="shared" si="93"/>
        <v/>
      </c>
      <c r="O636" s="10" t="str">
        <f t="shared" si="94"/>
        <v/>
      </c>
      <c r="P636" s="39" t="str">
        <f t="shared" si="95"/>
        <v/>
      </c>
      <c r="Q636" s="13" t="str">
        <f t="shared" si="91"/>
        <v/>
      </c>
      <c r="R636" s="13" t="str">
        <f t="shared" si="96"/>
        <v/>
      </c>
      <c r="S636" s="13" t="str">
        <f t="shared" si="92"/>
        <v/>
      </c>
      <c r="T636" s="22" t="str">
        <f>IF(R636&lt;&gt;"",VLOOKUP(P636,Constants!$D$3:$E$10,2),"")</f>
        <v/>
      </c>
    </row>
    <row r="637" spans="2:20" x14ac:dyDescent="0.25">
      <c r="L637" s="10" t="str">
        <f t="shared" si="89"/>
        <v/>
      </c>
      <c r="M637" s="10" t="str">
        <f t="shared" si="90"/>
        <v/>
      </c>
      <c r="N637" s="11" t="str">
        <f t="shared" si="93"/>
        <v/>
      </c>
      <c r="O637" s="10" t="str">
        <f t="shared" si="94"/>
        <v/>
      </c>
      <c r="P637" s="39" t="str">
        <f t="shared" si="95"/>
        <v/>
      </c>
      <c r="Q637" s="13" t="str">
        <f t="shared" si="91"/>
        <v/>
      </c>
      <c r="R637" s="13" t="str">
        <f t="shared" si="96"/>
        <v/>
      </c>
      <c r="S637" s="13" t="str">
        <f t="shared" si="92"/>
        <v/>
      </c>
      <c r="T637" s="22" t="str">
        <f>IF(R637&lt;&gt;"",VLOOKUP(P637,Constants!$D$3:$E$10,2),"")</f>
        <v/>
      </c>
    </row>
    <row r="638" spans="2:20" x14ac:dyDescent="0.25">
      <c r="L638" s="10" t="str">
        <f t="shared" si="89"/>
        <v/>
      </c>
      <c r="M638" s="10" t="str">
        <f t="shared" si="90"/>
        <v/>
      </c>
      <c r="N638" s="11" t="str">
        <f t="shared" si="93"/>
        <v/>
      </c>
      <c r="O638" s="10" t="str">
        <f t="shared" si="94"/>
        <v/>
      </c>
      <c r="P638" s="39" t="str">
        <f t="shared" si="95"/>
        <v/>
      </c>
      <c r="Q638" s="13" t="str">
        <f t="shared" si="91"/>
        <v/>
      </c>
      <c r="R638" s="13" t="str">
        <f t="shared" si="96"/>
        <v/>
      </c>
      <c r="S638" s="13" t="str">
        <f t="shared" si="92"/>
        <v/>
      </c>
      <c r="T638" s="22" t="str">
        <f>IF(R638&lt;&gt;"",VLOOKUP(P638,Constants!$D$3:$E$10,2),"")</f>
        <v/>
      </c>
    </row>
    <row r="639" spans="2:20" x14ac:dyDescent="0.25">
      <c r="L639" s="10" t="str">
        <f t="shared" si="89"/>
        <v/>
      </c>
      <c r="M639" s="10" t="str">
        <f t="shared" si="90"/>
        <v/>
      </c>
      <c r="N639" s="11" t="str">
        <f t="shared" si="93"/>
        <v/>
      </c>
      <c r="O639" s="10" t="str">
        <f t="shared" si="94"/>
        <v/>
      </c>
      <c r="P639" s="39" t="str">
        <f t="shared" si="95"/>
        <v/>
      </c>
      <c r="Q639" s="13" t="str">
        <f t="shared" si="91"/>
        <v/>
      </c>
      <c r="R639" s="13" t="str">
        <f t="shared" si="96"/>
        <v/>
      </c>
      <c r="S639" s="13" t="str">
        <f t="shared" si="92"/>
        <v/>
      </c>
      <c r="T639" s="22" t="str">
        <f>IF(R639&lt;&gt;"",VLOOKUP(P639,Constants!$D$3:$E$10,2),"")</f>
        <v/>
      </c>
    </row>
    <row r="640" spans="2:20" x14ac:dyDescent="0.25">
      <c r="L640" s="10" t="str">
        <f t="shared" si="89"/>
        <v/>
      </c>
      <c r="M640" s="10" t="str">
        <f t="shared" si="90"/>
        <v/>
      </c>
      <c r="N640" s="11" t="str">
        <f t="shared" si="93"/>
        <v/>
      </c>
      <c r="O640" s="10" t="str">
        <f t="shared" si="94"/>
        <v/>
      </c>
      <c r="P640" s="39" t="str">
        <f t="shared" si="95"/>
        <v/>
      </c>
      <c r="Q640" s="13" t="str">
        <f t="shared" si="91"/>
        <v/>
      </c>
      <c r="R640" s="13" t="str">
        <f t="shared" si="96"/>
        <v/>
      </c>
      <c r="S640" s="13" t="str">
        <f t="shared" si="92"/>
        <v/>
      </c>
      <c r="T640" s="22" t="str">
        <f>IF(R640&lt;&gt;"",VLOOKUP(P640,Constants!$D$3:$E$10,2),"")</f>
        <v/>
      </c>
    </row>
    <row r="641" spans="12:20" x14ac:dyDescent="0.25">
      <c r="L641" s="10" t="str">
        <f t="shared" si="89"/>
        <v/>
      </c>
      <c r="M641" s="10" t="str">
        <f t="shared" si="90"/>
        <v/>
      </c>
      <c r="N641" s="11" t="str">
        <f t="shared" si="93"/>
        <v/>
      </c>
      <c r="O641" s="10" t="str">
        <f t="shared" si="94"/>
        <v/>
      </c>
      <c r="P641" s="39" t="str">
        <f t="shared" si="95"/>
        <v/>
      </c>
      <c r="Q641" s="13" t="str">
        <f t="shared" si="91"/>
        <v/>
      </c>
      <c r="R641" s="13" t="str">
        <f t="shared" si="96"/>
        <v/>
      </c>
      <c r="S641" s="13" t="str">
        <f t="shared" si="92"/>
        <v/>
      </c>
      <c r="T641" s="22" t="str">
        <f>IF(R641&lt;&gt;"",VLOOKUP(P641,Constants!$D$3:$E$10,2),"")</f>
        <v/>
      </c>
    </row>
    <row r="642" spans="12:20" x14ac:dyDescent="0.25">
      <c r="L642" s="10" t="str">
        <f t="shared" si="89"/>
        <v/>
      </c>
      <c r="M642" s="10" t="str">
        <f t="shared" si="90"/>
        <v/>
      </c>
      <c r="N642" s="11" t="str">
        <f t="shared" si="93"/>
        <v/>
      </c>
      <c r="O642" s="10" t="str">
        <f t="shared" si="94"/>
        <v/>
      </c>
      <c r="P642" s="39" t="str">
        <f t="shared" si="95"/>
        <v/>
      </c>
      <c r="Q642" s="13" t="str">
        <f t="shared" si="91"/>
        <v/>
      </c>
      <c r="R642" s="13" t="str">
        <f t="shared" si="96"/>
        <v/>
      </c>
      <c r="S642" s="13" t="str">
        <f t="shared" si="92"/>
        <v/>
      </c>
      <c r="T642" s="22" t="str">
        <f>IF(R642&lt;&gt;"",VLOOKUP(P642,Constants!$D$3:$E$10,2),"")</f>
        <v/>
      </c>
    </row>
    <row r="643" spans="12:20" x14ac:dyDescent="0.25">
      <c r="L643" s="10" t="str">
        <f t="shared" si="89"/>
        <v/>
      </c>
      <c r="M643" s="10" t="str">
        <f t="shared" si="90"/>
        <v/>
      </c>
      <c r="N643" s="11" t="str">
        <f t="shared" si="93"/>
        <v/>
      </c>
      <c r="O643" s="10" t="str">
        <f t="shared" si="94"/>
        <v/>
      </c>
      <c r="P643" s="39" t="str">
        <f t="shared" si="95"/>
        <v/>
      </c>
      <c r="Q643" s="13" t="str">
        <f t="shared" si="91"/>
        <v/>
      </c>
      <c r="R643" s="13" t="str">
        <f t="shared" si="96"/>
        <v/>
      </c>
      <c r="S643" s="13" t="str">
        <f t="shared" si="92"/>
        <v/>
      </c>
      <c r="T643" s="22" t="str">
        <f>IF(R643&lt;&gt;"",VLOOKUP(P643,Constants!$D$3:$E$10,2),"")</f>
        <v/>
      </c>
    </row>
    <row r="644" spans="12:20" x14ac:dyDescent="0.25">
      <c r="L644" s="10" t="str">
        <f t="shared" si="89"/>
        <v/>
      </c>
      <c r="M644" s="10" t="str">
        <f t="shared" si="90"/>
        <v/>
      </c>
      <c r="N644" s="11" t="str">
        <f t="shared" si="93"/>
        <v/>
      </c>
      <c r="O644" s="10" t="str">
        <f t="shared" si="94"/>
        <v/>
      </c>
      <c r="P644" s="39" t="str">
        <f t="shared" si="95"/>
        <v/>
      </c>
      <c r="Q644" s="13" t="str">
        <f t="shared" si="91"/>
        <v/>
      </c>
      <c r="R644" s="13" t="str">
        <f t="shared" si="96"/>
        <v/>
      </c>
      <c r="S644" s="13" t="str">
        <f t="shared" si="92"/>
        <v/>
      </c>
      <c r="T644" s="22" t="str">
        <f>IF(R644&lt;&gt;"",VLOOKUP(P644,Constants!$D$3:$E$10,2),"")</f>
        <v/>
      </c>
    </row>
    <row r="645" spans="12:20" x14ac:dyDescent="0.25">
      <c r="L645" s="10" t="str">
        <f t="shared" si="89"/>
        <v/>
      </c>
      <c r="M645" s="10" t="str">
        <f t="shared" si="90"/>
        <v/>
      </c>
      <c r="N645" s="11" t="str">
        <f t="shared" si="93"/>
        <v/>
      </c>
      <c r="O645" s="10" t="str">
        <f t="shared" si="94"/>
        <v/>
      </c>
      <c r="P645" s="39" t="str">
        <f t="shared" si="95"/>
        <v/>
      </c>
      <c r="Q645" s="13" t="str">
        <f t="shared" si="91"/>
        <v/>
      </c>
      <c r="R645" s="13" t="str">
        <f t="shared" si="96"/>
        <v/>
      </c>
      <c r="S645" s="13" t="str">
        <f t="shared" si="92"/>
        <v/>
      </c>
      <c r="T645" s="22" t="str">
        <f>IF(R645&lt;&gt;"",VLOOKUP(P645,Constants!$D$3:$E$10,2),"")</f>
        <v/>
      </c>
    </row>
    <row r="646" spans="12:20" x14ac:dyDescent="0.25">
      <c r="L646" s="10" t="str">
        <f t="shared" si="89"/>
        <v/>
      </c>
      <c r="M646" s="10" t="str">
        <f t="shared" si="90"/>
        <v/>
      </c>
      <c r="N646" s="11" t="str">
        <f t="shared" si="93"/>
        <v/>
      </c>
      <c r="O646" s="10" t="str">
        <f t="shared" si="94"/>
        <v/>
      </c>
      <c r="P646" s="39" t="str">
        <f t="shared" si="95"/>
        <v/>
      </c>
      <c r="Q646" s="13" t="str">
        <f t="shared" si="91"/>
        <v/>
      </c>
      <c r="R646" s="13" t="str">
        <f t="shared" si="96"/>
        <v/>
      </c>
      <c r="S646" s="13" t="str">
        <f t="shared" si="92"/>
        <v/>
      </c>
      <c r="T646" s="22" t="str">
        <f>IF(R646&lt;&gt;"",VLOOKUP(P646,Constants!$D$3:$E$10,2),"")</f>
        <v/>
      </c>
    </row>
    <row r="647" spans="12:20" x14ac:dyDescent="0.25">
      <c r="L647" s="10" t="str">
        <f t="shared" si="89"/>
        <v/>
      </c>
      <c r="M647" s="10" t="str">
        <f t="shared" si="90"/>
        <v/>
      </c>
      <c r="N647" s="11" t="str">
        <f t="shared" si="93"/>
        <v/>
      </c>
      <c r="O647" s="10" t="str">
        <f t="shared" si="94"/>
        <v/>
      </c>
      <c r="P647" s="39" t="str">
        <f t="shared" si="95"/>
        <v/>
      </c>
      <c r="Q647" s="13" t="str">
        <f t="shared" si="91"/>
        <v/>
      </c>
      <c r="R647" s="13" t="str">
        <f t="shared" si="96"/>
        <v/>
      </c>
      <c r="S647" s="13" t="str">
        <f t="shared" si="92"/>
        <v/>
      </c>
      <c r="T647" s="22" t="str">
        <f>IF(R647&lt;&gt;"",VLOOKUP(P647,Constants!$D$3:$E$10,2),"")</f>
        <v/>
      </c>
    </row>
    <row r="648" spans="12:20" x14ac:dyDescent="0.25">
      <c r="L648" s="10" t="str">
        <f t="shared" ref="L648:L711" si="97">IF($D648&lt;&gt;"",$D648*$E648/1000,"")</f>
        <v/>
      </c>
      <c r="M648" s="10" t="str">
        <f t="shared" ref="M648:M711" si="98">IF($D648&lt;&gt;"",$D648*$F648/1000,"")</f>
        <v/>
      </c>
      <c r="N648" s="11" t="str">
        <f t="shared" si="93"/>
        <v/>
      </c>
      <c r="O648" s="10" t="str">
        <f t="shared" si="94"/>
        <v/>
      </c>
      <c r="P648" s="39" t="str">
        <f t="shared" si="95"/>
        <v/>
      </c>
      <c r="Q648" s="13" t="str">
        <f t="shared" ref="Q648:Q711" si="99">IF(F648&lt;&gt;"",F648*E648/1000,"")</f>
        <v/>
      </c>
      <c r="R648" s="13" t="str">
        <f t="shared" si="96"/>
        <v/>
      </c>
      <c r="S648" s="13" t="str">
        <f t="shared" ref="S648:S711" si="100">IF(R648&lt;&gt;"",Q648/R648*1000,"")</f>
        <v/>
      </c>
      <c r="T648" s="22" t="str">
        <f>IF(R648&lt;&gt;"",VLOOKUP(P648,Constants!$D$3:$E$10,2),"")</f>
        <v/>
      </c>
    </row>
    <row r="649" spans="12:20" x14ac:dyDescent="0.25">
      <c r="L649" s="10" t="str">
        <f t="shared" si="97"/>
        <v/>
      </c>
      <c r="M649" s="10" t="str">
        <f t="shared" si="98"/>
        <v/>
      </c>
      <c r="N649" s="11" t="str">
        <f t="shared" si="93"/>
        <v/>
      </c>
      <c r="O649" s="10" t="str">
        <f t="shared" si="94"/>
        <v/>
      </c>
      <c r="P649" s="39" t="str">
        <f t="shared" si="95"/>
        <v/>
      </c>
      <c r="Q649" s="13" t="str">
        <f t="shared" si="99"/>
        <v/>
      </c>
      <c r="R649" s="13" t="str">
        <f t="shared" si="96"/>
        <v/>
      </c>
      <c r="S649" s="13" t="str">
        <f t="shared" si="100"/>
        <v/>
      </c>
      <c r="T649" s="22" t="str">
        <f>IF(R649&lt;&gt;"",VLOOKUP(P649,Constants!$D$3:$E$10,2),"")</f>
        <v/>
      </c>
    </row>
    <row r="650" spans="12:20" x14ac:dyDescent="0.25">
      <c r="L650" s="10" t="str">
        <f t="shared" si="97"/>
        <v/>
      </c>
      <c r="M650" s="10" t="str">
        <f t="shared" si="98"/>
        <v/>
      </c>
      <c r="N650" s="11" t="str">
        <f t="shared" si="93"/>
        <v/>
      </c>
      <c r="O650" s="10" t="str">
        <f t="shared" si="94"/>
        <v/>
      </c>
      <c r="P650" s="39" t="str">
        <f t="shared" si="95"/>
        <v/>
      </c>
      <c r="Q650" s="13" t="str">
        <f t="shared" si="99"/>
        <v/>
      </c>
      <c r="R650" s="13" t="str">
        <f t="shared" si="96"/>
        <v/>
      </c>
      <c r="S650" s="13" t="str">
        <f t="shared" si="100"/>
        <v/>
      </c>
      <c r="T650" s="22" t="str">
        <f>IF(R650&lt;&gt;"",VLOOKUP(P650,Constants!$D$3:$E$10,2),"")</f>
        <v/>
      </c>
    </row>
    <row r="651" spans="12:20" x14ac:dyDescent="0.25">
      <c r="L651" s="10" t="str">
        <f t="shared" si="97"/>
        <v/>
      </c>
      <c r="M651" s="10" t="str">
        <f t="shared" si="98"/>
        <v/>
      </c>
      <c r="N651" s="11" t="str">
        <f t="shared" si="93"/>
        <v/>
      </c>
      <c r="O651" s="10" t="str">
        <f t="shared" si="94"/>
        <v/>
      </c>
      <c r="P651" s="39" t="str">
        <f t="shared" si="95"/>
        <v/>
      </c>
      <c r="Q651" s="13" t="str">
        <f t="shared" si="99"/>
        <v/>
      </c>
      <c r="R651" s="13" t="str">
        <f t="shared" si="96"/>
        <v/>
      </c>
      <c r="S651" s="13" t="str">
        <f t="shared" si="100"/>
        <v/>
      </c>
      <c r="T651" s="22" t="str">
        <f>IF(R651&lt;&gt;"",VLOOKUP(P651,Constants!$D$3:$E$10,2),"")</f>
        <v/>
      </c>
    </row>
    <row r="652" spans="12:20" x14ac:dyDescent="0.25">
      <c r="L652" s="10" t="str">
        <f t="shared" si="97"/>
        <v/>
      </c>
      <c r="M652" s="10" t="str">
        <f t="shared" si="98"/>
        <v/>
      </c>
      <c r="N652" s="11" t="str">
        <f t="shared" si="93"/>
        <v/>
      </c>
      <c r="O652" s="10" t="str">
        <f t="shared" si="94"/>
        <v/>
      </c>
      <c r="P652" s="39" t="str">
        <f t="shared" si="95"/>
        <v/>
      </c>
      <c r="Q652" s="13" t="str">
        <f t="shared" si="99"/>
        <v/>
      </c>
      <c r="R652" s="13" t="str">
        <f t="shared" si="96"/>
        <v/>
      </c>
      <c r="S652" s="13" t="str">
        <f t="shared" si="100"/>
        <v/>
      </c>
      <c r="T652" s="22" t="str">
        <f>IF(R652&lt;&gt;"",VLOOKUP(P652,Constants!$D$3:$E$10,2),"")</f>
        <v/>
      </c>
    </row>
    <row r="653" spans="12:20" x14ac:dyDescent="0.25">
      <c r="L653" s="10" t="str">
        <f t="shared" si="97"/>
        <v/>
      </c>
      <c r="M653" s="10" t="str">
        <f t="shared" si="98"/>
        <v/>
      </c>
      <c r="N653" s="11" t="str">
        <f t="shared" si="93"/>
        <v/>
      </c>
      <c r="O653" s="10" t="str">
        <f t="shared" si="94"/>
        <v/>
      </c>
      <c r="P653" s="39" t="str">
        <f t="shared" si="95"/>
        <v/>
      </c>
      <c r="Q653" s="13" t="str">
        <f t="shared" si="99"/>
        <v/>
      </c>
      <c r="R653" s="13" t="str">
        <f t="shared" si="96"/>
        <v/>
      </c>
      <c r="S653" s="13" t="str">
        <f t="shared" si="100"/>
        <v/>
      </c>
      <c r="T653" s="22" t="str">
        <f>IF(R653&lt;&gt;"",VLOOKUP(P653,Constants!$D$3:$E$10,2),"")</f>
        <v/>
      </c>
    </row>
    <row r="654" spans="12:20" x14ac:dyDescent="0.25">
      <c r="L654" s="10" t="str">
        <f t="shared" si="97"/>
        <v/>
      </c>
      <c r="M654" s="10" t="str">
        <f t="shared" si="98"/>
        <v/>
      </c>
      <c r="N654" s="11" t="str">
        <f t="shared" si="93"/>
        <v/>
      </c>
      <c r="O654" s="10" t="str">
        <f t="shared" si="94"/>
        <v/>
      </c>
      <c r="P654" s="39" t="str">
        <f t="shared" si="95"/>
        <v/>
      </c>
      <c r="Q654" s="13" t="str">
        <f t="shared" si="99"/>
        <v/>
      </c>
      <c r="R654" s="13" t="str">
        <f t="shared" si="96"/>
        <v/>
      </c>
      <c r="S654" s="13" t="str">
        <f t="shared" si="100"/>
        <v/>
      </c>
      <c r="T654" s="22" t="str">
        <f>IF(R654&lt;&gt;"",VLOOKUP(P654,Constants!$D$3:$E$10,2),"")</f>
        <v/>
      </c>
    </row>
    <row r="655" spans="12:20" x14ac:dyDescent="0.25">
      <c r="L655" s="10" t="str">
        <f t="shared" si="97"/>
        <v/>
      </c>
      <c r="M655" s="10" t="str">
        <f t="shared" si="98"/>
        <v/>
      </c>
      <c r="N655" s="11" t="str">
        <f t="shared" si="93"/>
        <v/>
      </c>
      <c r="O655" s="10" t="str">
        <f t="shared" si="94"/>
        <v/>
      </c>
      <c r="P655" s="39" t="str">
        <f t="shared" si="95"/>
        <v/>
      </c>
      <c r="Q655" s="13" t="str">
        <f t="shared" si="99"/>
        <v/>
      </c>
      <c r="R655" s="13" t="str">
        <f t="shared" si="96"/>
        <v/>
      </c>
      <c r="S655" s="13" t="str">
        <f t="shared" si="100"/>
        <v/>
      </c>
      <c r="T655" s="22" t="str">
        <f>IF(R655&lt;&gt;"",VLOOKUP(P655,Constants!$D$3:$E$10,2),"")</f>
        <v/>
      </c>
    </row>
    <row r="656" spans="12:20" x14ac:dyDescent="0.25">
      <c r="L656" s="10" t="str">
        <f t="shared" si="97"/>
        <v/>
      </c>
      <c r="M656" s="10" t="str">
        <f t="shared" si="98"/>
        <v/>
      </c>
      <c r="N656" s="11" t="str">
        <f t="shared" ref="N656:N719" si="101">IF($L656&lt;&gt;"",SQRT($L656*$L656+$M656*$M656),"")</f>
        <v/>
      </c>
      <c r="O656" s="10" t="str">
        <f t="shared" si="94"/>
        <v/>
      </c>
      <c r="P656" s="39" t="str">
        <f t="shared" si="95"/>
        <v/>
      </c>
      <c r="Q656" s="13" t="str">
        <f t="shared" si="99"/>
        <v/>
      </c>
      <c r="R656" s="13" t="str">
        <f t="shared" si="96"/>
        <v/>
      </c>
      <c r="S656" s="13" t="str">
        <f t="shared" si="100"/>
        <v/>
      </c>
      <c r="T656" s="22" t="str">
        <f>IF(R656&lt;&gt;"",VLOOKUP(P656,Constants!$D$3:$E$10,2),"")</f>
        <v/>
      </c>
    </row>
    <row r="657" spans="12:20" x14ac:dyDescent="0.25">
      <c r="L657" s="10" t="str">
        <f t="shared" si="97"/>
        <v/>
      </c>
      <c r="M657" s="10" t="str">
        <f t="shared" si="98"/>
        <v/>
      </c>
      <c r="N657" s="11" t="str">
        <f t="shared" si="101"/>
        <v/>
      </c>
      <c r="O657" s="10" t="str">
        <f t="shared" si="94"/>
        <v/>
      </c>
      <c r="P657" s="39" t="str">
        <f t="shared" si="95"/>
        <v/>
      </c>
      <c r="Q657" s="13" t="str">
        <f t="shared" si="99"/>
        <v/>
      </c>
      <c r="R657" s="13" t="str">
        <f t="shared" si="96"/>
        <v/>
      </c>
      <c r="S657" s="13" t="str">
        <f t="shared" si="100"/>
        <v/>
      </c>
      <c r="T657" s="22" t="str">
        <f>IF(R657&lt;&gt;"",VLOOKUP(P657,Constants!$D$3:$E$10,2),"")</f>
        <v/>
      </c>
    </row>
    <row r="658" spans="12:20" x14ac:dyDescent="0.25">
      <c r="L658" s="10" t="str">
        <f t="shared" si="97"/>
        <v/>
      </c>
      <c r="M658" s="10" t="str">
        <f t="shared" si="98"/>
        <v/>
      </c>
      <c r="N658" s="11" t="str">
        <f t="shared" si="101"/>
        <v/>
      </c>
      <c r="O658" s="10" t="str">
        <f t="shared" si="94"/>
        <v/>
      </c>
      <c r="P658" s="39" t="str">
        <f t="shared" si="95"/>
        <v/>
      </c>
      <c r="Q658" s="13" t="str">
        <f t="shared" si="99"/>
        <v/>
      </c>
      <c r="R658" s="13" t="str">
        <f t="shared" si="96"/>
        <v/>
      </c>
      <c r="S658" s="13" t="str">
        <f t="shared" si="100"/>
        <v/>
      </c>
      <c r="T658" s="22" t="str">
        <f>IF(R658&lt;&gt;"",VLOOKUP(P658,Constants!$D$3:$E$10,2),"")</f>
        <v/>
      </c>
    </row>
    <row r="659" spans="12:20" x14ac:dyDescent="0.25">
      <c r="L659" s="10" t="str">
        <f t="shared" si="97"/>
        <v/>
      </c>
      <c r="M659" s="10" t="str">
        <f t="shared" si="98"/>
        <v/>
      </c>
      <c r="N659" s="11" t="str">
        <f t="shared" si="101"/>
        <v/>
      </c>
      <c r="O659" s="10" t="str">
        <f t="shared" si="94"/>
        <v/>
      </c>
      <c r="P659" s="39" t="str">
        <f t="shared" si="95"/>
        <v/>
      </c>
      <c r="Q659" s="13" t="str">
        <f t="shared" si="99"/>
        <v/>
      </c>
      <c r="R659" s="13" t="str">
        <f t="shared" si="96"/>
        <v/>
      </c>
      <c r="S659" s="13" t="str">
        <f t="shared" si="100"/>
        <v/>
      </c>
      <c r="T659" s="22" t="str">
        <f>IF(R659&lt;&gt;"",VLOOKUP(P659,Constants!$D$3:$E$10,2),"")</f>
        <v/>
      </c>
    </row>
    <row r="660" spans="12:20" x14ac:dyDescent="0.25">
      <c r="L660" s="10" t="str">
        <f t="shared" si="97"/>
        <v/>
      </c>
      <c r="M660" s="10" t="str">
        <f t="shared" si="98"/>
        <v/>
      </c>
      <c r="N660" s="11" t="str">
        <f t="shared" si="101"/>
        <v/>
      </c>
      <c r="O660" s="10" t="str">
        <f t="shared" si="94"/>
        <v/>
      </c>
      <c r="P660" s="39" t="str">
        <f t="shared" si="95"/>
        <v/>
      </c>
      <c r="Q660" s="13" t="str">
        <f t="shared" si="99"/>
        <v/>
      </c>
      <c r="R660" s="13" t="str">
        <f t="shared" si="96"/>
        <v/>
      </c>
      <c r="S660" s="13" t="str">
        <f t="shared" si="100"/>
        <v/>
      </c>
      <c r="T660" s="22" t="str">
        <f>IF(R660&lt;&gt;"",VLOOKUP(P660,Constants!$D$3:$E$10,2),"")</f>
        <v/>
      </c>
    </row>
    <row r="661" spans="12:20" x14ac:dyDescent="0.25">
      <c r="L661" s="10" t="str">
        <f t="shared" si="97"/>
        <v/>
      </c>
      <c r="M661" s="10" t="str">
        <f t="shared" si="98"/>
        <v/>
      </c>
      <c r="N661" s="11" t="str">
        <f t="shared" si="101"/>
        <v/>
      </c>
      <c r="O661" s="10" t="str">
        <f t="shared" si="94"/>
        <v/>
      </c>
      <c r="P661" s="39" t="str">
        <f t="shared" si="95"/>
        <v/>
      </c>
      <c r="Q661" s="13" t="str">
        <f t="shared" si="99"/>
        <v/>
      </c>
      <c r="R661" s="13" t="str">
        <f t="shared" si="96"/>
        <v/>
      </c>
      <c r="S661" s="13" t="str">
        <f t="shared" si="100"/>
        <v/>
      </c>
      <c r="T661" s="22" t="str">
        <f>IF(R661&lt;&gt;"",VLOOKUP(P661,Constants!$D$3:$E$10,2),"")</f>
        <v/>
      </c>
    </row>
    <row r="662" spans="12:20" x14ac:dyDescent="0.25">
      <c r="L662" s="10" t="str">
        <f t="shared" si="97"/>
        <v/>
      </c>
      <c r="M662" s="10" t="str">
        <f t="shared" si="98"/>
        <v/>
      </c>
      <c r="N662" s="11" t="str">
        <f t="shared" si="101"/>
        <v/>
      </c>
      <c r="O662" s="10" t="str">
        <f t="shared" si="94"/>
        <v/>
      </c>
      <c r="P662" s="39" t="str">
        <f t="shared" si="95"/>
        <v/>
      </c>
      <c r="Q662" s="13" t="str">
        <f t="shared" si="99"/>
        <v/>
      </c>
      <c r="R662" s="13" t="str">
        <f t="shared" si="96"/>
        <v/>
      </c>
      <c r="S662" s="13" t="str">
        <f t="shared" si="100"/>
        <v/>
      </c>
      <c r="T662" s="22" t="str">
        <f>IF(R662&lt;&gt;"",VLOOKUP(P662,Constants!$D$3:$E$10,2),"")</f>
        <v/>
      </c>
    </row>
    <row r="663" spans="12:20" x14ac:dyDescent="0.25">
      <c r="L663" s="10" t="str">
        <f t="shared" si="97"/>
        <v/>
      </c>
      <c r="M663" s="10" t="str">
        <f t="shared" si="98"/>
        <v/>
      </c>
      <c r="N663" s="11" t="str">
        <f t="shared" si="101"/>
        <v/>
      </c>
      <c r="O663" s="10" t="str">
        <f t="shared" ref="O663:O726" si="102">IF(D663&lt;&gt;"",1000/(2*D663),"")</f>
        <v/>
      </c>
      <c r="P663" s="39" t="str">
        <f t="shared" ref="P663:P726" si="103">IF($N663&lt;&gt;"",D663*SQRT(E663*E663+F663*F663)/16000,"")</f>
        <v/>
      </c>
      <c r="Q663" s="13" t="str">
        <f t="shared" si="99"/>
        <v/>
      </c>
      <c r="R663" s="13" t="str">
        <f t="shared" ref="R663:R726" si="104">IF(G663&lt;&gt;"",1000/G663,"")</f>
        <v/>
      </c>
      <c r="S663" s="13" t="str">
        <f t="shared" si="100"/>
        <v/>
      </c>
      <c r="T663" s="22" t="str">
        <f>IF(R663&lt;&gt;"",VLOOKUP(P663,Constants!$D$3:$E$10,2),"")</f>
        <v/>
      </c>
    </row>
    <row r="664" spans="12:20" x14ac:dyDescent="0.25">
      <c r="L664" s="10" t="str">
        <f t="shared" si="97"/>
        <v/>
      </c>
      <c r="M664" s="10" t="str">
        <f t="shared" si="98"/>
        <v/>
      </c>
      <c r="N664" s="11" t="str">
        <f t="shared" si="101"/>
        <v/>
      </c>
      <c r="O664" s="10" t="str">
        <f t="shared" si="102"/>
        <v/>
      </c>
      <c r="P664" s="39" t="str">
        <f t="shared" si="103"/>
        <v/>
      </c>
      <c r="Q664" s="13" t="str">
        <f t="shared" si="99"/>
        <v/>
      </c>
      <c r="R664" s="13" t="str">
        <f t="shared" si="104"/>
        <v/>
      </c>
      <c r="S664" s="13" t="str">
        <f t="shared" si="100"/>
        <v/>
      </c>
      <c r="T664" s="22" t="str">
        <f>IF(R664&lt;&gt;"",VLOOKUP(P664,Constants!$D$3:$E$10,2),"")</f>
        <v/>
      </c>
    </row>
    <row r="665" spans="12:20" x14ac:dyDescent="0.25">
      <c r="L665" s="10" t="str">
        <f t="shared" si="97"/>
        <v/>
      </c>
      <c r="M665" s="10" t="str">
        <f t="shared" si="98"/>
        <v/>
      </c>
      <c r="N665" s="11" t="str">
        <f t="shared" si="101"/>
        <v/>
      </c>
      <c r="O665" s="10" t="str">
        <f t="shared" si="102"/>
        <v/>
      </c>
      <c r="P665" s="39" t="str">
        <f t="shared" si="103"/>
        <v/>
      </c>
      <c r="Q665" s="13" t="str">
        <f t="shared" si="99"/>
        <v/>
      </c>
      <c r="R665" s="13" t="str">
        <f t="shared" si="104"/>
        <v/>
      </c>
      <c r="S665" s="13" t="str">
        <f t="shared" si="100"/>
        <v/>
      </c>
      <c r="T665" s="22" t="str">
        <f>IF(R665&lt;&gt;"",VLOOKUP(P665,Constants!$D$3:$E$10,2),"")</f>
        <v/>
      </c>
    </row>
    <row r="666" spans="12:20" x14ac:dyDescent="0.25">
      <c r="L666" s="10" t="str">
        <f t="shared" si="97"/>
        <v/>
      </c>
      <c r="M666" s="10" t="str">
        <f t="shared" si="98"/>
        <v/>
      </c>
      <c r="N666" s="11" t="str">
        <f t="shared" si="101"/>
        <v/>
      </c>
      <c r="O666" s="10" t="str">
        <f t="shared" si="102"/>
        <v/>
      </c>
      <c r="P666" s="39" t="str">
        <f t="shared" si="103"/>
        <v/>
      </c>
      <c r="Q666" s="13" t="str">
        <f t="shared" si="99"/>
        <v/>
      </c>
      <c r="R666" s="13" t="str">
        <f t="shared" si="104"/>
        <v/>
      </c>
      <c r="S666" s="13" t="str">
        <f t="shared" si="100"/>
        <v/>
      </c>
      <c r="T666" s="22" t="str">
        <f>IF(R666&lt;&gt;"",VLOOKUP(P666,Constants!$D$3:$E$10,2),"")</f>
        <v/>
      </c>
    </row>
    <row r="667" spans="12:20" x14ac:dyDescent="0.25">
      <c r="L667" s="10" t="str">
        <f t="shared" si="97"/>
        <v/>
      </c>
      <c r="M667" s="10" t="str">
        <f t="shared" si="98"/>
        <v/>
      </c>
      <c r="N667" s="11" t="str">
        <f t="shared" si="101"/>
        <v/>
      </c>
      <c r="O667" s="10" t="str">
        <f t="shared" si="102"/>
        <v/>
      </c>
      <c r="P667" s="39" t="str">
        <f t="shared" si="103"/>
        <v/>
      </c>
      <c r="Q667" s="13" t="str">
        <f t="shared" si="99"/>
        <v/>
      </c>
      <c r="R667" s="13" t="str">
        <f t="shared" si="104"/>
        <v/>
      </c>
      <c r="S667" s="13" t="str">
        <f t="shared" si="100"/>
        <v/>
      </c>
      <c r="T667" s="22" t="str">
        <f>IF(R667&lt;&gt;"",VLOOKUP(P667,Constants!$D$3:$E$10,2),"")</f>
        <v/>
      </c>
    </row>
    <row r="668" spans="12:20" x14ac:dyDescent="0.25">
      <c r="L668" s="10" t="str">
        <f t="shared" si="97"/>
        <v/>
      </c>
      <c r="M668" s="10" t="str">
        <f t="shared" si="98"/>
        <v/>
      </c>
      <c r="N668" s="11" t="str">
        <f t="shared" si="101"/>
        <v/>
      </c>
      <c r="O668" s="10" t="str">
        <f t="shared" si="102"/>
        <v/>
      </c>
      <c r="P668" s="39" t="str">
        <f t="shared" si="103"/>
        <v/>
      </c>
      <c r="Q668" s="13" t="str">
        <f t="shared" si="99"/>
        <v/>
      </c>
      <c r="R668" s="13" t="str">
        <f t="shared" si="104"/>
        <v/>
      </c>
      <c r="S668" s="13" t="str">
        <f t="shared" si="100"/>
        <v/>
      </c>
      <c r="T668" s="22" t="str">
        <f>IF(R668&lt;&gt;"",VLOOKUP(P668,Constants!$D$3:$E$10,2),"")</f>
        <v/>
      </c>
    </row>
    <row r="669" spans="12:20" x14ac:dyDescent="0.25">
      <c r="L669" s="10" t="str">
        <f t="shared" si="97"/>
        <v/>
      </c>
      <c r="M669" s="10" t="str">
        <f t="shared" si="98"/>
        <v/>
      </c>
      <c r="N669" s="11" t="str">
        <f t="shared" si="101"/>
        <v/>
      </c>
      <c r="O669" s="10" t="str">
        <f t="shared" si="102"/>
        <v/>
      </c>
      <c r="P669" s="39" t="str">
        <f t="shared" si="103"/>
        <v/>
      </c>
      <c r="Q669" s="13" t="str">
        <f t="shared" si="99"/>
        <v/>
      </c>
      <c r="R669" s="13" t="str">
        <f t="shared" si="104"/>
        <v/>
      </c>
      <c r="S669" s="13" t="str">
        <f t="shared" si="100"/>
        <v/>
      </c>
      <c r="T669" s="22" t="str">
        <f>IF(R669&lt;&gt;"",VLOOKUP(P669,Constants!$D$3:$E$10,2),"")</f>
        <v/>
      </c>
    </row>
    <row r="670" spans="12:20" x14ac:dyDescent="0.25">
      <c r="L670" s="10" t="str">
        <f t="shared" si="97"/>
        <v/>
      </c>
      <c r="M670" s="10" t="str">
        <f t="shared" si="98"/>
        <v/>
      </c>
      <c r="N670" s="11" t="str">
        <f t="shared" si="101"/>
        <v/>
      </c>
      <c r="O670" s="10" t="str">
        <f t="shared" si="102"/>
        <v/>
      </c>
      <c r="P670" s="39" t="str">
        <f t="shared" si="103"/>
        <v/>
      </c>
      <c r="Q670" s="13" t="str">
        <f t="shared" si="99"/>
        <v/>
      </c>
      <c r="R670" s="13" t="str">
        <f t="shared" si="104"/>
        <v/>
      </c>
      <c r="S670" s="13" t="str">
        <f t="shared" si="100"/>
        <v/>
      </c>
      <c r="T670" s="22" t="str">
        <f>IF(R670&lt;&gt;"",VLOOKUP(P670,Constants!$D$3:$E$10,2),"")</f>
        <v/>
      </c>
    </row>
    <row r="671" spans="12:20" x14ac:dyDescent="0.25">
      <c r="L671" s="10" t="str">
        <f t="shared" si="97"/>
        <v/>
      </c>
      <c r="M671" s="10" t="str">
        <f t="shared" si="98"/>
        <v/>
      </c>
      <c r="N671" s="11" t="str">
        <f t="shared" si="101"/>
        <v/>
      </c>
      <c r="O671" s="10" t="str">
        <f t="shared" si="102"/>
        <v/>
      </c>
      <c r="P671" s="39" t="str">
        <f t="shared" si="103"/>
        <v/>
      </c>
      <c r="Q671" s="13" t="str">
        <f t="shared" si="99"/>
        <v/>
      </c>
      <c r="R671" s="13" t="str">
        <f t="shared" si="104"/>
        <v/>
      </c>
      <c r="S671" s="13" t="str">
        <f t="shared" si="100"/>
        <v/>
      </c>
      <c r="T671" s="22" t="str">
        <f>IF(R671&lt;&gt;"",VLOOKUP(P671,Constants!$D$3:$E$10,2),"")</f>
        <v/>
      </c>
    </row>
    <row r="672" spans="12:20" x14ac:dyDescent="0.25">
      <c r="L672" s="10" t="str">
        <f t="shared" si="97"/>
        <v/>
      </c>
      <c r="M672" s="10" t="str">
        <f t="shared" si="98"/>
        <v/>
      </c>
      <c r="N672" s="11" t="str">
        <f t="shared" si="101"/>
        <v/>
      </c>
      <c r="O672" s="10" t="str">
        <f t="shared" si="102"/>
        <v/>
      </c>
      <c r="P672" s="39" t="str">
        <f t="shared" si="103"/>
        <v/>
      </c>
      <c r="Q672" s="13" t="str">
        <f t="shared" si="99"/>
        <v/>
      </c>
      <c r="R672" s="13" t="str">
        <f t="shared" si="104"/>
        <v/>
      </c>
      <c r="S672" s="13" t="str">
        <f t="shared" si="100"/>
        <v/>
      </c>
      <c r="T672" s="22" t="str">
        <f>IF(R672&lt;&gt;"",VLOOKUP(P672,Constants!$D$3:$E$10,2),"")</f>
        <v/>
      </c>
    </row>
    <row r="673" spans="12:20" x14ac:dyDescent="0.25">
      <c r="L673" s="10" t="str">
        <f t="shared" si="97"/>
        <v/>
      </c>
      <c r="M673" s="10" t="str">
        <f t="shared" si="98"/>
        <v/>
      </c>
      <c r="N673" s="11" t="str">
        <f t="shared" si="101"/>
        <v/>
      </c>
      <c r="O673" s="10" t="str">
        <f t="shared" si="102"/>
        <v/>
      </c>
      <c r="P673" s="39" t="str">
        <f t="shared" si="103"/>
        <v/>
      </c>
      <c r="Q673" s="13" t="str">
        <f t="shared" si="99"/>
        <v/>
      </c>
      <c r="R673" s="13" t="str">
        <f t="shared" si="104"/>
        <v/>
      </c>
      <c r="S673" s="13" t="str">
        <f t="shared" si="100"/>
        <v/>
      </c>
      <c r="T673" s="22" t="str">
        <f>IF(R673&lt;&gt;"",VLOOKUP(P673,Constants!$D$3:$E$10,2),"")</f>
        <v/>
      </c>
    </row>
    <row r="674" spans="12:20" x14ac:dyDescent="0.25">
      <c r="L674" s="10" t="str">
        <f t="shared" si="97"/>
        <v/>
      </c>
      <c r="M674" s="10" t="str">
        <f t="shared" si="98"/>
        <v/>
      </c>
      <c r="N674" s="11" t="str">
        <f t="shared" si="101"/>
        <v/>
      </c>
      <c r="O674" s="10" t="str">
        <f t="shared" si="102"/>
        <v/>
      </c>
      <c r="P674" s="39" t="str">
        <f t="shared" si="103"/>
        <v/>
      </c>
      <c r="Q674" s="13" t="str">
        <f t="shared" si="99"/>
        <v/>
      </c>
      <c r="R674" s="13" t="str">
        <f t="shared" si="104"/>
        <v/>
      </c>
      <c r="S674" s="13" t="str">
        <f t="shared" si="100"/>
        <v/>
      </c>
      <c r="T674" s="22" t="str">
        <f>IF(R674&lt;&gt;"",VLOOKUP(P674,Constants!$D$3:$E$10,2),"")</f>
        <v/>
      </c>
    </row>
    <row r="675" spans="12:20" x14ac:dyDescent="0.25">
      <c r="L675" s="10" t="str">
        <f t="shared" si="97"/>
        <v/>
      </c>
      <c r="M675" s="10" t="str">
        <f t="shared" si="98"/>
        <v/>
      </c>
      <c r="N675" s="11" t="str">
        <f t="shared" si="101"/>
        <v/>
      </c>
      <c r="O675" s="10" t="str">
        <f t="shared" si="102"/>
        <v/>
      </c>
      <c r="P675" s="39" t="str">
        <f t="shared" si="103"/>
        <v/>
      </c>
      <c r="Q675" s="13" t="str">
        <f t="shared" si="99"/>
        <v/>
      </c>
      <c r="R675" s="13" t="str">
        <f t="shared" si="104"/>
        <v/>
      </c>
      <c r="S675" s="13" t="str">
        <f t="shared" si="100"/>
        <v/>
      </c>
      <c r="T675" s="22" t="str">
        <f>IF(R675&lt;&gt;"",VLOOKUP(P675,Constants!$D$3:$E$10,2),"")</f>
        <v/>
      </c>
    </row>
    <row r="676" spans="12:20" x14ac:dyDescent="0.25">
      <c r="L676" s="10" t="str">
        <f t="shared" si="97"/>
        <v/>
      </c>
      <c r="M676" s="10" t="str">
        <f t="shared" si="98"/>
        <v/>
      </c>
      <c r="N676" s="11" t="str">
        <f t="shared" si="101"/>
        <v/>
      </c>
      <c r="O676" s="10" t="str">
        <f t="shared" si="102"/>
        <v/>
      </c>
      <c r="P676" s="39" t="str">
        <f t="shared" si="103"/>
        <v/>
      </c>
      <c r="Q676" s="13" t="str">
        <f t="shared" si="99"/>
        <v/>
      </c>
      <c r="R676" s="13" t="str">
        <f t="shared" si="104"/>
        <v/>
      </c>
      <c r="S676" s="13" t="str">
        <f t="shared" si="100"/>
        <v/>
      </c>
      <c r="T676" s="22" t="str">
        <f>IF(R676&lt;&gt;"",VLOOKUP(P676,Constants!$D$3:$E$10,2),"")</f>
        <v/>
      </c>
    </row>
    <row r="677" spans="12:20" x14ac:dyDescent="0.25">
      <c r="L677" s="10" t="str">
        <f t="shared" si="97"/>
        <v/>
      </c>
      <c r="M677" s="10" t="str">
        <f t="shared" si="98"/>
        <v/>
      </c>
      <c r="N677" s="11" t="str">
        <f t="shared" si="101"/>
        <v/>
      </c>
      <c r="O677" s="10" t="str">
        <f t="shared" si="102"/>
        <v/>
      </c>
      <c r="P677" s="39" t="str">
        <f t="shared" si="103"/>
        <v/>
      </c>
      <c r="Q677" s="13" t="str">
        <f t="shared" si="99"/>
        <v/>
      </c>
      <c r="R677" s="13" t="str">
        <f t="shared" si="104"/>
        <v/>
      </c>
      <c r="S677" s="13" t="str">
        <f t="shared" si="100"/>
        <v/>
      </c>
      <c r="T677" s="22" t="str">
        <f>IF(R677&lt;&gt;"",VLOOKUP(P677,Constants!$D$3:$E$10,2),"")</f>
        <v/>
      </c>
    </row>
    <row r="678" spans="12:20" x14ac:dyDescent="0.25">
      <c r="L678" s="10" t="str">
        <f t="shared" si="97"/>
        <v/>
      </c>
      <c r="M678" s="10" t="str">
        <f t="shared" si="98"/>
        <v/>
      </c>
      <c r="N678" s="11" t="str">
        <f t="shared" si="101"/>
        <v/>
      </c>
      <c r="O678" s="10" t="str">
        <f t="shared" si="102"/>
        <v/>
      </c>
      <c r="P678" s="39" t="str">
        <f t="shared" si="103"/>
        <v/>
      </c>
      <c r="Q678" s="13" t="str">
        <f t="shared" si="99"/>
        <v/>
      </c>
      <c r="R678" s="13" t="str">
        <f t="shared" si="104"/>
        <v/>
      </c>
      <c r="S678" s="13" t="str">
        <f t="shared" si="100"/>
        <v/>
      </c>
      <c r="T678" s="22" t="str">
        <f>IF(R678&lt;&gt;"",VLOOKUP(P678,Constants!$D$3:$E$10,2),"")</f>
        <v/>
      </c>
    </row>
    <row r="679" spans="12:20" x14ac:dyDescent="0.25">
      <c r="L679" s="10" t="str">
        <f t="shared" si="97"/>
        <v/>
      </c>
      <c r="M679" s="10" t="str">
        <f t="shared" si="98"/>
        <v/>
      </c>
      <c r="N679" s="11" t="str">
        <f t="shared" si="101"/>
        <v/>
      </c>
      <c r="O679" s="10" t="str">
        <f t="shared" si="102"/>
        <v/>
      </c>
      <c r="P679" s="39" t="str">
        <f t="shared" si="103"/>
        <v/>
      </c>
      <c r="Q679" s="13" t="str">
        <f t="shared" si="99"/>
        <v/>
      </c>
      <c r="R679" s="13" t="str">
        <f t="shared" si="104"/>
        <v/>
      </c>
      <c r="S679" s="13" t="str">
        <f t="shared" si="100"/>
        <v/>
      </c>
      <c r="T679" s="22" t="str">
        <f>IF(R679&lt;&gt;"",VLOOKUP(P679,Constants!$D$3:$E$10,2),"")</f>
        <v/>
      </c>
    </row>
    <row r="680" spans="12:20" x14ac:dyDescent="0.25">
      <c r="L680" s="10" t="str">
        <f t="shared" si="97"/>
        <v/>
      </c>
      <c r="M680" s="10" t="str">
        <f t="shared" si="98"/>
        <v/>
      </c>
      <c r="N680" s="11" t="str">
        <f t="shared" si="101"/>
        <v/>
      </c>
      <c r="O680" s="10" t="str">
        <f t="shared" si="102"/>
        <v/>
      </c>
      <c r="P680" s="39" t="str">
        <f t="shared" si="103"/>
        <v/>
      </c>
      <c r="Q680" s="13" t="str">
        <f t="shared" si="99"/>
        <v/>
      </c>
      <c r="R680" s="13" t="str">
        <f t="shared" si="104"/>
        <v/>
      </c>
      <c r="S680" s="13" t="str">
        <f t="shared" si="100"/>
        <v/>
      </c>
      <c r="T680" s="22" t="str">
        <f>IF(R680&lt;&gt;"",VLOOKUP(P680,Constants!$D$3:$E$10,2),"")</f>
        <v/>
      </c>
    </row>
    <row r="681" spans="12:20" x14ac:dyDescent="0.25">
      <c r="L681" s="10" t="str">
        <f t="shared" si="97"/>
        <v/>
      </c>
      <c r="M681" s="10" t="str">
        <f t="shared" si="98"/>
        <v/>
      </c>
      <c r="N681" s="11" t="str">
        <f t="shared" si="101"/>
        <v/>
      </c>
      <c r="O681" s="10" t="str">
        <f t="shared" si="102"/>
        <v/>
      </c>
      <c r="P681" s="39" t="str">
        <f t="shared" si="103"/>
        <v/>
      </c>
      <c r="Q681" s="13" t="str">
        <f t="shared" si="99"/>
        <v/>
      </c>
      <c r="R681" s="13" t="str">
        <f t="shared" si="104"/>
        <v/>
      </c>
      <c r="S681" s="13" t="str">
        <f t="shared" si="100"/>
        <v/>
      </c>
      <c r="T681" s="22" t="str">
        <f>IF(R681&lt;&gt;"",VLOOKUP(P681,Constants!$D$3:$E$10,2),"")</f>
        <v/>
      </c>
    </row>
    <row r="682" spans="12:20" x14ac:dyDescent="0.25">
      <c r="L682" s="10" t="str">
        <f t="shared" si="97"/>
        <v/>
      </c>
      <c r="M682" s="10" t="str">
        <f t="shared" si="98"/>
        <v/>
      </c>
      <c r="N682" s="11" t="str">
        <f t="shared" si="101"/>
        <v/>
      </c>
      <c r="O682" s="10" t="str">
        <f t="shared" si="102"/>
        <v/>
      </c>
      <c r="P682" s="39" t="str">
        <f t="shared" si="103"/>
        <v/>
      </c>
      <c r="Q682" s="13" t="str">
        <f t="shared" si="99"/>
        <v/>
      </c>
      <c r="R682" s="13" t="str">
        <f t="shared" si="104"/>
        <v/>
      </c>
      <c r="S682" s="13" t="str">
        <f t="shared" si="100"/>
        <v/>
      </c>
      <c r="T682" s="22" t="str">
        <f>IF(R682&lt;&gt;"",VLOOKUP(P682,Constants!$D$3:$E$10,2),"")</f>
        <v/>
      </c>
    </row>
    <row r="683" spans="12:20" x14ac:dyDescent="0.25">
      <c r="L683" s="10" t="str">
        <f t="shared" si="97"/>
        <v/>
      </c>
      <c r="M683" s="10" t="str">
        <f t="shared" si="98"/>
        <v/>
      </c>
      <c r="N683" s="11" t="str">
        <f t="shared" si="101"/>
        <v/>
      </c>
      <c r="O683" s="10" t="str">
        <f t="shared" si="102"/>
        <v/>
      </c>
      <c r="P683" s="39" t="str">
        <f t="shared" si="103"/>
        <v/>
      </c>
      <c r="Q683" s="13" t="str">
        <f t="shared" si="99"/>
        <v/>
      </c>
      <c r="R683" s="13" t="str">
        <f t="shared" si="104"/>
        <v/>
      </c>
      <c r="S683" s="13" t="str">
        <f t="shared" si="100"/>
        <v/>
      </c>
      <c r="T683" s="22" t="str">
        <f>IF(R683&lt;&gt;"",VLOOKUP(P683,Constants!$D$3:$E$10,2),"")</f>
        <v/>
      </c>
    </row>
    <row r="684" spans="12:20" x14ac:dyDescent="0.25">
      <c r="L684" s="10" t="str">
        <f t="shared" si="97"/>
        <v/>
      </c>
      <c r="M684" s="10" t="str">
        <f t="shared" si="98"/>
        <v/>
      </c>
      <c r="N684" s="11" t="str">
        <f t="shared" si="101"/>
        <v/>
      </c>
      <c r="O684" s="10" t="str">
        <f t="shared" si="102"/>
        <v/>
      </c>
      <c r="P684" s="39" t="str">
        <f t="shared" si="103"/>
        <v/>
      </c>
      <c r="Q684" s="13" t="str">
        <f t="shared" si="99"/>
        <v/>
      </c>
      <c r="R684" s="13" t="str">
        <f t="shared" si="104"/>
        <v/>
      </c>
      <c r="S684" s="13" t="str">
        <f t="shared" si="100"/>
        <v/>
      </c>
      <c r="T684" s="22" t="str">
        <f>IF(R684&lt;&gt;"",VLOOKUP(P684,Constants!$D$3:$E$10,2),"")</f>
        <v/>
      </c>
    </row>
    <row r="685" spans="12:20" x14ac:dyDescent="0.25">
      <c r="L685" s="10" t="str">
        <f t="shared" si="97"/>
        <v/>
      </c>
      <c r="M685" s="10" t="str">
        <f t="shared" si="98"/>
        <v/>
      </c>
      <c r="N685" s="11" t="str">
        <f t="shared" si="101"/>
        <v/>
      </c>
      <c r="O685" s="10" t="str">
        <f t="shared" si="102"/>
        <v/>
      </c>
      <c r="P685" s="39" t="str">
        <f t="shared" si="103"/>
        <v/>
      </c>
      <c r="Q685" s="13" t="str">
        <f t="shared" si="99"/>
        <v/>
      </c>
      <c r="R685" s="13" t="str">
        <f t="shared" si="104"/>
        <v/>
      </c>
      <c r="S685" s="13" t="str">
        <f t="shared" si="100"/>
        <v/>
      </c>
      <c r="T685" s="22" t="str">
        <f>IF(R685&lt;&gt;"",VLOOKUP(P685,Constants!$D$3:$E$10,2),"")</f>
        <v/>
      </c>
    </row>
    <row r="686" spans="12:20" x14ac:dyDescent="0.25">
      <c r="L686" s="10" t="str">
        <f t="shared" si="97"/>
        <v/>
      </c>
      <c r="M686" s="10" t="str">
        <f t="shared" si="98"/>
        <v/>
      </c>
      <c r="N686" s="11" t="str">
        <f t="shared" si="101"/>
        <v/>
      </c>
      <c r="O686" s="10" t="str">
        <f t="shared" si="102"/>
        <v/>
      </c>
      <c r="P686" s="39" t="str">
        <f t="shared" si="103"/>
        <v/>
      </c>
      <c r="Q686" s="13" t="str">
        <f t="shared" si="99"/>
        <v/>
      </c>
      <c r="R686" s="13" t="str">
        <f t="shared" si="104"/>
        <v/>
      </c>
      <c r="S686" s="13" t="str">
        <f t="shared" si="100"/>
        <v/>
      </c>
      <c r="T686" s="22" t="str">
        <f>IF(R686&lt;&gt;"",VLOOKUP(P686,Constants!$D$3:$E$10,2),"")</f>
        <v/>
      </c>
    </row>
    <row r="687" spans="12:20" x14ac:dyDescent="0.25">
      <c r="L687" s="10" t="str">
        <f t="shared" si="97"/>
        <v/>
      </c>
      <c r="M687" s="10" t="str">
        <f t="shared" si="98"/>
        <v/>
      </c>
      <c r="N687" s="11" t="str">
        <f t="shared" si="101"/>
        <v/>
      </c>
      <c r="O687" s="10" t="str">
        <f t="shared" si="102"/>
        <v/>
      </c>
      <c r="P687" s="39" t="str">
        <f t="shared" si="103"/>
        <v/>
      </c>
      <c r="Q687" s="13" t="str">
        <f t="shared" si="99"/>
        <v/>
      </c>
      <c r="R687" s="13" t="str">
        <f t="shared" si="104"/>
        <v/>
      </c>
      <c r="S687" s="13" t="str">
        <f t="shared" si="100"/>
        <v/>
      </c>
      <c r="T687" s="22" t="str">
        <f>IF(R687&lt;&gt;"",VLOOKUP(P687,Constants!$D$3:$E$10,2),"")</f>
        <v/>
      </c>
    </row>
    <row r="688" spans="12:20" x14ac:dyDescent="0.25">
      <c r="L688" s="10" t="str">
        <f t="shared" si="97"/>
        <v/>
      </c>
      <c r="M688" s="10" t="str">
        <f t="shared" si="98"/>
        <v/>
      </c>
      <c r="N688" s="11" t="str">
        <f t="shared" si="101"/>
        <v/>
      </c>
      <c r="O688" s="10" t="str">
        <f t="shared" si="102"/>
        <v/>
      </c>
      <c r="P688" s="39" t="str">
        <f t="shared" si="103"/>
        <v/>
      </c>
      <c r="Q688" s="13" t="str">
        <f t="shared" si="99"/>
        <v/>
      </c>
      <c r="R688" s="13" t="str">
        <f t="shared" si="104"/>
        <v/>
      </c>
      <c r="S688" s="13" t="str">
        <f t="shared" si="100"/>
        <v/>
      </c>
      <c r="T688" s="22" t="str">
        <f>IF(R688&lt;&gt;"",VLOOKUP(P688,Constants!$D$3:$E$10,2),"")</f>
        <v/>
      </c>
    </row>
    <row r="689" spans="12:20" x14ac:dyDescent="0.25">
      <c r="L689" s="10" t="str">
        <f t="shared" si="97"/>
        <v/>
      </c>
      <c r="M689" s="10" t="str">
        <f t="shared" si="98"/>
        <v/>
      </c>
      <c r="N689" s="11" t="str">
        <f t="shared" si="101"/>
        <v/>
      </c>
      <c r="O689" s="10" t="str">
        <f t="shared" si="102"/>
        <v/>
      </c>
      <c r="P689" s="39" t="str">
        <f t="shared" si="103"/>
        <v/>
      </c>
      <c r="Q689" s="13" t="str">
        <f t="shared" si="99"/>
        <v/>
      </c>
      <c r="R689" s="13" t="str">
        <f t="shared" si="104"/>
        <v/>
      </c>
      <c r="S689" s="13" t="str">
        <f t="shared" si="100"/>
        <v/>
      </c>
      <c r="T689" s="22" t="str">
        <f>IF(R689&lt;&gt;"",VLOOKUP(P689,Constants!$D$3:$E$10,2),"")</f>
        <v/>
      </c>
    </row>
    <row r="690" spans="12:20" x14ac:dyDescent="0.25">
      <c r="L690" s="10" t="str">
        <f t="shared" si="97"/>
        <v/>
      </c>
      <c r="M690" s="10" t="str">
        <f t="shared" si="98"/>
        <v/>
      </c>
      <c r="N690" s="11" t="str">
        <f t="shared" si="101"/>
        <v/>
      </c>
      <c r="O690" s="10" t="str">
        <f t="shared" si="102"/>
        <v/>
      </c>
      <c r="P690" s="39" t="str">
        <f t="shared" si="103"/>
        <v/>
      </c>
      <c r="Q690" s="13" t="str">
        <f t="shared" si="99"/>
        <v/>
      </c>
      <c r="R690" s="13" t="str">
        <f t="shared" si="104"/>
        <v/>
      </c>
      <c r="S690" s="13" t="str">
        <f t="shared" si="100"/>
        <v/>
      </c>
      <c r="T690" s="22" t="str">
        <f>IF(R690&lt;&gt;"",VLOOKUP(P690,Constants!$D$3:$E$10,2),"")</f>
        <v/>
      </c>
    </row>
    <row r="691" spans="12:20" x14ac:dyDescent="0.25">
      <c r="L691" s="10" t="str">
        <f t="shared" si="97"/>
        <v/>
      </c>
      <c r="M691" s="10" t="str">
        <f t="shared" si="98"/>
        <v/>
      </c>
      <c r="N691" s="11" t="str">
        <f t="shared" si="101"/>
        <v/>
      </c>
      <c r="O691" s="10" t="str">
        <f t="shared" si="102"/>
        <v/>
      </c>
      <c r="P691" s="39" t="str">
        <f t="shared" si="103"/>
        <v/>
      </c>
      <c r="Q691" s="13" t="str">
        <f t="shared" si="99"/>
        <v/>
      </c>
      <c r="R691" s="13" t="str">
        <f t="shared" si="104"/>
        <v/>
      </c>
      <c r="S691" s="13" t="str">
        <f t="shared" si="100"/>
        <v/>
      </c>
      <c r="T691" s="22" t="str">
        <f>IF(R691&lt;&gt;"",VLOOKUP(P691,Constants!$D$3:$E$10,2),"")</f>
        <v/>
      </c>
    </row>
    <row r="692" spans="12:20" x14ac:dyDescent="0.25">
      <c r="L692" s="10" t="str">
        <f t="shared" si="97"/>
        <v/>
      </c>
      <c r="M692" s="10" t="str">
        <f t="shared" si="98"/>
        <v/>
      </c>
      <c r="N692" s="11" t="str">
        <f t="shared" si="101"/>
        <v/>
      </c>
      <c r="O692" s="10" t="str">
        <f t="shared" si="102"/>
        <v/>
      </c>
      <c r="P692" s="39" t="str">
        <f t="shared" si="103"/>
        <v/>
      </c>
      <c r="Q692" s="13" t="str">
        <f t="shared" si="99"/>
        <v/>
      </c>
      <c r="R692" s="13" t="str">
        <f t="shared" si="104"/>
        <v/>
      </c>
      <c r="S692" s="13" t="str">
        <f t="shared" si="100"/>
        <v/>
      </c>
      <c r="T692" s="22" t="str">
        <f>IF(R692&lt;&gt;"",VLOOKUP(P692,Constants!$D$3:$E$10,2),"")</f>
        <v/>
      </c>
    </row>
    <row r="693" spans="12:20" x14ac:dyDescent="0.25">
      <c r="L693" s="10" t="str">
        <f t="shared" si="97"/>
        <v/>
      </c>
      <c r="M693" s="10" t="str">
        <f t="shared" si="98"/>
        <v/>
      </c>
      <c r="N693" s="11" t="str">
        <f t="shared" si="101"/>
        <v/>
      </c>
      <c r="O693" s="10" t="str">
        <f t="shared" si="102"/>
        <v/>
      </c>
      <c r="P693" s="39" t="str">
        <f t="shared" si="103"/>
        <v/>
      </c>
      <c r="Q693" s="13" t="str">
        <f t="shared" si="99"/>
        <v/>
      </c>
      <c r="R693" s="13" t="str">
        <f t="shared" si="104"/>
        <v/>
      </c>
      <c r="S693" s="13" t="str">
        <f t="shared" si="100"/>
        <v/>
      </c>
      <c r="T693" s="22" t="str">
        <f>IF(R693&lt;&gt;"",VLOOKUP(P693,Constants!$D$3:$E$10,2),"")</f>
        <v/>
      </c>
    </row>
    <row r="694" spans="12:20" x14ac:dyDescent="0.25">
      <c r="L694" s="10" t="str">
        <f t="shared" si="97"/>
        <v/>
      </c>
      <c r="M694" s="10" t="str">
        <f t="shared" si="98"/>
        <v/>
      </c>
      <c r="N694" s="11" t="str">
        <f t="shared" si="101"/>
        <v/>
      </c>
      <c r="O694" s="10" t="str">
        <f t="shared" si="102"/>
        <v/>
      </c>
      <c r="P694" s="39" t="str">
        <f t="shared" si="103"/>
        <v/>
      </c>
      <c r="Q694" s="13" t="str">
        <f t="shared" si="99"/>
        <v/>
      </c>
      <c r="R694" s="13" t="str">
        <f t="shared" si="104"/>
        <v/>
      </c>
      <c r="S694" s="13" t="str">
        <f t="shared" si="100"/>
        <v/>
      </c>
      <c r="T694" s="22" t="str">
        <f>IF(R694&lt;&gt;"",VLOOKUP(P694,Constants!$D$3:$E$10,2),"")</f>
        <v/>
      </c>
    </row>
    <row r="695" spans="12:20" x14ac:dyDescent="0.25">
      <c r="L695" s="10" t="str">
        <f t="shared" si="97"/>
        <v/>
      </c>
      <c r="M695" s="10" t="str">
        <f t="shared" si="98"/>
        <v/>
      </c>
      <c r="N695" s="11" t="str">
        <f t="shared" si="101"/>
        <v/>
      </c>
      <c r="O695" s="10" t="str">
        <f t="shared" si="102"/>
        <v/>
      </c>
      <c r="P695" s="39" t="str">
        <f t="shared" si="103"/>
        <v/>
      </c>
      <c r="Q695" s="13" t="str">
        <f t="shared" si="99"/>
        <v/>
      </c>
      <c r="R695" s="13" t="str">
        <f t="shared" si="104"/>
        <v/>
      </c>
      <c r="S695" s="13" t="str">
        <f t="shared" si="100"/>
        <v/>
      </c>
      <c r="T695" s="22" t="str">
        <f>IF(R695&lt;&gt;"",VLOOKUP(P695,Constants!$D$3:$E$10,2),"")</f>
        <v/>
      </c>
    </row>
    <row r="696" spans="12:20" x14ac:dyDescent="0.25">
      <c r="L696" s="10" t="str">
        <f t="shared" si="97"/>
        <v/>
      </c>
      <c r="M696" s="10" t="str">
        <f t="shared" si="98"/>
        <v/>
      </c>
      <c r="N696" s="11" t="str">
        <f t="shared" si="101"/>
        <v/>
      </c>
      <c r="O696" s="10" t="str">
        <f t="shared" si="102"/>
        <v/>
      </c>
      <c r="P696" s="39" t="str">
        <f t="shared" si="103"/>
        <v/>
      </c>
      <c r="Q696" s="13" t="str">
        <f t="shared" si="99"/>
        <v/>
      </c>
      <c r="R696" s="13" t="str">
        <f t="shared" si="104"/>
        <v/>
      </c>
      <c r="S696" s="13" t="str">
        <f t="shared" si="100"/>
        <v/>
      </c>
      <c r="T696" s="22" t="str">
        <f>IF(R696&lt;&gt;"",VLOOKUP(P696,Constants!$D$3:$E$10,2),"")</f>
        <v/>
      </c>
    </row>
    <row r="697" spans="12:20" x14ac:dyDescent="0.25">
      <c r="L697" s="10" t="str">
        <f t="shared" si="97"/>
        <v/>
      </c>
      <c r="M697" s="10" t="str">
        <f t="shared" si="98"/>
        <v/>
      </c>
      <c r="N697" s="11" t="str">
        <f t="shared" si="101"/>
        <v/>
      </c>
      <c r="O697" s="10" t="str">
        <f t="shared" si="102"/>
        <v/>
      </c>
      <c r="P697" s="39" t="str">
        <f t="shared" si="103"/>
        <v/>
      </c>
      <c r="Q697" s="13" t="str">
        <f t="shared" si="99"/>
        <v/>
      </c>
      <c r="R697" s="13" t="str">
        <f t="shared" si="104"/>
        <v/>
      </c>
      <c r="S697" s="13" t="str">
        <f t="shared" si="100"/>
        <v/>
      </c>
      <c r="T697" s="22" t="str">
        <f>IF(R697&lt;&gt;"",VLOOKUP(P697,Constants!$D$3:$E$10,2),"")</f>
        <v/>
      </c>
    </row>
    <row r="698" spans="12:20" x14ac:dyDescent="0.25">
      <c r="L698" s="10" t="str">
        <f t="shared" si="97"/>
        <v/>
      </c>
      <c r="M698" s="10" t="str">
        <f t="shared" si="98"/>
        <v/>
      </c>
      <c r="N698" s="11" t="str">
        <f t="shared" si="101"/>
        <v/>
      </c>
      <c r="O698" s="10" t="str">
        <f t="shared" si="102"/>
        <v/>
      </c>
      <c r="P698" s="39" t="str">
        <f t="shared" si="103"/>
        <v/>
      </c>
      <c r="Q698" s="13" t="str">
        <f t="shared" si="99"/>
        <v/>
      </c>
      <c r="R698" s="13" t="str">
        <f t="shared" si="104"/>
        <v/>
      </c>
      <c r="S698" s="13" t="str">
        <f t="shared" si="100"/>
        <v/>
      </c>
      <c r="T698" s="22" t="str">
        <f>IF(R698&lt;&gt;"",VLOOKUP(P698,Constants!$D$3:$E$10,2),"")</f>
        <v/>
      </c>
    </row>
    <row r="699" spans="12:20" x14ac:dyDescent="0.25">
      <c r="L699" s="10" t="str">
        <f t="shared" si="97"/>
        <v/>
      </c>
      <c r="M699" s="10" t="str">
        <f t="shared" si="98"/>
        <v/>
      </c>
      <c r="N699" s="11" t="str">
        <f t="shared" si="101"/>
        <v/>
      </c>
      <c r="O699" s="10" t="str">
        <f t="shared" si="102"/>
        <v/>
      </c>
      <c r="P699" s="39" t="str">
        <f t="shared" si="103"/>
        <v/>
      </c>
      <c r="Q699" s="13" t="str">
        <f t="shared" si="99"/>
        <v/>
      </c>
      <c r="R699" s="13" t="str">
        <f t="shared" si="104"/>
        <v/>
      </c>
      <c r="S699" s="13" t="str">
        <f t="shared" si="100"/>
        <v/>
      </c>
      <c r="T699" s="22" t="str">
        <f>IF(R699&lt;&gt;"",VLOOKUP(P699,Constants!$D$3:$E$10,2),"")</f>
        <v/>
      </c>
    </row>
    <row r="700" spans="12:20" x14ac:dyDescent="0.25">
      <c r="L700" s="10" t="str">
        <f t="shared" si="97"/>
        <v/>
      </c>
      <c r="M700" s="10" t="str">
        <f t="shared" si="98"/>
        <v/>
      </c>
      <c r="N700" s="11" t="str">
        <f t="shared" si="101"/>
        <v/>
      </c>
      <c r="O700" s="10" t="str">
        <f t="shared" si="102"/>
        <v/>
      </c>
      <c r="P700" s="39" t="str">
        <f t="shared" si="103"/>
        <v/>
      </c>
      <c r="Q700" s="13" t="str">
        <f t="shared" si="99"/>
        <v/>
      </c>
      <c r="R700" s="13" t="str">
        <f t="shared" si="104"/>
        <v/>
      </c>
      <c r="S700" s="13" t="str">
        <f t="shared" si="100"/>
        <v/>
      </c>
      <c r="T700" s="22" t="str">
        <f>IF(R700&lt;&gt;"",VLOOKUP(P700,Constants!$D$3:$E$10,2),"")</f>
        <v/>
      </c>
    </row>
    <row r="701" spans="12:20" x14ac:dyDescent="0.25">
      <c r="L701" s="10" t="str">
        <f t="shared" si="97"/>
        <v/>
      </c>
      <c r="M701" s="10" t="str">
        <f t="shared" si="98"/>
        <v/>
      </c>
      <c r="N701" s="11" t="str">
        <f t="shared" si="101"/>
        <v/>
      </c>
      <c r="O701" s="10" t="str">
        <f t="shared" si="102"/>
        <v/>
      </c>
      <c r="P701" s="39" t="str">
        <f t="shared" si="103"/>
        <v/>
      </c>
      <c r="Q701" s="13" t="str">
        <f t="shared" si="99"/>
        <v/>
      </c>
      <c r="R701" s="13" t="str">
        <f t="shared" si="104"/>
        <v/>
      </c>
      <c r="S701" s="13" t="str">
        <f t="shared" si="100"/>
        <v/>
      </c>
      <c r="T701" s="22" t="str">
        <f>IF(R701&lt;&gt;"",VLOOKUP(P701,Constants!$D$3:$E$10,2),"")</f>
        <v/>
      </c>
    </row>
    <row r="702" spans="12:20" x14ac:dyDescent="0.25">
      <c r="L702" s="10" t="str">
        <f t="shared" si="97"/>
        <v/>
      </c>
      <c r="M702" s="10" t="str">
        <f t="shared" si="98"/>
        <v/>
      </c>
      <c r="N702" s="11" t="str">
        <f t="shared" si="101"/>
        <v/>
      </c>
      <c r="O702" s="10" t="str">
        <f t="shared" si="102"/>
        <v/>
      </c>
      <c r="P702" s="39" t="str">
        <f t="shared" si="103"/>
        <v/>
      </c>
      <c r="Q702" s="13" t="str">
        <f t="shared" si="99"/>
        <v/>
      </c>
      <c r="R702" s="13" t="str">
        <f t="shared" si="104"/>
        <v/>
      </c>
      <c r="S702" s="13" t="str">
        <f t="shared" si="100"/>
        <v/>
      </c>
      <c r="T702" s="22" t="str">
        <f>IF(R702&lt;&gt;"",VLOOKUP(P702,Constants!$D$3:$E$10,2),"")</f>
        <v/>
      </c>
    </row>
    <row r="703" spans="12:20" x14ac:dyDescent="0.25">
      <c r="L703" s="10" t="str">
        <f t="shared" si="97"/>
        <v/>
      </c>
      <c r="M703" s="10" t="str">
        <f t="shared" si="98"/>
        <v/>
      </c>
      <c r="N703" s="11" t="str">
        <f t="shared" si="101"/>
        <v/>
      </c>
      <c r="O703" s="10" t="str">
        <f t="shared" si="102"/>
        <v/>
      </c>
      <c r="P703" s="39" t="str">
        <f t="shared" si="103"/>
        <v/>
      </c>
      <c r="Q703" s="13" t="str">
        <f t="shared" si="99"/>
        <v/>
      </c>
      <c r="R703" s="13" t="str">
        <f t="shared" si="104"/>
        <v/>
      </c>
      <c r="S703" s="13" t="str">
        <f t="shared" si="100"/>
        <v/>
      </c>
      <c r="T703" s="22" t="str">
        <f>IF(R703&lt;&gt;"",VLOOKUP(P703,Constants!$D$3:$E$10,2),"")</f>
        <v/>
      </c>
    </row>
    <row r="704" spans="12:20" x14ac:dyDescent="0.25">
      <c r="L704" s="10" t="str">
        <f t="shared" si="97"/>
        <v/>
      </c>
      <c r="M704" s="10" t="str">
        <f t="shared" si="98"/>
        <v/>
      </c>
      <c r="N704" s="11" t="str">
        <f t="shared" si="101"/>
        <v/>
      </c>
      <c r="O704" s="10" t="str">
        <f t="shared" si="102"/>
        <v/>
      </c>
      <c r="P704" s="39" t="str">
        <f t="shared" si="103"/>
        <v/>
      </c>
      <c r="Q704" s="13" t="str">
        <f t="shared" si="99"/>
        <v/>
      </c>
      <c r="R704" s="13" t="str">
        <f t="shared" si="104"/>
        <v/>
      </c>
      <c r="S704" s="13" t="str">
        <f t="shared" si="100"/>
        <v/>
      </c>
      <c r="T704" s="22" t="str">
        <f>IF(R704&lt;&gt;"",VLOOKUP(P704,Constants!$D$3:$E$10,2),"")</f>
        <v/>
      </c>
    </row>
    <row r="705" spans="12:20" x14ac:dyDescent="0.25">
      <c r="L705" s="10" t="str">
        <f t="shared" si="97"/>
        <v/>
      </c>
      <c r="M705" s="10" t="str">
        <f t="shared" si="98"/>
        <v/>
      </c>
      <c r="N705" s="11" t="str">
        <f t="shared" si="101"/>
        <v/>
      </c>
      <c r="O705" s="10" t="str">
        <f t="shared" si="102"/>
        <v/>
      </c>
      <c r="P705" s="39" t="str">
        <f t="shared" si="103"/>
        <v/>
      </c>
      <c r="Q705" s="13" t="str">
        <f t="shared" si="99"/>
        <v/>
      </c>
      <c r="R705" s="13" t="str">
        <f t="shared" si="104"/>
        <v/>
      </c>
      <c r="S705" s="13" t="str">
        <f t="shared" si="100"/>
        <v/>
      </c>
      <c r="T705" s="22" t="str">
        <f>IF(R705&lt;&gt;"",VLOOKUP(P705,Constants!$D$3:$E$10,2),"")</f>
        <v/>
      </c>
    </row>
    <row r="706" spans="12:20" x14ac:dyDescent="0.25">
      <c r="L706" s="10" t="str">
        <f t="shared" si="97"/>
        <v/>
      </c>
      <c r="M706" s="10" t="str">
        <f t="shared" si="98"/>
        <v/>
      </c>
      <c r="N706" s="11" t="str">
        <f t="shared" si="101"/>
        <v/>
      </c>
      <c r="O706" s="10" t="str">
        <f t="shared" si="102"/>
        <v/>
      </c>
      <c r="P706" s="39" t="str">
        <f t="shared" si="103"/>
        <v/>
      </c>
      <c r="Q706" s="13" t="str">
        <f t="shared" si="99"/>
        <v/>
      </c>
      <c r="R706" s="13" t="str">
        <f t="shared" si="104"/>
        <v/>
      </c>
      <c r="S706" s="13" t="str">
        <f t="shared" si="100"/>
        <v/>
      </c>
      <c r="T706" s="22" t="str">
        <f>IF(R706&lt;&gt;"",VLOOKUP(P706,Constants!$D$3:$E$10,2),"")</f>
        <v/>
      </c>
    </row>
    <row r="707" spans="12:20" x14ac:dyDescent="0.25">
      <c r="L707" s="10" t="str">
        <f t="shared" si="97"/>
        <v/>
      </c>
      <c r="M707" s="10" t="str">
        <f t="shared" si="98"/>
        <v/>
      </c>
      <c r="N707" s="11" t="str">
        <f t="shared" si="101"/>
        <v/>
      </c>
      <c r="O707" s="10" t="str">
        <f t="shared" si="102"/>
        <v/>
      </c>
      <c r="P707" s="39" t="str">
        <f t="shared" si="103"/>
        <v/>
      </c>
      <c r="Q707" s="13" t="str">
        <f t="shared" si="99"/>
        <v/>
      </c>
      <c r="R707" s="13" t="str">
        <f t="shared" si="104"/>
        <v/>
      </c>
      <c r="S707" s="13" t="str">
        <f t="shared" si="100"/>
        <v/>
      </c>
      <c r="T707" s="22" t="str">
        <f>IF(R707&lt;&gt;"",VLOOKUP(P707,Constants!$D$3:$E$10,2),"")</f>
        <v/>
      </c>
    </row>
    <row r="708" spans="12:20" x14ac:dyDescent="0.25">
      <c r="L708" s="10" t="str">
        <f t="shared" si="97"/>
        <v/>
      </c>
      <c r="M708" s="10" t="str">
        <f t="shared" si="98"/>
        <v/>
      </c>
      <c r="N708" s="11" t="str">
        <f t="shared" si="101"/>
        <v/>
      </c>
      <c r="O708" s="10" t="str">
        <f t="shared" si="102"/>
        <v/>
      </c>
      <c r="P708" s="39" t="str">
        <f t="shared" si="103"/>
        <v/>
      </c>
      <c r="Q708" s="13" t="str">
        <f t="shared" si="99"/>
        <v/>
      </c>
      <c r="R708" s="13" t="str">
        <f t="shared" si="104"/>
        <v/>
      </c>
      <c r="S708" s="13" t="str">
        <f t="shared" si="100"/>
        <v/>
      </c>
      <c r="T708" s="22" t="str">
        <f>IF(R708&lt;&gt;"",VLOOKUP(P708,Constants!$D$3:$E$10,2),"")</f>
        <v/>
      </c>
    </row>
    <row r="709" spans="12:20" x14ac:dyDescent="0.25">
      <c r="L709" s="10" t="str">
        <f t="shared" si="97"/>
        <v/>
      </c>
      <c r="M709" s="10" t="str">
        <f t="shared" si="98"/>
        <v/>
      </c>
      <c r="N709" s="11" t="str">
        <f t="shared" si="101"/>
        <v/>
      </c>
      <c r="O709" s="10" t="str">
        <f t="shared" si="102"/>
        <v/>
      </c>
      <c r="P709" s="39" t="str">
        <f t="shared" si="103"/>
        <v/>
      </c>
      <c r="Q709" s="13" t="str">
        <f t="shared" si="99"/>
        <v/>
      </c>
      <c r="R709" s="13" t="str">
        <f t="shared" si="104"/>
        <v/>
      </c>
      <c r="S709" s="13" t="str">
        <f t="shared" si="100"/>
        <v/>
      </c>
      <c r="T709" s="22" t="str">
        <f>IF(R709&lt;&gt;"",VLOOKUP(P709,Constants!$D$3:$E$10,2),"")</f>
        <v/>
      </c>
    </row>
    <row r="710" spans="12:20" x14ac:dyDescent="0.25">
      <c r="L710" s="10" t="str">
        <f t="shared" si="97"/>
        <v/>
      </c>
      <c r="M710" s="10" t="str">
        <f t="shared" si="98"/>
        <v/>
      </c>
      <c r="N710" s="11" t="str">
        <f t="shared" si="101"/>
        <v/>
      </c>
      <c r="O710" s="10" t="str">
        <f t="shared" si="102"/>
        <v/>
      </c>
      <c r="P710" s="39" t="str">
        <f t="shared" si="103"/>
        <v/>
      </c>
      <c r="Q710" s="13" t="str">
        <f t="shared" si="99"/>
        <v/>
      </c>
      <c r="R710" s="13" t="str">
        <f t="shared" si="104"/>
        <v/>
      </c>
      <c r="S710" s="13" t="str">
        <f t="shared" si="100"/>
        <v/>
      </c>
      <c r="T710" s="22" t="str">
        <f>IF(R710&lt;&gt;"",VLOOKUP(P710,Constants!$D$3:$E$10,2),"")</f>
        <v/>
      </c>
    </row>
    <row r="711" spans="12:20" x14ac:dyDescent="0.25">
      <c r="L711" s="10" t="str">
        <f t="shared" si="97"/>
        <v/>
      </c>
      <c r="M711" s="10" t="str">
        <f t="shared" si="98"/>
        <v/>
      </c>
      <c r="N711" s="11" t="str">
        <f t="shared" si="101"/>
        <v/>
      </c>
      <c r="O711" s="10" t="str">
        <f t="shared" si="102"/>
        <v/>
      </c>
      <c r="P711" s="39" t="str">
        <f t="shared" si="103"/>
        <v/>
      </c>
      <c r="Q711" s="13" t="str">
        <f t="shared" si="99"/>
        <v/>
      </c>
      <c r="R711" s="13" t="str">
        <f t="shared" si="104"/>
        <v/>
      </c>
      <c r="S711" s="13" t="str">
        <f t="shared" si="100"/>
        <v/>
      </c>
      <c r="T711" s="22" t="str">
        <f>IF(R711&lt;&gt;"",VLOOKUP(P711,Constants!$D$3:$E$10,2),"")</f>
        <v/>
      </c>
    </row>
    <row r="712" spans="12:20" x14ac:dyDescent="0.25">
      <c r="L712" s="10" t="str">
        <f t="shared" ref="L712:L775" si="105">IF($D712&lt;&gt;"",$D712*$E712/1000,"")</f>
        <v/>
      </c>
      <c r="M712" s="10" t="str">
        <f t="shared" ref="M712:M775" si="106">IF($D712&lt;&gt;"",$D712*$F712/1000,"")</f>
        <v/>
      </c>
      <c r="N712" s="11" t="str">
        <f t="shared" si="101"/>
        <v/>
      </c>
      <c r="O712" s="10" t="str">
        <f t="shared" si="102"/>
        <v/>
      </c>
      <c r="P712" s="39" t="str">
        <f t="shared" si="103"/>
        <v/>
      </c>
      <c r="Q712" s="13" t="str">
        <f t="shared" ref="Q712:Q775" si="107">IF(F712&lt;&gt;"",F712*E712/1000,"")</f>
        <v/>
      </c>
      <c r="R712" s="13" t="str">
        <f t="shared" si="104"/>
        <v/>
      </c>
      <c r="S712" s="13" t="str">
        <f t="shared" ref="S712:S775" si="108">IF(R712&lt;&gt;"",Q712/R712*1000,"")</f>
        <v/>
      </c>
      <c r="T712" s="22" t="str">
        <f>IF(R712&lt;&gt;"",VLOOKUP(P712,Constants!$D$3:$E$10,2),"")</f>
        <v/>
      </c>
    </row>
    <row r="713" spans="12:20" x14ac:dyDescent="0.25">
      <c r="L713" s="10" t="str">
        <f t="shared" si="105"/>
        <v/>
      </c>
      <c r="M713" s="10" t="str">
        <f t="shared" si="106"/>
        <v/>
      </c>
      <c r="N713" s="11" t="str">
        <f t="shared" si="101"/>
        <v/>
      </c>
      <c r="O713" s="10" t="str">
        <f t="shared" si="102"/>
        <v/>
      </c>
      <c r="P713" s="39" t="str">
        <f t="shared" si="103"/>
        <v/>
      </c>
      <c r="Q713" s="13" t="str">
        <f t="shared" si="107"/>
        <v/>
      </c>
      <c r="R713" s="13" t="str">
        <f t="shared" si="104"/>
        <v/>
      </c>
      <c r="S713" s="13" t="str">
        <f t="shared" si="108"/>
        <v/>
      </c>
      <c r="T713" s="22" t="str">
        <f>IF(R713&lt;&gt;"",VLOOKUP(P713,Constants!$D$3:$E$10,2),"")</f>
        <v/>
      </c>
    </row>
    <row r="714" spans="12:20" x14ac:dyDescent="0.25">
      <c r="L714" s="10" t="str">
        <f t="shared" si="105"/>
        <v/>
      </c>
      <c r="M714" s="10" t="str">
        <f t="shared" si="106"/>
        <v/>
      </c>
      <c r="N714" s="11" t="str">
        <f t="shared" si="101"/>
        <v/>
      </c>
      <c r="O714" s="10" t="str">
        <f t="shared" si="102"/>
        <v/>
      </c>
      <c r="P714" s="39" t="str">
        <f t="shared" si="103"/>
        <v/>
      </c>
      <c r="Q714" s="13" t="str">
        <f t="shared" si="107"/>
        <v/>
      </c>
      <c r="R714" s="13" t="str">
        <f t="shared" si="104"/>
        <v/>
      </c>
      <c r="S714" s="13" t="str">
        <f t="shared" si="108"/>
        <v/>
      </c>
      <c r="T714" s="22" t="str">
        <f>IF(R714&lt;&gt;"",VLOOKUP(P714,Constants!$D$3:$E$10,2),"")</f>
        <v/>
      </c>
    </row>
    <row r="715" spans="12:20" x14ac:dyDescent="0.25">
      <c r="L715" s="10" t="str">
        <f t="shared" si="105"/>
        <v/>
      </c>
      <c r="M715" s="10" t="str">
        <f t="shared" si="106"/>
        <v/>
      </c>
      <c r="N715" s="11" t="str">
        <f t="shared" si="101"/>
        <v/>
      </c>
      <c r="O715" s="10" t="str">
        <f t="shared" si="102"/>
        <v/>
      </c>
      <c r="P715" s="39" t="str">
        <f t="shared" si="103"/>
        <v/>
      </c>
      <c r="Q715" s="13" t="str">
        <f t="shared" si="107"/>
        <v/>
      </c>
      <c r="R715" s="13" t="str">
        <f t="shared" si="104"/>
        <v/>
      </c>
      <c r="S715" s="13" t="str">
        <f t="shared" si="108"/>
        <v/>
      </c>
      <c r="T715" s="22" t="str">
        <f>IF(R715&lt;&gt;"",VLOOKUP(P715,Constants!$D$3:$E$10,2),"")</f>
        <v/>
      </c>
    </row>
    <row r="716" spans="12:20" x14ac:dyDescent="0.25">
      <c r="L716" s="10" t="str">
        <f t="shared" si="105"/>
        <v/>
      </c>
      <c r="M716" s="10" t="str">
        <f t="shared" si="106"/>
        <v/>
      </c>
      <c r="N716" s="11" t="str">
        <f t="shared" si="101"/>
        <v/>
      </c>
      <c r="O716" s="10" t="str">
        <f t="shared" si="102"/>
        <v/>
      </c>
      <c r="P716" s="39" t="str">
        <f t="shared" si="103"/>
        <v/>
      </c>
      <c r="Q716" s="13" t="str">
        <f t="shared" si="107"/>
        <v/>
      </c>
      <c r="R716" s="13" t="str">
        <f t="shared" si="104"/>
        <v/>
      </c>
      <c r="S716" s="13" t="str">
        <f t="shared" si="108"/>
        <v/>
      </c>
      <c r="T716" s="22" t="str">
        <f>IF(R716&lt;&gt;"",VLOOKUP(P716,Constants!$D$3:$E$10,2),"")</f>
        <v/>
      </c>
    </row>
    <row r="717" spans="12:20" x14ac:dyDescent="0.25">
      <c r="L717" s="10" t="str">
        <f t="shared" si="105"/>
        <v/>
      </c>
      <c r="M717" s="10" t="str">
        <f t="shared" si="106"/>
        <v/>
      </c>
      <c r="N717" s="11" t="str">
        <f t="shared" si="101"/>
        <v/>
      </c>
      <c r="O717" s="10" t="str">
        <f t="shared" si="102"/>
        <v/>
      </c>
      <c r="P717" s="39" t="str">
        <f t="shared" si="103"/>
        <v/>
      </c>
      <c r="Q717" s="13" t="str">
        <f t="shared" si="107"/>
        <v/>
      </c>
      <c r="R717" s="13" t="str">
        <f t="shared" si="104"/>
        <v/>
      </c>
      <c r="S717" s="13" t="str">
        <f t="shared" si="108"/>
        <v/>
      </c>
      <c r="T717" s="22" t="str">
        <f>IF(R717&lt;&gt;"",VLOOKUP(P717,Constants!$D$3:$E$10,2),"")</f>
        <v/>
      </c>
    </row>
    <row r="718" spans="12:20" x14ac:dyDescent="0.25">
      <c r="L718" s="10" t="str">
        <f t="shared" si="105"/>
        <v/>
      </c>
      <c r="M718" s="10" t="str">
        <f t="shared" si="106"/>
        <v/>
      </c>
      <c r="N718" s="11" t="str">
        <f t="shared" si="101"/>
        <v/>
      </c>
      <c r="O718" s="10" t="str">
        <f t="shared" si="102"/>
        <v/>
      </c>
      <c r="P718" s="39" t="str">
        <f t="shared" si="103"/>
        <v/>
      </c>
      <c r="Q718" s="13" t="str">
        <f t="shared" si="107"/>
        <v/>
      </c>
      <c r="R718" s="13" t="str">
        <f t="shared" si="104"/>
        <v/>
      </c>
      <c r="S718" s="13" t="str">
        <f t="shared" si="108"/>
        <v/>
      </c>
      <c r="T718" s="22" t="str">
        <f>IF(R718&lt;&gt;"",VLOOKUP(P718,Constants!$D$3:$E$10,2),"")</f>
        <v/>
      </c>
    </row>
    <row r="719" spans="12:20" x14ac:dyDescent="0.25">
      <c r="L719" s="10" t="str">
        <f t="shared" si="105"/>
        <v/>
      </c>
      <c r="M719" s="10" t="str">
        <f t="shared" si="106"/>
        <v/>
      </c>
      <c r="N719" s="11" t="str">
        <f t="shared" si="101"/>
        <v/>
      </c>
      <c r="O719" s="10" t="str">
        <f t="shared" si="102"/>
        <v/>
      </c>
      <c r="P719" s="39" t="str">
        <f t="shared" si="103"/>
        <v/>
      </c>
      <c r="Q719" s="13" t="str">
        <f t="shared" si="107"/>
        <v/>
      </c>
      <c r="R719" s="13" t="str">
        <f t="shared" si="104"/>
        <v/>
      </c>
      <c r="S719" s="13" t="str">
        <f t="shared" si="108"/>
        <v/>
      </c>
      <c r="T719" s="22" t="str">
        <f>IF(R719&lt;&gt;"",VLOOKUP(P719,Constants!$D$3:$E$10,2),"")</f>
        <v/>
      </c>
    </row>
    <row r="720" spans="12:20" x14ac:dyDescent="0.25">
      <c r="L720" s="10" t="str">
        <f t="shared" si="105"/>
        <v/>
      </c>
      <c r="M720" s="10" t="str">
        <f t="shared" si="106"/>
        <v/>
      </c>
      <c r="N720" s="11" t="str">
        <f t="shared" ref="N720:N783" si="109">IF($L720&lt;&gt;"",SQRT($L720*$L720+$M720*$M720),"")</f>
        <v/>
      </c>
      <c r="O720" s="10" t="str">
        <f t="shared" si="102"/>
        <v/>
      </c>
      <c r="P720" s="39" t="str">
        <f t="shared" si="103"/>
        <v/>
      </c>
      <c r="Q720" s="13" t="str">
        <f t="shared" si="107"/>
        <v/>
      </c>
      <c r="R720" s="13" t="str">
        <f t="shared" si="104"/>
        <v/>
      </c>
      <c r="S720" s="13" t="str">
        <f t="shared" si="108"/>
        <v/>
      </c>
      <c r="T720" s="22" t="str">
        <f>IF(R720&lt;&gt;"",VLOOKUP(P720,Constants!$D$3:$E$10,2),"")</f>
        <v/>
      </c>
    </row>
    <row r="721" spans="12:20" x14ac:dyDescent="0.25">
      <c r="L721" s="10" t="str">
        <f t="shared" si="105"/>
        <v/>
      </c>
      <c r="M721" s="10" t="str">
        <f t="shared" si="106"/>
        <v/>
      </c>
      <c r="N721" s="11" t="str">
        <f t="shared" si="109"/>
        <v/>
      </c>
      <c r="O721" s="10" t="str">
        <f t="shared" si="102"/>
        <v/>
      </c>
      <c r="P721" s="39" t="str">
        <f t="shared" si="103"/>
        <v/>
      </c>
      <c r="Q721" s="13" t="str">
        <f t="shared" si="107"/>
        <v/>
      </c>
      <c r="R721" s="13" t="str">
        <f t="shared" si="104"/>
        <v/>
      </c>
      <c r="S721" s="13" t="str">
        <f t="shared" si="108"/>
        <v/>
      </c>
      <c r="T721" s="22" t="str">
        <f>IF(R721&lt;&gt;"",VLOOKUP(P721,Constants!$D$3:$E$10,2),"")</f>
        <v/>
      </c>
    </row>
    <row r="722" spans="12:20" x14ac:dyDescent="0.25">
      <c r="L722" s="10" t="str">
        <f t="shared" si="105"/>
        <v/>
      </c>
      <c r="M722" s="10" t="str">
        <f t="shared" si="106"/>
        <v/>
      </c>
      <c r="N722" s="11" t="str">
        <f t="shared" si="109"/>
        <v/>
      </c>
      <c r="O722" s="10" t="str">
        <f t="shared" si="102"/>
        <v/>
      </c>
      <c r="P722" s="39" t="str">
        <f t="shared" si="103"/>
        <v/>
      </c>
      <c r="Q722" s="13" t="str">
        <f t="shared" si="107"/>
        <v/>
      </c>
      <c r="R722" s="13" t="str">
        <f t="shared" si="104"/>
        <v/>
      </c>
      <c r="S722" s="13" t="str">
        <f t="shared" si="108"/>
        <v/>
      </c>
      <c r="T722" s="22" t="str">
        <f>IF(R722&lt;&gt;"",VLOOKUP(P722,Constants!$D$3:$E$10,2),"")</f>
        <v/>
      </c>
    </row>
    <row r="723" spans="12:20" x14ac:dyDescent="0.25">
      <c r="L723" s="10" t="str">
        <f t="shared" si="105"/>
        <v/>
      </c>
      <c r="M723" s="10" t="str">
        <f t="shared" si="106"/>
        <v/>
      </c>
      <c r="N723" s="11" t="str">
        <f t="shared" si="109"/>
        <v/>
      </c>
      <c r="O723" s="10" t="str">
        <f t="shared" si="102"/>
        <v/>
      </c>
      <c r="P723" s="39" t="str">
        <f t="shared" si="103"/>
        <v/>
      </c>
      <c r="Q723" s="13" t="str">
        <f t="shared" si="107"/>
        <v/>
      </c>
      <c r="R723" s="13" t="str">
        <f t="shared" si="104"/>
        <v/>
      </c>
      <c r="S723" s="13" t="str">
        <f t="shared" si="108"/>
        <v/>
      </c>
      <c r="T723" s="22" t="str">
        <f>IF(R723&lt;&gt;"",VLOOKUP(P723,Constants!$D$3:$E$10,2),"")</f>
        <v/>
      </c>
    </row>
    <row r="724" spans="12:20" x14ac:dyDescent="0.25">
      <c r="L724" s="10" t="str">
        <f t="shared" si="105"/>
        <v/>
      </c>
      <c r="M724" s="10" t="str">
        <f t="shared" si="106"/>
        <v/>
      </c>
      <c r="N724" s="11" t="str">
        <f t="shared" si="109"/>
        <v/>
      </c>
      <c r="O724" s="10" t="str">
        <f t="shared" si="102"/>
        <v/>
      </c>
      <c r="P724" s="39" t="str">
        <f t="shared" si="103"/>
        <v/>
      </c>
      <c r="Q724" s="13" t="str">
        <f t="shared" si="107"/>
        <v/>
      </c>
      <c r="R724" s="13" t="str">
        <f t="shared" si="104"/>
        <v/>
      </c>
      <c r="S724" s="13" t="str">
        <f t="shared" si="108"/>
        <v/>
      </c>
      <c r="T724" s="22" t="str">
        <f>IF(R724&lt;&gt;"",VLOOKUP(P724,Constants!$D$3:$E$10,2),"")</f>
        <v/>
      </c>
    </row>
    <row r="725" spans="12:20" x14ac:dyDescent="0.25">
      <c r="L725" s="10" t="str">
        <f t="shared" si="105"/>
        <v/>
      </c>
      <c r="M725" s="10" t="str">
        <f t="shared" si="106"/>
        <v/>
      </c>
      <c r="N725" s="11" t="str">
        <f t="shared" si="109"/>
        <v/>
      </c>
      <c r="O725" s="10" t="str">
        <f t="shared" si="102"/>
        <v/>
      </c>
      <c r="P725" s="39" t="str">
        <f t="shared" si="103"/>
        <v/>
      </c>
      <c r="Q725" s="13" t="str">
        <f t="shared" si="107"/>
        <v/>
      </c>
      <c r="R725" s="13" t="str">
        <f t="shared" si="104"/>
        <v/>
      </c>
      <c r="S725" s="13" t="str">
        <f t="shared" si="108"/>
        <v/>
      </c>
      <c r="T725" s="22" t="str">
        <f>IF(R725&lt;&gt;"",VLOOKUP(P725,Constants!$D$3:$E$10,2),"")</f>
        <v/>
      </c>
    </row>
    <row r="726" spans="12:20" x14ac:dyDescent="0.25">
      <c r="L726" s="10" t="str">
        <f t="shared" si="105"/>
        <v/>
      </c>
      <c r="M726" s="10" t="str">
        <f t="shared" si="106"/>
        <v/>
      </c>
      <c r="N726" s="11" t="str">
        <f t="shared" si="109"/>
        <v/>
      </c>
      <c r="O726" s="10" t="str">
        <f t="shared" si="102"/>
        <v/>
      </c>
      <c r="P726" s="39" t="str">
        <f t="shared" si="103"/>
        <v/>
      </c>
      <c r="Q726" s="13" t="str">
        <f t="shared" si="107"/>
        <v/>
      </c>
      <c r="R726" s="13" t="str">
        <f t="shared" si="104"/>
        <v/>
      </c>
      <c r="S726" s="13" t="str">
        <f t="shared" si="108"/>
        <v/>
      </c>
      <c r="T726" s="22" t="str">
        <f>IF(R726&lt;&gt;"",VLOOKUP(P726,Constants!$D$3:$E$10,2),"")</f>
        <v/>
      </c>
    </row>
    <row r="727" spans="12:20" x14ac:dyDescent="0.25">
      <c r="L727" s="10" t="str">
        <f t="shared" si="105"/>
        <v/>
      </c>
      <c r="M727" s="10" t="str">
        <f t="shared" si="106"/>
        <v/>
      </c>
      <c r="N727" s="11" t="str">
        <f t="shared" si="109"/>
        <v/>
      </c>
      <c r="O727" s="10" t="str">
        <f t="shared" ref="O727:O790" si="110">IF(D727&lt;&gt;"",1000/(2*D727),"")</f>
        <v/>
      </c>
      <c r="P727" s="39" t="str">
        <f t="shared" ref="P727:P790" si="111">IF($N727&lt;&gt;"",D727*SQRT(E727*E727+F727*F727)/16000,"")</f>
        <v/>
      </c>
      <c r="Q727" s="13" t="str">
        <f t="shared" si="107"/>
        <v/>
      </c>
      <c r="R727" s="13" t="str">
        <f t="shared" ref="R727:R790" si="112">IF(G727&lt;&gt;"",1000/G727,"")</f>
        <v/>
      </c>
      <c r="S727" s="13" t="str">
        <f t="shared" si="108"/>
        <v/>
      </c>
      <c r="T727" s="22" t="str">
        <f>IF(R727&lt;&gt;"",VLOOKUP(P727,Constants!$D$3:$E$10,2),"")</f>
        <v/>
      </c>
    </row>
    <row r="728" spans="12:20" x14ac:dyDescent="0.25">
      <c r="L728" s="10" t="str">
        <f t="shared" si="105"/>
        <v/>
      </c>
      <c r="M728" s="10" t="str">
        <f t="shared" si="106"/>
        <v/>
      </c>
      <c r="N728" s="11" t="str">
        <f t="shared" si="109"/>
        <v/>
      </c>
      <c r="O728" s="10" t="str">
        <f t="shared" si="110"/>
        <v/>
      </c>
      <c r="P728" s="39" t="str">
        <f t="shared" si="111"/>
        <v/>
      </c>
      <c r="Q728" s="13" t="str">
        <f t="shared" si="107"/>
        <v/>
      </c>
      <c r="R728" s="13" t="str">
        <f t="shared" si="112"/>
        <v/>
      </c>
      <c r="S728" s="13" t="str">
        <f t="shared" si="108"/>
        <v/>
      </c>
      <c r="T728" s="22" t="str">
        <f>IF(R728&lt;&gt;"",VLOOKUP(P728,Constants!$D$3:$E$10,2),"")</f>
        <v/>
      </c>
    </row>
    <row r="729" spans="12:20" x14ac:dyDescent="0.25">
      <c r="L729" s="10" t="str">
        <f t="shared" si="105"/>
        <v/>
      </c>
      <c r="M729" s="10" t="str">
        <f t="shared" si="106"/>
        <v/>
      </c>
      <c r="N729" s="11" t="str">
        <f t="shared" si="109"/>
        <v/>
      </c>
      <c r="O729" s="10" t="str">
        <f t="shared" si="110"/>
        <v/>
      </c>
      <c r="P729" s="39" t="str">
        <f t="shared" si="111"/>
        <v/>
      </c>
      <c r="Q729" s="13" t="str">
        <f t="shared" si="107"/>
        <v/>
      </c>
      <c r="R729" s="13" t="str">
        <f t="shared" si="112"/>
        <v/>
      </c>
      <c r="S729" s="13" t="str">
        <f t="shared" si="108"/>
        <v/>
      </c>
      <c r="T729" s="22" t="str">
        <f>IF(R729&lt;&gt;"",VLOOKUP(P729,Constants!$D$3:$E$10,2),"")</f>
        <v/>
      </c>
    </row>
    <row r="730" spans="12:20" x14ac:dyDescent="0.25">
      <c r="L730" s="10" t="str">
        <f t="shared" si="105"/>
        <v/>
      </c>
      <c r="M730" s="10" t="str">
        <f t="shared" si="106"/>
        <v/>
      </c>
      <c r="N730" s="11" t="str">
        <f t="shared" si="109"/>
        <v/>
      </c>
      <c r="O730" s="10" t="str">
        <f t="shared" si="110"/>
        <v/>
      </c>
      <c r="P730" s="39" t="str">
        <f t="shared" si="111"/>
        <v/>
      </c>
      <c r="Q730" s="13" t="str">
        <f t="shared" si="107"/>
        <v/>
      </c>
      <c r="R730" s="13" t="str">
        <f t="shared" si="112"/>
        <v/>
      </c>
      <c r="S730" s="13" t="str">
        <f t="shared" si="108"/>
        <v/>
      </c>
      <c r="T730" s="22" t="str">
        <f>IF(R730&lt;&gt;"",VLOOKUP(P730,Constants!$D$3:$E$10,2),"")</f>
        <v/>
      </c>
    </row>
    <row r="731" spans="12:20" x14ac:dyDescent="0.25">
      <c r="L731" s="10" t="str">
        <f t="shared" si="105"/>
        <v/>
      </c>
      <c r="M731" s="10" t="str">
        <f t="shared" si="106"/>
        <v/>
      </c>
      <c r="N731" s="11" t="str">
        <f t="shared" si="109"/>
        <v/>
      </c>
      <c r="O731" s="10" t="str">
        <f t="shared" si="110"/>
        <v/>
      </c>
      <c r="P731" s="39" t="str">
        <f t="shared" si="111"/>
        <v/>
      </c>
      <c r="Q731" s="13" t="str">
        <f t="shared" si="107"/>
        <v/>
      </c>
      <c r="R731" s="13" t="str">
        <f t="shared" si="112"/>
        <v/>
      </c>
      <c r="S731" s="13" t="str">
        <f t="shared" si="108"/>
        <v/>
      </c>
      <c r="T731" s="22" t="str">
        <f>IF(R731&lt;&gt;"",VLOOKUP(P731,Constants!$D$3:$E$10,2),"")</f>
        <v/>
      </c>
    </row>
    <row r="732" spans="12:20" x14ac:dyDescent="0.25">
      <c r="L732" s="10" t="str">
        <f t="shared" si="105"/>
        <v/>
      </c>
      <c r="M732" s="10" t="str">
        <f t="shared" si="106"/>
        <v/>
      </c>
      <c r="N732" s="11" t="str">
        <f t="shared" si="109"/>
        <v/>
      </c>
      <c r="O732" s="10" t="str">
        <f t="shared" si="110"/>
        <v/>
      </c>
      <c r="P732" s="39" t="str">
        <f t="shared" si="111"/>
        <v/>
      </c>
      <c r="Q732" s="13" t="str">
        <f t="shared" si="107"/>
        <v/>
      </c>
      <c r="R732" s="13" t="str">
        <f t="shared" si="112"/>
        <v/>
      </c>
      <c r="S732" s="13" t="str">
        <f t="shared" si="108"/>
        <v/>
      </c>
      <c r="T732" s="22" t="str">
        <f>IF(R732&lt;&gt;"",VLOOKUP(P732,Constants!$D$3:$E$10,2),"")</f>
        <v/>
      </c>
    </row>
    <row r="733" spans="12:20" x14ac:dyDescent="0.25">
      <c r="L733" s="10" t="str">
        <f t="shared" si="105"/>
        <v/>
      </c>
      <c r="M733" s="10" t="str">
        <f t="shared" si="106"/>
        <v/>
      </c>
      <c r="N733" s="11" t="str">
        <f t="shared" si="109"/>
        <v/>
      </c>
      <c r="O733" s="10" t="str">
        <f t="shared" si="110"/>
        <v/>
      </c>
      <c r="P733" s="39" t="str">
        <f t="shared" si="111"/>
        <v/>
      </c>
      <c r="Q733" s="13" t="str">
        <f t="shared" si="107"/>
        <v/>
      </c>
      <c r="R733" s="13" t="str">
        <f t="shared" si="112"/>
        <v/>
      </c>
      <c r="S733" s="13" t="str">
        <f t="shared" si="108"/>
        <v/>
      </c>
      <c r="T733" s="22" t="str">
        <f>IF(R733&lt;&gt;"",VLOOKUP(P733,Constants!$D$3:$E$10,2),"")</f>
        <v/>
      </c>
    </row>
    <row r="734" spans="12:20" x14ac:dyDescent="0.25">
      <c r="L734" s="10" t="str">
        <f t="shared" si="105"/>
        <v/>
      </c>
      <c r="M734" s="10" t="str">
        <f t="shared" si="106"/>
        <v/>
      </c>
      <c r="N734" s="11" t="str">
        <f t="shared" si="109"/>
        <v/>
      </c>
      <c r="O734" s="10" t="str">
        <f t="shared" si="110"/>
        <v/>
      </c>
      <c r="P734" s="39" t="str">
        <f t="shared" si="111"/>
        <v/>
      </c>
      <c r="Q734" s="13" t="str">
        <f t="shared" si="107"/>
        <v/>
      </c>
      <c r="R734" s="13" t="str">
        <f t="shared" si="112"/>
        <v/>
      </c>
      <c r="S734" s="13" t="str">
        <f t="shared" si="108"/>
        <v/>
      </c>
      <c r="T734" s="22" t="str">
        <f>IF(R734&lt;&gt;"",VLOOKUP(P734,Constants!$D$3:$E$10,2),"")</f>
        <v/>
      </c>
    </row>
    <row r="735" spans="12:20" x14ac:dyDescent="0.25">
      <c r="L735" s="10" t="str">
        <f t="shared" si="105"/>
        <v/>
      </c>
      <c r="M735" s="10" t="str">
        <f t="shared" si="106"/>
        <v/>
      </c>
      <c r="N735" s="11" t="str">
        <f t="shared" si="109"/>
        <v/>
      </c>
      <c r="O735" s="10" t="str">
        <f t="shared" si="110"/>
        <v/>
      </c>
      <c r="P735" s="39" t="str">
        <f t="shared" si="111"/>
        <v/>
      </c>
      <c r="Q735" s="13" t="str">
        <f t="shared" si="107"/>
        <v/>
      </c>
      <c r="R735" s="13" t="str">
        <f t="shared" si="112"/>
        <v/>
      </c>
      <c r="S735" s="13" t="str">
        <f t="shared" si="108"/>
        <v/>
      </c>
      <c r="T735" s="22" t="str">
        <f>IF(R735&lt;&gt;"",VLOOKUP(P735,Constants!$D$3:$E$10,2),"")</f>
        <v/>
      </c>
    </row>
    <row r="736" spans="12:20" x14ac:dyDescent="0.25">
      <c r="L736" s="10" t="str">
        <f t="shared" si="105"/>
        <v/>
      </c>
      <c r="M736" s="10" t="str">
        <f t="shared" si="106"/>
        <v/>
      </c>
      <c r="N736" s="11" t="str">
        <f t="shared" si="109"/>
        <v/>
      </c>
      <c r="O736" s="10" t="str">
        <f t="shared" si="110"/>
        <v/>
      </c>
      <c r="P736" s="39" t="str">
        <f t="shared" si="111"/>
        <v/>
      </c>
      <c r="Q736" s="13" t="str">
        <f t="shared" si="107"/>
        <v/>
      </c>
      <c r="R736" s="13" t="str">
        <f t="shared" si="112"/>
        <v/>
      </c>
      <c r="S736" s="13" t="str">
        <f t="shared" si="108"/>
        <v/>
      </c>
      <c r="T736" s="22" t="str">
        <f>IF(R736&lt;&gt;"",VLOOKUP(P736,Constants!$D$3:$E$10,2),"")</f>
        <v/>
      </c>
    </row>
    <row r="737" spans="12:20" x14ac:dyDescent="0.25">
      <c r="L737" s="10" t="str">
        <f t="shared" si="105"/>
        <v/>
      </c>
      <c r="M737" s="10" t="str">
        <f t="shared" si="106"/>
        <v/>
      </c>
      <c r="N737" s="11" t="str">
        <f t="shared" si="109"/>
        <v/>
      </c>
      <c r="O737" s="10" t="str">
        <f t="shared" si="110"/>
        <v/>
      </c>
      <c r="P737" s="39" t="str">
        <f t="shared" si="111"/>
        <v/>
      </c>
      <c r="Q737" s="13" t="str">
        <f t="shared" si="107"/>
        <v/>
      </c>
      <c r="R737" s="13" t="str">
        <f t="shared" si="112"/>
        <v/>
      </c>
      <c r="S737" s="13" t="str">
        <f t="shared" si="108"/>
        <v/>
      </c>
      <c r="T737" s="22" t="str">
        <f>IF(R737&lt;&gt;"",VLOOKUP(P737,Constants!$D$3:$E$10,2),"")</f>
        <v/>
      </c>
    </row>
    <row r="738" spans="12:20" x14ac:dyDescent="0.25">
      <c r="L738" s="10" t="str">
        <f t="shared" si="105"/>
        <v/>
      </c>
      <c r="M738" s="10" t="str">
        <f t="shared" si="106"/>
        <v/>
      </c>
      <c r="N738" s="11" t="str">
        <f t="shared" si="109"/>
        <v/>
      </c>
      <c r="O738" s="10" t="str">
        <f t="shared" si="110"/>
        <v/>
      </c>
      <c r="P738" s="39" t="str">
        <f t="shared" si="111"/>
        <v/>
      </c>
      <c r="Q738" s="13" t="str">
        <f t="shared" si="107"/>
        <v/>
      </c>
      <c r="R738" s="13" t="str">
        <f t="shared" si="112"/>
        <v/>
      </c>
      <c r="S738" s="13" t="str">
        <f t="shared" si="108"/>
        <v/>
      </c>
      <c r="T738" s="22" t="str">
        <f>IF(R738&lt;&gt;"",VLOOKUP(P738,Constants!$D$3:$E$10,2),"")</f>
        <v/>
      </c>
    </row>
    <row r="739" spans="12:20" x14ac:dyDescent="0.25">
      <c r="L739" s="10" t="str">
        <f t="shared" si="105"/>
        <v/>
      </c>
      <c r="M739" s="10" t="str">
        <f t="shared" si="106"/>
        <v/>
      </c>
      <c r="N739" s="11" t="str">
        <f t="shared" si="109"/>
        <v/>
      </c>
      <c r="O739" s="10" t="str">
        <f t="shared" si="110"/>
        <v/>
      </c>
      <c r="P739" s="39" t="str">
        <f t="shared" si="111"/>
        <v/>
      </c>
      <c r="Q739" s="13" t="str">
        <f t="shared" si="107"/>
        <v/>
      </c>
      <c r="R739" s="13" t="str">
        <f t="shared" si="112"/>
        <v/>
      </c>
      <c r="S739" s="13" t="str">
        <f t="shared" si="108"/>
        <v/>
      </c>
      <c r="T739" s="22" t="str">
        <f>IF(R739&lt;&gt;"",VLOOKUP(P739,Constants!$D$3:$E$10,2),"")</f>
        <v/>
      </c>
    </row>
    <row r="740" spans="12:20" x14ac:dyDescent="0.25">
      <c r="L740" s="10" t="str">
        <f t="shared" si="105"/>
        <v/>
      </c>
      <c r="M740" s="10" t="str">
        <f t="shared" si="106"/>
        <v/>
      </c>
      <c r="N740" s="11" t="str">
        <f t="shared" si="109"/>
        <v/>
      </c>
      <c r="O740" s="10" t="str">
        <f t="shared" si="110"/>
        <v/>
      </c>
      <c r="P740" s="39" t="str">
        <f t="shared" si="111"/>
        <v/>
      </c>
      <c r="Q740" s="13" t="str">
        <f t="shared" si="107"/>
        <v/>
      </c>
      <c r="R740" s="13" t="str">
        <f t="shared" si="112"/>
        <v/>
      </c>
      <c r="S740" s="13" t="str">
        <f t="shared" si="108"/>
        <v/>
      </c>
      <c r="T740" s="22" t="str">
        <f>IF(R740&lt;&gt;"",VLOOKUP(P740,Constants!$D$3:$E$10,2),"")</f>
        <v/>
      </c>
    </row>
    <row r="741" spans="12:20" x14ac:dyDescent="0.25">
      <c r="L741" s="10" t="str">
        <f t="shared" si="105"/>
        <v/>
      </c>
      <c r="M741" s="10" t="str">
        <f t="shared" si="106"/>
        <v/>
      </c>
      <c r="N741" s="11" t="str">
        <f t="shared" si="109"/>
        <v/>
      </c>
      <c r="O741" s="10" t="str">
        <f t="shared" si="110"/>
        <v/>
      </c>
      <c r="P741" s="39" t="str">
        <f t="shared" si="111"/>
        <v/>
      </c>
      <c r="Q741" s="13" t="str">
        <f t="shared" si="107"/>
        <v/>
      </c>
      <c r="R741" s="13" t="str">
        <f t="shared" si="112"/>
        <v/>
      </c>
      <c r="S741" s="13" t="str">
        <f t="shared" si="108"/>
        <v/>
      </c>
      <c r="T741" s="22" t="str">
        <f>IF(R741&lt;&gt;"",VLOOKUP(P741,Constants!$D$3:$E$10,2),"")</f>
        <v/>
      </c>
    </row>
    <row r="742" spans="12:20" x14ac:dyDescent="0.25">
      <c r="L742" s="10" t="str">
        <f t="shared" si="105"/>
        <v/>
      </c>
      <c r="M742" s="10" t="str">
        <f t="shared" si="106"/>
        <v/>
      </c>
      <c r="N742" s="11" t="str">
        <f t="shared" si="109"/>
        <v/>
      </c>
      <c r="O742" s="10" t="str">
        <f t="shared" si="110"/>
        <v/>
      </c>
      <c r="P742" s="39" t="str">
        <f t="shared" si="111"/>
        <v/>
      </c>
      <c r="Q742" s="13" t="str">
        <f t="shared" si="107"/>
        <v/>
      </c>
      <c r="R742" s="13" t="str">
        <f t="shared" si="112"/>
        <v/>
      </c>
      <c r="S742" s="13" t="str">
        <f t="shared" si="108"/>
        <v/>
      </c>
      <c r="T742" s="22" t="str">
        <f>IF(R742&lt;&gt;"",VLOOKUP(P742,Constants!$D$3:$E$10,2),"")</f>
        <v/>
      </c>
    </row>
    <row r="743" spans="12:20" x14ac:dyDescent="0.25">
      <c r="L743" s="10" t="str">
        <f t="shared" si="105"/>
        <v/>
      </c>
      <c r="M743" s="10" t="str">
        <f t="shared" si="106"/>
        <v/>
      </c>
      <c r="N743" s="11" t="str">
        <f t="shared" si="109"/>
        <v/>
      </c>
      <c r="O743" s="10" t="str">
        <f t="shared" si="110"/>
        <v/>
      </c>
      <c r="P743" s="39" t="str">
        <f t="shared" si="111"/>
        <v/>
      </c>
      <c r="Q743" s="13" t="str">
        <f t="shared" si="107"/>
        <v/>
      </c>
      <c r="R743" s="13" t="str">
        <f t="shared" si="112"/>
        <v/>
      </c>
      <c r="S743" s="13" t="str">
        <f t="shared" si="108"/>
        <v/>
      </c>
      <c r="T743" s="22" t="str">
        <f>IF(R743&lt;&gt;"",VLOOKUP(P743,Constants!$D$3:$E$10,2),"")</f>
        <v/>
      </c>
    </row>
    <row r="744" spans="12:20" x14ac:dyDescent="0.25">
      <c r="L744" s="10" t="str">
        <f t="shared" si="105"/>
        <v/>
      </c>
      <c r="M744" s="10" t="str">
        <f t="shared" si="106"/>
        <v/>
      </c>
      <c r="N744" s="11" t="str">
        <f t="shared" si="109"/>
        <v/>
      </c>
      <c r="O744" s="10" t="str">
        <f t="shared" si="110"/>
        <v/>
      </c>
      <c r="P744" s="39" t="str">
        <f t="shared" si="111"/>
        <v/>
      </c>
      <c r="Q744" s="13" t="str">
        <f t="shared" si="107"/>
        <v/>
      </c>
      <c r="R744" s="13" t="str">
        <f t="shared" si="112"/>
        <v/>
      </c>
      <c r="S744" s="13" t="str">
        <f t="shared" si="108"/>
        <v/>
      </c>
      <c r="T744" s="22" t="str">
        <f>IF(R744&lt;&gt;"",VLOOKUP(P744,Constants!$D$3:$E$10,2),"")</f>
        <v/>
      </c>
    </row>
    <row r="745" spans="12:20" x14ac:dyDescent="0.25">
      <c r="L745" s="10" t="str">
        <f t="shared" si="105"/>
        <v/>
      </c>
      <c r="M745" s="10" t="str">
        <f t="shared" si="106"/>
        <v/>
      </c>
      <c r="N745" s="11" t="str">
        <f t="shared" si="109"/>
        <v/>
      </c>
      <c r="O745" s="10" t="str">
        <f t="shared" si="110"/>
        <v/>
      </c>
      <c r="P745" s="39" t="str">
        <f t="shared" si="111"/>
        <v/>
      </c>
      <c r="Q745" s="13" t="str">
        <f t="shared" si="107"/>
        <v/>
      </c>
      <c r="R745" s="13" t="str">
        <f t="shared" si="112"/>
        <v/>
      </c>
      <c r="S745" s="13" t="str">
        <f t="shared" si="108"/>
        <v/>
      </c>
      <c r="T745" s="22" t="str">
        <f>IF(R745&lt;&gt;"",VLOOKUP(P745,Constants!$D$3:$E$10,2),"")</f>
        <v/>
      </c>
    </row>
    <row r="746" spans="12:20" x14ac:dyDescent="0.25">
      <c r="L746" s="10" t="str">
        <f t="shared" si="105"/>
        <v/>
      </c>
      <c r="M746" s="10" t="str">
        <f t="shared" si="106"/>
        <v/>
      </c>
      <c r="N746" s="11" t="str">
        <f t="shared" si="109"/>
        <v/>
      </c>
      <c r="O746" s="10" t="str">
        <f t="shared" si="110"/>
        <v/>
      </c>
      <c r="P746" s="39" t="str">
        <f t="shared" si="111"/>
        <v/>
      </c>
      <c r="Q746" s="13" t="str">
        <f t="shared" si="107"/>
        <v/>
      </c>
      <c r="R746" s="13" t="str">
        <f t="shared" si="112"/>
        <v/>
      </c>
      <c r="S746" s="13" t="str">
        <f t="shared" si="108"/>
        <v/>
      </c>
      <c r="T746" s="22" t="str">
        <f>IF(R746&lt;&gt;"",VLOOKUP(P746,Constants!$D$3:$E$10,2),"")</f>
        <v/>
      </c>
    </row>
    <row r="747" spans="12:20" x14ac:dyDescent="0.25">
      <c r="L747" s="10" t="str">
        <f t="shared" si="105"/>
        <v/>
      </c>
      <c r="M747" s="10" t="str">
        <f t="shared" si="106"/>
        <v/>
      </c>
      <c r="N747" s="11" t="str">
        <f t="shared" si="109"/>
        <v/>
      </c>
      <c r="O747" s="10" t="str">
        <f t="shared" si="110"/>
        <v/>
      </c>
      <c r="P747" s="39" t="str">
        <f t="shared" si="111"/>
        <v/>
      </c>
      <c r="Q747" s="13" t="str">
        <f t="shared" si="107"/>
        <v/>
      </c>
      <c r="R747" s="13" t="str">
        <f t="shared" si="112"/>
        <v/>
      </c>
      <c r="S747" s="13" t="str">
        <f t="shared" si="108"/>
        <v/>
      </c>
      <c r="T747" s="22" t="str">
        <f>IF(R747&lt;&gt;"",VLOOKUP(P747,Constants!$D$3:$E$10,2),"")</f>
        <v/>
      </c>
    </row>
    <row r="748" spans="12:20" x14ac:dyDescent="0.25">
      <c r="L748" s="10" t="str">
        <f t="shared" si="105"/>
        <v/>
      </c>
      <c r="M748" s="10" t="str">
        <f t="shared" si="106"/>
        <v/>
      </c>
      <c r="N748" s="11" t="str">
        <f t="shared" si="109"/>
        <v/>
      </c>
      <c r="O748" s="10" t="str">
        <f t="shared" si="110"/>
        <v/>
      </c>
      <c r="P748" s="39" t="str">
        <f t="shared" si="111"/>
        <v/>
      </c>
      <c r="Q748" s="13" t="str">
        <f t="shared" si="107"/>
        <v/>
      </c>
      <c r="R748" s="13" t="str">
        <f t="shared" si="112"/>
        <v/>
      </c>
      <c r="S748" s="13" t="str">
        <f t="shared" si="108"/>
        <v/>
      </c>
      <c r="T748" s="22" t="str">
        <f>IF(R748&lt;&gt;"",VLOOKUP(P748,Constants!$D$3:$E$10,2),"")</f>
        <v/>
      </c>
    </row>
    <row r="749" spans="12:20" x14ac:dyDescent="0.25">
      <c r="L749" s="10" t="str">
        <f t="shared" si="105"/>
        <v/>
      </c>
      <c r="M749" s="10" t="str">
        <f t="shared" si="106"/>
        <v/>
      </c>
      <c r="N749" s="11" t="str">
        <f t="shared" si="109"/>
        <v/>
      </c>
      <c r="O749" s="10" t="str">
        <f t="shared" si="110"/>
        <v/>
      </c>
      <c r="P749" s="39" t="str">
        <f t="shared" si="111"/>
        <v/>
      </c>
      <c r="Q749" s="13" t="str">
        <f t="shared" si="107"/>
        <v/>
      </c>
      <c r="R749" s="13" t="str">
        <f t="shared" si="112"/>
        <v/>
      </c>
      <c r="S749" s="13" t="str">
        <f t="shared" si="108"/>
        <v/>
      </c>
      <c r="T749" s="22" t="str">
        <f>IF(R749&lt;&gt;"",VLOOKUP(P749,Constants!$D$3:$E$10,2),"")</f>
        <v/>
      </c>
    </row>
    <row r="750" spans="12:20" x14ac:dyDescent="0.25">
      <c r="L750" s="10" t="str">
        <f t="shared" si="105"/>
        <v/>
      </c>
      <c r="M750" s="10" t="str">
        <f t="shared" si="106"/>
        <v/>
      </c>
      <c r="N750" s="11" t="str">
        <f t="shared" si="109"/>
        <v/>
      </c>
      <c r="O750" s="10" t="str">
        <f t="shared" si="110"/>
        <v/>
      </c>
      <c r="P750" s="39" t="str">
        <f t="shared" si="111"/>
        <v/>
      </c>
      <c r="Q750" s="13" t="str">
        <f t="shared" si="107"/>
        <v/>
      </c>
      <c r="R750" s="13" t="str">
        <f t="shared" si="112"/>
        <v/>
      </c>
      <c r="S750" s="13" t="str">
        <f t="shared" si="108"/>
        <v/>
      </c>
      <c r="T750" s="22" t="str">
        <f>IF(R750&lt;&gt;"",VLOOKUP(P750,Constants!$D$3:$E$10,2),"")</f>
        <v/>
      </c>
    </row>
    <row r="751" spans="12:20" x14ac:dyDescent="0.25">
      <c r="L751" s="10" t="str">
        <f t="shared" si="105"/>
        <v/>
      </c>
      <c r="M751" s="10" t="str">
        <f t="shared" si="106"/>
        <v/>
      </c>
      <c r="N751" s="11" t="str">
        <f t="shared" si="109"/>
        <v/>
      </c>
      <c r="O751" s="10" t="str">
        <f t="shared" si="110"/>
        <v/>
      </c>
      <c r="P751" s="39" t="str">
        <f t="shared" si="111"/>
        <v/>
      </c>
      <c r="Q751" s="13" t="str">
        <f t="shared" si="107"/>
        <v/>
      </c>
      <c r="R751" s="13" t="str">
        <f t="shared" si="112"/>
        <v/>
      </c>
      <c r="S751" s="13" t="str">
        <f t="shared" si="108"/>
        <v/>
      </c>
      <c r="T751" s="22" t="str">
        <f>IF(R751&lt;&gt;"",VLOOKUP(P751,Constants!$D$3:$E$10,2),"")</f>
        <v/>
      </c>
    </row>
    <row r="752" spans="12:20" x14ac:dyDescent="0.25">
      <c r="L752" s="10" t="str">
        <f t="shared" si="105"/>
        <v/>
      </c>
      <c r="M752" s="10" t="str">
        <f t="shared" si="106"/>
        <v/>
      </c>
      <c r="N752" s="11" t="str">
        <f t="shared" si="109"/>
        <v/>
      </c>
      <c r="O752" s="10" t="str">
        <f t="shared" si="110"/>
        <v/>
      </c>
      <c r="P752" s="39" t="str">
        <f t="shared" si="111"/>
        <v/>
      </c>
      <c r="Q752" s="13" t="str">
        <f t="shared" si="107"/>
        <v/>
      </c>
      <c r="R752" s="13" t="str">
        <f t="shared" si="112"/>
        <v/>
      </c>
      <c r="S752" s="13" t="str">
        <f t="shared" si="108"/>
        <v/>
      </c>
      <c r="T752" s="22" t="str">
        <f>IF(R752&lt;&gt;"",VLOOKUP(P752,Constants!$D$3:$E$10,2),"")</f>
        <v/>
      </c>
    </row>
    <row r="753" spans="12:20" x14ac:dyDescent="0.25">
      <c r="L753" s="10" t="str">
        <f t="shared" si="105"/>
        <v/>
      </c>
      <c r="M753" s="10" t="str">
        <f t="shared" si="106"/>
        <v/>
      </c>
      <c r="N753" s="11" t="str">
        <f t="shared" si="109"/>
        <v/>
      </c>
      <c r="O753" s="10" t="str">
        <f t="shared" si="110"/>
        <v/>
      </c>
      <c r="P753" s="39" t="str">
        <f t="shared" si="111"/>
        <v/>
      </c>
      <c r="Q753" s="13" t="str">
        <f t="shared" si="107"/>
        <v/>
      </c>
      <c r="R753" s="13" t="str">
        <f t="shared" si="112"/>
        <v/>
      </c>
      <c r="S753" s="13" t="str">
        <f t="shared" si="108"/>
        <v/>
      </c>
      <c r="T753" s="22" t="str">
        <f>IF(R753&lt;&gt;"",VLOOKUP(P753,Constants!$D$3:$E$10,2),"")</f>
        <v/>
      </c>
    </row>
    <row r="754" spans="12:20" x14ac:dyDescent="0.25">
      <c r="L754" s="10" t="str">
        <f t="shared" si="105"/>
        <v/>
      </c>
      <c r="M754" s="10" t="str">
        <f t="shared" si="106"/>
        <v/>
      </c>
      <c r="N754" s="11" t="str">
        <f t="shared" si="109"/>
        <v/>
      </c>
      <c r="O754" s="10" t="str">
        <f t="shared" si="110"/>
        <v/>
      </c>
      <c r="P754" s="39" t="str">
        <f t="shared" si="111"/>
        <v/>
      </c>
      <c r="Q754" s="13" t="str">
        <f t="shared" si="107"/>
        <v/>
      </c>
      <c r="R754" s="13" t="str">
        <f t="shared" si="112"/>
        <v/>
      </c>
      <c r="S754" s="13" t="str">
        <f t="shared" si="108"/>
        <v/>
      </c>
      <c r="T754" s="22" t="str">
        <f>IF(R754&lt;&gt;"",VLOOKUP(P754,Constants!$D$3:$E$10,2),"")</f>
        <v/>
      </c>
    </row>
    <row r="755" spans="12:20" x14ac:dyDescent="0.25">
      <c r="L755" s="10" t="str">
        <f t="shared" si="105"/>
        <v/>
      </c>
      <c r="M755" s="10" t="str">
        <f t="shared" si="106"/>
        <v/>
      </c>
      <c r="N755" s="11" t="str">
        <f t="shared" si="109"/>
        <v/>
      </c>
      <c r="O755" s="10" t="str">
        <f t="shared" si="110"/>
        <v/>
      </c>
      <c r="P755" s="39" t="str">
        <f t="shared" si="111"/>
        <v/>
      </c>
      <c r="Q755" s="13" t="str">
        <f t="shared" si="107"/>
        <v/>
      </c>
      <c r="R755" s="13" t="str">
        <f t="shared" si="112"/>
        <v/>
      </c>
      <c r="S755" s="13" t="str">
        <f t="shared" si="108"/>
        <v/>
      </c>
      <c r="T755" s="22" t="str">
        <f>IF(R755&lt;&gt;"",VLOOKUP(P755,Constants!$D$3:$E$10,2),"")</f>
        <v/>
      </c>
    </row>
    <row r="756" spans="12:20" x14ac:dyDescent="0.25">
      <c r="L756" s="10" t="str">
        <f t="shared" si="105"/>
        <v/>
      </c>
      <c r="M756" s="10" t="str">
        <f t="shared" si="106"/>
        <v/>
      </c>
      <c r="N756" s="11" t="str">
        <f t="shared" si="109"/>
        <v/>
      </c>
      <c r="O756" s="10" t="str">
        <f t="shared" si="110"/>
        <v/>
      </c>
      <c r="P756" s="39" t="str">
        <f t="shared" si="111"/>
        <v/>
      </c>
      <c r="Q756" s="13" t="str">
        <f t="shared" si="107"/>
        <v/>
      </c>
      <c r="R756" s="13" t="str">
        <f t="shared" si="112"/>
        <v/>
      </c>
      <c r="S756" s="13" t="str">
        <f t="shared" si="108"/>
        <v/>
      </c>
      <c r="T756" s="22" t="str">
        <f>IF(R756&lt;&gt;"",VLOOKUP(P756,Constants!$D$3:$E$10,2),"")</f>
        <v/>
      </c>
    </row>
    <row r="757" spans="12:20" x14ac:dyDescent="0.25">
      <c r="L757" s="10" t="str">
        <f t="shared" si="105"/>
        <v/>
      </c>
      <c r="M757" s="10" t="str">
        <f t="shared" si="106"/>
        <v/>
      </c>
      <c r="N757" s="11" t="str">
        <f t="shared" si="109"/>
        <v/>
      </c>
      <c r="O757" s="10" t="str">
        <f t="shared" si="110"/>
        <v/>
      </c>
      <c r="P757" s="39" t="str">
        <f t="shared" si="111"/>
        <v/>
      </c>
      <c r="Q757" s="13" t="str">
        <f t="shared" si="107"/>
        <v/>
      </c>
      <c r="R757" s="13" t="str">
        <f t="shared" si="112"/>
        <v/>
      </c>
      <c r="S757" s="13" t="str">
        <f t="shared" si="108"/>
        <v/>
      </c>
      <c r="T757" s="22" t="str">
        <f>IF(R757&lt;&gt;"",VLOOKUP(P757,Constants!$D$3:$E$10,2),"")</f>
        <v/>
      </c>
    </row>
    <row r="758" spans="12:20" x14ac:dyDescent="0.25">
      <c r="L758" s="10" t="str">
        <f t="shared" si="105"/>
        <v/>
      </c>
      <c r="M758" s="10" t="str">
        <f t="shared" si="106"/>
        <v/>
      </c>
      <c r="N758" s="11" t="str">
        <f t="shared" si="109"/>
        <v/>
      </c>
      <c r="O758" s="10" t="str">
        <f t="shared" si="110"/>
        <v/>
      </c>
      <c r="P758" s="39" t="str">
        <f t="shared" si="111"/>
        <v/>
      </c>
      <c r="Q758" s="13" t="str">
        <f t="shared" si="107"/>
        <v/>
      </c>
      <c r="R758" s="13" t="str">
        <f t="shared" si="112"/>
        <v/>
      </c>
      <c r="S758" s="13" t="str">
        <f t="shared" si="108"/>
        <v/>
      </c>
      <c r="T758" s="22" t="str">
        <f>IF(R758&lt;&gt;"",VLOOKUP(P758,Constants!$D$3:$E$10,2),"")</f>
        <v/>
      </c>
    </row>
    <row r="759" spans="12:20" x14ac:dyDescent="0.25">
      <c r="L759" s="10" t="str">
        <f t="shared" si="105"/>
        <v/>
      </c>
      <c r="M759" s="10" t="str">
        <f t="shared" si="106"/>
        <v/>
      </c>
      <c r="N759" s="11" t="str">
        <f t="shared" si="109"/>
        <v/>
      </c>
      <c r="O759" s="10" t="str">
        <f t="shared" si="110"/>
        <v/>
      </c>
      <c r="P759" s="39" t="str">
        <f t="shared" si="111"/>
        <v/>
      </c>
      <c r="Q759" s="13" t="str">
        <f t="shared" si="107"/>
        <v/>
      </c>
      <c r="R759" s="13" t="str">
        <f t="shared" si="112"/>
        <v/>
      </c>
      <c r="S759" s="13" t="str">
        <f t="shared" si="108"/>
        <v/>
      </c>
      <c r="T759" s="22" t="str">
        <f>IF(R759&lt;&gt;"",VLOOKUP(P759,Constants!$D$3:$E$10,2),"")</f>
        <v/>
      </c>
    </row>
    <row r="760" spans="12:20" x14ac:dyDescent="0.25">
      <c r="L760" s="10" t="str">
        <f t="shared" si="105"/>
        <v/>
      </c>
      <c r="M760" s="10" t="str">
        <f t="shared" si="106"/>
        <v/>
      </c>
      <c r="N760" s="11" t="str">
        <f t="shared" si="109"/>
        <v/>
      </c>
      <c r="O760" s="10" t="str">
        <f t="shared" si="110"/>
        <v/>
      </c>
      <c r="P760" s="39" t="str">
        <f t="shared" si="111"/>
        <v/>
      </c>
      <c r="Q760" s="13" t="str">
        <f t="shared" si="107"/>
        <v/>
      </c>
      <c r="R760" s="13" t="str">
        <f t="shared" si="112"/>
        <v/>
      </c>
      <c r="S760" s="13" t="str">
        <f t="shared" si="108"/>
        <v/>
      </c>
      <c r="T760" s="22" t="str">
        <f>IF(R760&lt;&gt;"",VLOOKUP(P760,Constants!$D$3:$E$10,2),"")</f>
        <v/>
      </c>
    </row>
    <row r="761" spans="12:20" x14ac:dyDescent="0.25">
      <c r="L761" s="10" t="str">
        <f t="shared" si="105"/>
        <v/>
      </c>
      <c r="M761" s="10" t="str">
        <f t="shared" si="106"/>
        <v/>
      </c>
      <c r="N761" s="11" t="str">
        <f t="shared" si="109"/>
        <v/>
      </c>
      <c r="O761" s="10" t="str">
        <f t="shared" si="110"/>
        <v/>
      </c>
      <c r="P761" s="39" t="str">
        <f t="shared" si="111"/>
        <v/>
      </c>
      <c r="Q761" s="13" t="str">
        <f t="shared" si="107"/>
        <v/>
      </c>
      <c r="R761" s="13" t="str">
        <f t="shared" si="112"/>
        <v/>
      </c>
      <c r="S761" s="13" t="str">
        <f t="shared" si="108"/>
        <v/>
      </c>
      <c r="T761" s="22" t="str">
        <f>IF(R761&lt;&gt;"",VLOOKUP(P761,Constants!$D$3:$E$10,2),"")</f>
        <v/>
      </c>
    </row>
    <row r="762" spans="12:20" x14ac:dyDescent="0.25">
      <c r="L762" s="10" t="str">
        <f t="shared" si="105"/>
        <v/>
      </c>
      <c r="M762" s="10" t="str">
        <f t="shared" si="106"/>
        <v/>
      </c>
      <c r="N762" s="11" t="str">
        <f t="shared" si="109"/>
        <v/>
      </c>
      <c r="O762" s="10" t="str">
        <f t="shared" si="110"/>
        <v/>
      </c>
      <c r="P762" s="39" t="str">
        <f t="shared" si="111"/>
        <v/>
      </c>
      <c r="Q762" s="13" t="str">
        <f t="shared" si="107"/>
        <v/>
      </c>
      <c r="R762" s="13" t="str">
        <f t="shared" si="112"/>
        <v/>
      </c>
      <c r="S762" s="13" t="str">
        <f t="shared" si="108"/>
        <v/>
      </c>
      <c r="T762" s="22" t="str">
        <f>IF(R762&lt;&gt;"",VLOOKUP(P762,Constants!$D$3:$E$10,2),"")</f>
        <v/>
      </c>
    </row>
    <row r="763" spans="12:20" x14ac:dyDescent="0.25">
      <c r="L763" s="10" t="str">
        <f t="shared" si="105"/>
        <v/>
      </c>
      <c r="M763" s="10" t="str">
        <f t="shared" si="106"/>
        <v/>
      </c>
      <c r="N763" s="11" t="str">
        <f t="shared" si="109"/>
        <v/>
      </c>
      <c r="O763" s="10" t="str">
        <f t="shared" si="110"/>
        <v/>
      </c>
      <c r="P763" s="39" t="str">
        <f t="shared" si="111"/>
        <v/>
      </c>
      <c r="Q763" s="13" t="str">
        <f t="shared" si="107"/>
        <v/>
      </c>
      <c r="R763" s="13" t="str">
        <f t="shared" si="112"/>
        <v/>
      </c>
      <c r="S763" s="13" t="str">
        <f t="shared" si="108"/>
        <v/>
      </c>
      <c r="T763" s="22" t="str">
        <f>IF(R763&lt;&gt;"",VLOOKUP(P763,Constants!$D$3:$E$10,2),"")</f>
        <v/>
      </c>
    </row>
    <row r="764" spans="12:20" x14ac:dyDescent="0.25">
      <c r="L764" s="10" t="str">
        <f t="shared" si="105"/>
        <v/>
      </c>
      <c r="M764" s="10" t="str">
        <f t="shared" si="106"/>
        <v/>
      </c>
      <c r="N764" s="11" t="str">
        <f t="shared" si="109"/>
        <v/>
      </c>
      <c r="O764" s="10" t="str">
        <f t="shared" si="110"/>
        <v/>
      </c>
      <c r="P764" s="39" t="str">
        <f t="shared" si="111"/>
        <v/>
      </c>
      <c r="Q764" s="13" t="str">
        <f t="shared" si="107"/>
        <v/>
      </c>
      <c r="R764" s="13" t="str">
        <f t="shared" si="112"/>
        <v/>
      </c>
      <c r="S764" s="13" t="str">
        <f t="shared" si="108"/>
        <v/>
      </c>
      <c r="T764" s="22" t="str">
        <f>IF(R764&lt;&gt;"",VLOOKUP(P764,Constants!$D$3:$E$10,2),"")</f>
        <v/>
      </c>
    </row>
    <row r="765" spans="12:20" x14ac:dyDescent="0.25">
      <c r="L765" s="10" t="str">
        <f t="shared" si="105"/>
        <v/>
      </c>
      <c r="M765" s="10" t="str">
        <f t="shared" si="106"/>
        <v/>
      </c>
      <c r="N765" s="11" t="str">
        <f t="shared" si="109"/>
        <v/>
      </c>
      <c r="O765" s="10" t="str">
        <f t="shared" si="110"/>
        <v/>
      </c>
      <c r="P765" s="39" t="str">
        <f t="shared" si="111"/>
        <v/>
      </c>
      <c r="Q765" s="13" t="str">
        <f t="shared" si="107"/>
        <v/>
      </c>
      <c r="R765" s="13" t="str">
        <f t="shared" si="112"/>
        <v/>
      </c>
      <c r="S765" s="13" t="str">
        <f t="shared" si="108"/>
        <v/>
      </c>
      <c r="T765" s="22" t="str">
        <f>IF(R765&lt;&gt;"",VLOOKUP(P765,Constants!$D$3:$E$10,2),"")</f>
        <v/>
      </c>
    </row>
    <row r="766" spans="12:20" x14ac:dyDescent="0.25">
      <c r="L766" s="10" t="str">
        <f t="shared" si="105"/>
        <v/>
      </c>
      <c r="M766" s="10" t="str">
        <f t="shared" si="106"/>
        <v/>
      </c>
      <c r="N766" s="11" t="str">
        <f t="shared" si="109"/>
        <v/>
      </c>
      <c r="O766" s="10" t="str">
        <f t="shared" si="110"/>
        <v/>
      </c>
      <c r="P766" s="39" t="str">
        <f t="shared" si="111"/>
        <v/>
      </c>
      <c r="Q766" s="13" t="str">
        <f t="shared" si="107"/>
        <v/>
      </c>
      <c r="R766" s="13" t="str">
        <f t="shared" si="112"/>
        <v/>
      </c>
      <c r="S766" s="13" t="str">
        <f t="shared" si="108"/>
        <v/>
      </c>
      <c r="T766" s="22" t="str">
        <f>IF(R766&lt;&gt;"",VLOOKUP(P766,Constants!$D$3:$E$10,2),"")</f>
        <v/>
      </c>
    </row>
    <row r="767" spans="12:20" x14ac:dyDescent="0.25">
      <c r="L767" s="10" t="str">
        <f t="shared" si="105"/>
        <v/>
      </c>
      <c r="M767" s="10" t="str">
        <f t="shared" si="106"/>
        <v/>
      </c>
      <c r="N767" s="11" t="str">
        <f t="shared" si="109"/>
        <v/>
      </c>
      <c r="O767" s="10" t="str">
        <f t="shared" si="110"/>
        <v/>
      </c>
      <c r="P767" s="39" t="str">
        <f t="shared" si="111"/>
        <v/>
      </c>
      <c r="Q767" s="13" t="str">
        <f t="shared" si="107"/>
        <v/>
      </c>
      <c r="R767" s="13" t="str">
        <f t="shared" si="112"/>
        <v/>
      </c>
      <c r="S767" s="13" t="str">
        <f t="shared" si="108"/>
        <v/>
      </c>
      <c r="T767" s="22" t="str">
        <f>IF(R767&lt;&gt;"",VLOOKUP(P767,Constants!$D$3:$E$10,2),"")</f>
        <v/>
      </c>
    </row>
    <row r="768" spans="12:20" x14ac:dyDescent="0.25">
      <c r="L768" s="10" t="str">
        <f t="shared" si="105"/>
        <v/>
      </c>
      <c r="M768" s="10" t="str">
        <f t="shared" si="106"/>
        <v/>
      </c>
      <c r="N768" s="11" t="str">
        <f t="shared" si="109"/>
        <v/>
      </c>
      <c r="O768" s="10" t="str">
        <f t="shared" si="110"/>
        <v/>
      </c>
      <c r="P768" s="39" t="str">
        <f t="shared" si="111"/>
        <v/>
      </c>
      <c r="Q768" s="13" t="str">
        <f t="shared" si="107"/>
        <v/>
      </c>
      <c r="R768" s="13" t="str">
        <f t="shared" si="112"/>
        <v/>
      </c>
      <c r="S768" s="13" t="str">
        <f t="shared" si="108"/>
        <v/>
      </c>
      <c r="T768" s="22" t="str">
        <f>IF(R768&lt;&gt;"",VLOOKUP(P768,Constants!$D$3:$E$10,2),"")</f>
        <v/>
      </c>
    </row>
    <row r="769" spans="12:20" x14ac:dyDescent="0.25">
      <c r="L769" s="10" t="str">
        <f t="shared" si="105"/>
        <v/>
      </c>
      <c r="M769" s="10" t="str">
        <f t="shared" si="106"/>
        <v/>
      </c>
      <c r="N769" s="11" t="str">
        <f t="shared" si="109"/>
        <v/>
      </c>
      <c r="O769" s="10" t="str">
        <f t="shared" si="110"/>
        <v/>
      </c>
      <c r="P769" s="39" t="str">
        <f t="shared" si="111"/>
        <v/>
      </c>
      <c r="Q769" s="13" t="str">
        <f t="shared" si="107"/>
        <v/>
      </c>
      <c r="R769" s="13" t="str">
        <f t="shared" si="112"/>
        <v/>
      </c>
      <c r="S769" s="13" t="str">
        <f t="shared" si="108"/>
        <v/>
      </c>
      <c r="T769" s="22" t="str">
        <f>IF(R769&lt;&gt;"",VLOOKUP(P769,Constants!$D$3:$E$10,2),"")</f>
        <v/>
      </c>
    </row>
    <row r="770" spans="12:20" x14ac:dyDescent="0.25">
      <c r="L770" s="10" t="str">
        <f t="shared" si="105"/>
        <v/>
      </c>
      <c r="M770" s="10" t="str">
        <f t="shared" si="106"/>
        <v/>
      </c>
      <c r="N770" s="11" t="str">
        <f t="shared" si="109"/>
        <v/>
      </c>
      <c r="O770" s="10" t="str">
        <f t="shared" si="110"/>
        <v/>
      </c>
      <c r="P770" s="39" t="str">
        <f t="shared" si="111"/>
        <v/>
      </c>
      <c r="Q770" s="13" t="str">
        <f t="shared" si="107"/>
        <v/>
      </c>
      <c r="R770" s="13" t="str">
        <f t="shared" si="112"/>
        <v/>
      </c>
      <c r="S770" s="13" t="str">
        <f t="shared" si="108"/>
        <v/>
      </c>
      <c r="T770" s="22" t="str">
        <f>IF(R770&lt;&gt;"",VLOOKUP(P770,Constants!$D$3:$E$10,2),"")</f>
        <v/>
      </c>
    </row>
    <row r="771" spans="12:20" x14ac:dyDescent="0.25">
      <c r="L771" s="10" t="str">
        <f t="shared" si="105"/>
        <v/>
      </c>
      <c r="M771" s="10" t="str">
        <f t="shared" si="106"/>
        <v/>
      </c>
      <c r="N771" s="11" t="str">
        <f t="shared" si="109"/>
        <v/>
      </c>
      <c r="O771" s="10" t="str">
        <f t="shared" si="110"/>
        <v/>
      </c>
      <c r="P771" s="39" t="str">
        <f t="shared" si="111"/>
        <v/>
      </c>
      <c r="Q771" s="13" t="str">
        <f t="shared" si="107"/>
        <v/>
      </c>
      <c r="R771" s="13" t="str">
        <f t="shared" si="112"/>
        <v/>
      </c>
      <c r="S771" s="13" t="str">
        <f t="shared" si="108"/>
        <v/>
      </c>
      <c r="T771" s="22" t="str">
        <f>IF(R771&lt;&gt;"",VLOOKUP(P771,Constants!$D$3:$E$10,2),"")</f>
        <v/>
      </c>
    </row>
    <row r="772" spans="12:20" x14ac:dyDescent="0.25">
      <c r="L772" s="10" t="str">
        <f t="shared" si="105"/>
        <v/>
      </c>
      <c r="M772" s="10" t="str">
        <f t="shared" si="106"/>
        <v/>
      </c>
      <c r="N772" s="11" t="str">
        <f t="shared" si="109"/>
        <v/>
      </c>
      <c r="O772" s="10" t="str">
        <f t="shared" si="110"/>
        <v/>
      </c>
      <c r="P772" s="39" t="str">
        <f t="shared" si="111"/>
        <v/>
      </c>
      <c r="Q772" s="13" t="str">
        <f t="shared" si="107"/>
        <v/>
      </c>
      <c r="R772" s="13" t="str">
        <f t="shared" si="112"/>
        <v/>
      </c>
      <c r="S772" s="13" t="str">
        <f t="shared" si="108"/>
        <v/>
      </c>
      <c r="T772" s="22" t="str">
        <f>IF(R772&lt;&gt;"",VLOOKUP(P772,Constants!$D$3:$E$10,2),"")</f>
        <v/>
      </c>
    </row>
    <row r="773" spans="12:20" x14ac:dyDescent="0.25">
      <c r="L773" s="10" t="str">
        <f t="shared" si="105"/>
        <v/>
      </c>
      <c r="M773" s="10" t="str">
        <f t="shared" si="106"/>
        <v/>
      </c>
      <c r="N773" s="11" t="str">
        <f t="shared" si="109"/>
        <v/>
      </c>
      <c r="O773" s="10" t="str">
        <f t="shared" si="110"/>
        <v/>
      </c>
      <c r="P773" s="39" t="str">
        <f t="shared" si="111"/>
        <v/>
      </c>
      <c r="Q773" s="13" t="str">
        <f t="shared" si="107"/>
        <v/>
      </c>
      <c r="R773" s="13" t="str">
        <f t="shared" si="112"/>
        <v/>
      </c>
      <c r="S773" s="13" t="str">
        <f t="shared" si="108"/>
        <v/>
      </c>
      <c r="T773" s="22" t="str">
        <f>IF(R773&lt;&gt;"",VLOOKUP(P773,Constants!$D$3:$E$10,2),"")</f>
        <v/>
      </c>
    </row>
    <row r="774" spans="12:20" x14ac:dyDescent="0.25">
      <c r="L774" s="10" t="str">
        <f t="shared" si="105"/>
        <v/>
      </c>
      <c r="M774" s="10" t="str">
        <f t="shared" si="106"/>
        <v/>
      </c>
      <c r="N774" s="11" t="str">
        <f t="shared" si="109"/>
        <v/>
      </c>
      <c r="O774" s="10" t="str">
        <f t="shared" si="110"/>
        <v/>
      </c>
      <c r="P774" s="39" t="str">
        <f t="shared" si="111"/>
        <v/>
      </c>
      <c r="Q774" s="13" t="str">
        <f t="shared" si="107"/>
        <v/>
      </c>
      <c r="R774" s="13" t="str">
        <f t="shared" si="112"/>
        <v/>
      </c>
      <c r="S774" s="13" t="str">
        <f t="shared" si="108"/>
        <v/>
      </c>
      <c r="T774" s="22" t="str">
        <f>IF(R774&lt;&gt;"",VLOOKUP(P774,Constants!$D$3:$E$10,2),"")</f>
        <v/>
      </c>
    </row>
    <row r="775" spans="12:20" x14ac:dyDescent="0.25">
      <c r="L775" s="10" t="str">
        <f t="shared" si="105"/>
        <v/>
      </c>
      <c r="M775" s="10" t="str">
        <f t="shared" si="106"/>
        <v/>
      </c>
      <c r="N775" s="11" t="str">
        <f t="shared" si="109"/>
        <v/>
      </c>
      <c r="O775" s="10" t="str">
        <f t="shared" si="110"/>
        <v/>
      </c>
      <c r="P775" s="39" t="str">
        <f t="shared" si="111"/>
        <v/>
      </c>
      <c r="Q775" s="13" t="str">
        <f t="shared" si="107"/>
        <v/>
      </c>
      <c r="R775" s="13" t="str">
        <f t="shared" si="112"/>
        <v/>
      </c>
      <c r="S775" s="13" t="str">
        <f t="shared" si="108"/>
        <v/>
      </c>
      <c r="T775" s="22" t="str">
        <f>IF(R775&lt;&gt;"",VLOOKUP(P775,Constants!$D$3:$E$10,2),"")</f>
        <v/>
      </c>
    </row>
    <row r="776" spans="12:20" x14ac:dyDescent="0.25">
      <c r="L776" s="10" t="str">
        <f t="shared" ref="L776:L839" si="113">IF($D776&lt;&gt;"",$D776*$E776/1000,"")</f>
        <v/>
      </c>
      <c r="M776" s="10" t="str">
        <f t="shared" ref="M776:M839" si="114">IF($D776&lt;&gt;"",$D776*$F776/1000,"")</f>
        <v/>
      </c>
      <c r="N776" s="11" t="str">
        <f t="shared" si="109"/>
        <v/>
      </c>
      <c r="O776" s="10" t="str">
        <f t="shared" si="110"/>
        <v/>
      </c>
      <c r="P776" s="39" t="str">
        <f t="shared" si="111"/>
        <v/>
      </c>
      <c r="Q776" s="13" t="str">
        <f t="shared" ref="Q776:Q839" si="115">IF(F776&lt;&gt;"",F776*E776/1000,"")</f>
        <v/>
      </c>
      <c r="R776" s="13" t="str">
        <f t="shared" si="112"/>
        <v/>
      </c>
      <c r="S776" s="13" t="str">
        <f t="shared" ref="S776:S839" si="116">IF(R776&lt;&gt;"",Q776/R776*1000,"")</f>
        <v/>
      </c>
      <c r="T776" s="22" t="str">
        <f>IF(R776&lt;&gt;"",VLOOKUP(P776,Constants!$D$3:$E$10,2),"")</f>
        <v/>
      </c>
    </row>
    <row r="777" spans="12:20" x14ac:dyDescent="0.25">
      <c r="L777" s="10" t="str">
        <f t="shared" si="113"/>
        <v/>
      </c>
      <c r="M777" s="10" t="str">
        <f t="shared" si="114"/>
        <v/>
      </c>
      <c r="N777" s="11" t="str">
        <f t="shared" si="109"/>
        <v/>
      </c>
      <c r="O777" s="10" t="str">
        <f t="shared" si="110"/>
        <v/>
      </c>
      <c r="P777" s="39" t="str">
        <f t="shared" si="111"/>
        <v/>
      </c>
      <c r="Q777" s="13" t="str">
        <f t="shared" si="115"/>
        <v/>
      </c>
      <c r="R777" s="13" t="str">
        <f t="shared" si="112"/>
        <v/>
      </c>
      <c r="S777" s="13" t="str">
        <f t="shared" si="116"/>
        <v/>
      </c>
      <c r="T777" s="22" t="str">
        <f>IF(R777&lt;&gt;"",VLOOKUP(P777,Constants!$D$3:$E$10,2),"")</f>
        <v/>
      </c>
    </row>
    <row r="778" spans="12:20" x14ac:dyDescent="0.25">
      <c r="L778" s="10" t="str">
        <f t="shared" si="113"/>
        <v/>
      </c>
      <c r="M778" s="10" t="str">
        <f t="shared" si="114"/>
        <v/>
      </c>
      <c r="N778" s="11" t="str">
        <f t="shared" si="109"/>
        <v/>
      </c>
      <c r="O778" s="10" t="str">
        <f t="shared" si="110"/>
        <v/>
      </c>
      <c r="P778" s="39" t="str">
        <f t="shared" si="111"/>
        <v/>
      </c>
      <c r="Q778" s="13" t="str">
        <f t="shared" si="115"/>
        <v/>
      </c>
      <c r="R778" s="13" t="str">
        <f t="shared" si="112"/>
        <v/>
      </c>
      <c r="S778" s="13" t="str">
        <f t="shared" si="116"/>
        <v/>
      </c>
      <c r="T778" s="22" t="str">
        <f>IF(R778&lt;&gt;"",VLOOKUP(P778,Constants!$D$3:$E$10,2),"")</f>
        <v/>
      </c>
    </row>
    <row r="779" spans="12:20" x14ac:dyDescent="0.25">
      <c r="L779" s="10" t="str">
        <f t="shared" si="113"/>
        <v/>
      </c>
      <c r="M779" s="10" t="str">
        <f t="shared" si="114"/>
        <v/>
      </c>
      <c r="N779" s="11" t="str">
        <f t="shared" si="109"/>
        <v/>
      </c>
      <c r="O779" s="10" t="str">
        <f t="shared" si="110"/>
        <v/>
      </c>
      <c r="P779" s="39" t="str">
        <f t="shared" si="111"/>
        <v/>
      </c>
      <c r="Q779" s="13" t="str">
        <f t="shared" si="115"/>
        <v/>
      </c>
      <c r="R779" s="13" t="str">
        <f t="shared" si="112"/>
        <v/>
      </c>
      <c r="S779" s="13" t="str">
        <f t="shared" si="116"/>
        <v/>
      </c>
      <c r="T779" s="22" t="str">
        <f>IF(R779&lt;&gt;"",VLOOKUP(P779,Constants!$D$3:$E$10,2),"")</f>
        <v/>
      </c>
    </row>
    <row r="780" spans="12:20" x14ac:dyDescent="0.25">
      <c r="L780" s="10" t="str">
        <f t="shared" si="113"/>
        <v/>
      </c>
      <c r="M780" s="10" t="str">
        <f t="shared" si="114"/>
        <v/>
      </c>
      <c r="N780" s="11" t="str">
        <f t="shared" si="109"/>
        <v/>
      </c>
      <c r="O780" s="10" t="str">
        <f t="shared" si="110"/>
        <v/>
      </c>
      <c r="P780" s="39" t="str">
        <f t="shared" si="111"/>
        <v/>
      </c>
      <c r="Q780" s="13" t="str">
        <f t="shared" si="115"/>
        <v/>
      </c>
      <c r="R780" s="13" t="str">
        <f t="shared" si="112"/>
        <v/>
      </c>
      <c r="S780" s="13" t="str">
        <f t="shared" si="116"/>
        <v/>
      </c>
      <c r="T780" s="22" t="str">
        <f>IF(R780&lt;&gt;"",VLOOKUP(P780,Constants!$D$3:$E$10,2),"")</f>
        <v/>
      </c>
    </row>
    <row r="781" spans="12:20" x14ac:dyDescent="0.25">
      <c r="L781" s="10" t="str">
        <f t="shared" si="113"/>
        <v/>
      </c>
      <c r="M781" s="10" t="str">
        <f t="shared" si="114"/>
        <v/>
      </c>
      <c r="N781" s="11" t="str">
        <f t="shared" si="109"/>
        <v/>
      </c>
      <c r="O781" s="10" t="str">
        <f t="shared" si="110"/>
        <v/>
      </c>
      <c r="P781" s="39" t="str">
        <f t="shared" si="111"/>
        <v/>
      </c>
      <c r="Q781" s="13" t="str">
        <f t="shared" si="115"/>
        <v/>
      </c>
      <c r="R781" s="13" t="str">
        <f t="shared" si="112"/>
        <v/>
      </c>
      <c r="S781" s="13" t="str">
        <f t="shared" si="116"/>
        <v/>
      </c>
      <c r="T781" s="22" t="str">
        <f>IF(R781&lt;&gt;"",VLOOKUP(P781,Constants!$D$3:$E$10,2),"")</f>
        <v/>
      </c>
    </row>
    <row r="782" spans="12:20" x14ac:dyDescent="0.25">
      <c r="L782" s="10" t="str">
        <f t="shared" si="113"/>
        <v/>
      </c>
      <c r="M782" s="10" t="str">
        <f t="shared" si="114"/>
        <v/>
      </c>
      <c r="N782" s="11" t="str">
        <f t="shared" si="109"/>
        <v/>
      </c>
      <c r="O782" s="10" t="str">
        <f t="shared" si="110"/>
        <v/>
      </c>
      <c r="P782" s="39" t="str">
        <f t="shared" si="111"/>
        <v/>
      </c>
      <c r="Q782" s="13" t="str">
        <f t="shared" si="115"/>
        <v/>
      </c>
      <c r="R782" s="13" t="str">
        <f t="shared" si="112"/>
        <v/>
      </c>
      <c r="S782" s="13" t="str">
        <f t="shared" si="116"/>
        <v/>
      </c>
      <c r="T782" s="22" t="str">
        <f>IF(R782&lt;&gt;"",VLOOKUP(P782,Constants!$D$3:$E$10,2),"")</f>
        <v/>
      </c>
    </row>
    <row r="783" spans="12:20" x14ac:dyDescent="0.25">
      <c r="L783" s="10" t="str">
        <f t="shared" si="113"/>
        <v/>
      </c>
      <c r="M783" s="10" t="str">
        <f t="shared" si="114"/>
        <v/>
      </c>
      <c r="N783" s="11" t="str">
        <f t="shared" si="109"/>
        <v/>
      </c>
      <c r="O783" s="10" t="str">
        <f t="shared" si="110"/>
        <v/>
      </c>
      <c r="P783" s="39" t="str">
        <f t="shared" si="111"/>
        <v/>
      </c>
      <c r="Q783" s="13" t="str">
        <f t="shared" si="115"/>
        <v/>
      </c>
      <c r="R783" s="13" t="str">
        <f t="shared" si="112"/>
        <v/>
      </c>
      <c r="S783" s="13" t="str">
        <f t="shared" si="116"/>
        <v/>
      </c>
      <c r="T783" s="22" t="str">
        <f>IF(R783&lt;&gt;"",VLOOKUP(P783,Constants!$D$3:$E$10,2),"")</f>
        <v/>
      </c>
    </row>
    <row r="784" spans="12:20" x14ac:dyDescent="0.25">
      <c r="L784" s="10" t="str">
        <f t="shared" si="113"/>
        <v/>
      </c>
      <c r="M784" s="10" t="str">
        <f t="shared" si="114"/>
        <v/>
      </c>
      <c r="N784" s="11" t="str">
        <f t="shared" ref="N784:N847" si="117">IF($L784&lt;&gt;"",SQRT($L784*$L784+$M784*$M784),"")</f>
        <v/>
      </c>
      <c r="O784" s="10" t="str">
        <f t="shared" si="110"/>
        <v/>
      </c>
      <c r="P784" s="39" t="str">
        <f t="shared" si="111"/>
        <v/>
      </c>
      <c r="Q784" s="13" t="str">
        <f t="shared" si="115"/>
        <v/>
      </c>
      <c r="R784" s="13" t="str">
        <f t="shared" si="112"/>
        <v/>
      </c>
      <c r="S784" s="13" t="str">
        <f t="shared" si="116"/>
        <v/>
      </c>
      <c r="T784" s="22" t="str">
        <f>IF(R784&lt;&gt;"",VLOOKUP(P784,Constants!$D$3:$E$10,2),"")</f>
        <v/>
      </c>
    </row>
    <row r="785" spans="12:20" x14ac:dyDescent="0.25">
      <c r="L785" s="10" t="str">
        <f t="shared" si="113"/>
        <v/>
      </c>
      <c r="M785" s="10" t="str">
        <f t="shared" si="114"/>
        <v/>
      </c>
      <c r="N785" s="11" t="str">
        <f t="shared" si="117"/>
        <v/>
      </c>
      <c r="O785" s="10" t="str">
        <f t="shared" si="110"/>
        <v/>
      </c>
      <c r="P785" s="39" t="str">
        <f t="shared" si="111"/>
        <v/>
      </c>
      <c r="Q785" s="13" t="str">
        <f t="shared" si="115"/>
        <v/>
      </c>
      <c r="R785" s="13" t="str">
        <f t="shared" si="112"/>
        <v/>
      </c>
      <c r="S785" s="13" t="str">
        <f t="shared" si="116"/>
        <v/>
      </c>
      <c r="T785" s="22" t="str">
        <f>IF(R785&lt;&gt;"",VLOOKUP(P785,Constants!$D$3:$E$10,2),"")</f>
        <v/>
      </c>
    </row>
    <row r="786" spans="12:20" x14ac:dyDescent="0.25">
      <c r="L786" s="10" t="str">
        <f t="shared" si="113"/>
        <v/>
      </c>
      <c r="M786" s="10" t="str">
        <f t="shared" si="114"/>
        <v/>
      </c>
      <c r="N786" s="11" t="str">
        <f t="shared" si="117"/>
        <v/>
      </c>
      <c r="O786" s="10" t="str">
        <f t="shared" si="110"/>
        <v/>
      </c>
      <c r="P786" s="39" t="str">
        <f t="shared" si="111"/>
        <v/>
      </c>
      <c r="Q786" s="13" t="str">
        <f t="shared" si="115"/>
        <v/>
      </c>
      <c r="R786" s="13" t="str">
        <f t="shared" si="112"/>
        <v/>
      </c>
      <c r="S786" s="13" t="str">
        <f t="shared" si="116"/>
        <v/>
      </c>
      <c r="T786" s="22" t="str">
        <f>IF(R786&lt;&gt;"",VLOOKUP(P786,Constants!$D$3:$E$10,2),"")</f>
        <v/>
      </c>
    </row>
    <row r="787" spans="12:20" x14ac:dyDescent="0.25">
      <c r="L787" s="10" t="str">
        <f t="shared" si="113"/>
        <v/>
      </c>
      <c r="M787" s="10" t="str">
        <f t="shared" si="114"/>
        <v/>
      </c>
      <c r="N787" s="11" t="str">
        <f t="shared" si="117"/>
        <v/>
      </c>
      <c r="O787" s="10" t="str">
        <f t="shared" si="110"/>
        <v/>
      </c>
      <c r="P787" s="39" t="str">
        <f t="shared" si="111"/>
        <v/>
      </c>
      <c r="Q787" s="13" t="str">
        <f t="shared" si="115"/>
        <v/>
      </c>
      <c r="R787" s="13" t="str">
        <f t="shared" si="112"/>
        <v/>
      </c>
      <c r="S787" s="13" t="str">
        <f t="shared" si="116"/>
        <v/>
      </c>
      <c r="T787" s="22" t="str">
        <f>IF(R787&lt;&gt;"",VLOOKUP(P787,Constants!$D$3:$E$10,2),"")</f>
        <v/>
      </c>
    </row>
    <row r="788" spans="12:20" x14ac:dyDescent="0.25">
      <c r="L788" s="10" t="str">
        <f t="shared" si="113"/>
        <v/>
      </c>
      <c r="M788" s="10" t="str">
        <f t="shared" si="114"/>
        <v/>
      </c>
      <c r="N788" s="11" t="str">
        <f t="shared" si="117"/>
        <v/>
      </c>
      <c r="O788" s="10" t="str">
        <f t="shared" si="110"/>
        <v/>
      </c>
      <c r="P788" s="39" t="str">
        <f t="shared" si="111"/>
        <v/>
      </c>
      <c r="Q788" s="13" t="str">
        <f t="shared" si="115"/>
        <v/>
      </c>
      <c r="R788" s="13" t="str">
        <f t="shared" si="112"/>
        <v/>
      </c>
      <c r="S788" s="13" t="str">
        <f t="shared" si="116"/>
        <v/>
      </c>
      <c r="T788" s="22" t="str">
        <f>IF(R788&lt;&gt;"",VLOOKUP(P788,Constants!$D$3:$E$10,2),"")</f>
        <v/>
      </c>
    </row>
    <row r="789" spans="12:20" x14ac:dyDescent="0.25">
      <c r="L789" s="10" t="str">
        <f t="shared" si="113"/>
        <v/>
      </c>
      <c r="M789" s="10" t="str">
        <f t="shared" si="114"/>
        <v/>
      </c>
      <c r="N789" s="11" t="str">
        <f t="shared" si="117"/>
        <v/>
      </c>
      <c r="O789" s="10" t="str">
        <f t="shared" si="110"/>
        <v/>
      </c>
      <c r="P789" s="39" t="str">
        <f t="shared" si="111"/>
        <v/>
      </c>
      <c r="Q789" s="13" t="str">
        <f t="shared" si="115"/>
        <v/>
      </c>
      <c r="R789" s="13" t="str">
        <f t="shared" si="112"/>
        <v/>
      </c>
      <c r="S789" s="13" t="str">
        <f t="shared" si="116"/>
        <v/>
      </c>
      <c r="T789" s="22" t="str">
        <f>IF(R789&lt;&gt;"",VLOOKUP(P789,Constants!$D$3:$E$10,2),"")</f>
        <v/>
      </c>
    </row>
    <row r="790" spans="12:20" x14ac:dyDescent="0.25">
      <c r="L790" s="10" t="str">
        <f t="shared" si="113"/>
        <v/>
      </c>
      <c r="M790" s="10" t="str">
        <f t="shared" si="114"/>
        <v/>
      </c>
      <c r="N790" s="11" t="str">
        <f t="shared" si="117"/>
        <v/>
      </c>
      <c r="O790" s="10" t="str">
        <f t="shared" si="110"/>
        <v/>
      </c>
      <c r="P790" s="39" t="str">
        <f t="shared" si="111"/>
        <v/>
      </c>
      <c r="Q790" s="13" t="str">
        <f t="shared" si="115"/>
        <v/>
      </c>
      <c r="R790" s="13" t="str">
        <f t="shared" si="112"/>
        <v/>
      </c>
      <c r="S790" s="13" t="str">
        <f t="shared" si="116"/>
        <v/>
      </c>
      <c r="T790" s="22" t="str">
        <f>IF(R790&lt;&gt;"",VLOOKUP(P790,Constants!$D$3:$E$10,2),"")</f>
        <v/>
      </c>
    </row>
    <row r="791" spans="12:20" x14ac:dyDescent="0.25">
      <c r="L791" s="10" t="str">
        <f t="shared" si="113"/>
        <v/>
      </c>
      <c r="M791" s="10" t="str">
        <f t="shared" si="114"/>
        <v/>
      </c>
      <c r="N791" s="11" t="str">
        <f t="shared" si="117"/>
        <v/>
      </c>
      <c r="O791" s="10" t="str">
        <f t="shared" ref="O791:O854" si="118">IF(D791&lt;&gt;"",1000/(2*D791),"")</f>
        <v/>
      </c>
      <c r="P791" s="39" t="str">
        <f t="shared" ref="P791:P854" si="119">IF($N791&lt;&gt;"",D791*SQRT(E791*E791+F791*F791)/16000,"")</f>
        <v/>
      </c>
      <c r="Q791" s="13" t="str">
        <f t="shared" si="115"/>
        <v/>
      </c>
      <c r="R791" s="13" t="str">
        <f t="shared" ref="R791:R854" si="120">IF(G791&lt;&gt;"",1000/G791,"")</f>
        <v/>
      </c>
      <c r="S791" s="13" t="str">
        <f t="shared" si="116"/>
        <v/>
      </c>
      <c r="T791" s="22" t="str">
        <f>IF(R791&lt;&gt;"",VLOOKUP(P791,Constants!$D$3:$E$10,2),"")</f>
        <v/>
      </c>
    </row>
    <row r="792" spans="12:20" x14ac:dyDescent="0.25">
      <c r="L792" s="10" t="str">
        <f t="shared" si="113"/>
        <v/>
      </c>
      <c r="M792" s="10" t="str">
        <f t="shared" si="114"/>
        <v/>
      </c>
      <c r="N792" s="11" t="str">
        <f t="shared" si="117"/>
        <v/>
      </c>
      <c r="O792" s="10" t="str">
        <f t="shared" si="118"/>
        <v/>
      </c>
      <c r="P792" s="39" t="str">
        <f t="shared" si="119"/>
        <v/>
      </c>
      <c r="Q792" s="13" t="str">
        <f t="shared" si="115"/>
        <v/>
      </c>
      <c r="R792" s="13" t="str">
        <f t="shared" si="120"/>
        <v/>
      </c>
      <c r="S792" s="13" t="str">
        <f t="shared" si="116"/>
        <v/>
      </c>
      <c r="T792" s="22" t="str">
        <f>IF(R792&lt;&gt;"",VLOOKUP(P792,Constants!$D$3:$E$10,2),"")</f>
        <v/>
      </c>
    </row>
    <row r="793" spans="12:20" x14ac:dyDescent="0.25">
      <c r="L793" s="10" t="str">
        <f t="shared" si="113"/>
        <v/>
      </c>
      <c r="M793" s="10" t="str">
        <f t="shared" si="114"/>
        <v/>
      </c>
      <c r="N793" s="11" t="str">
        <f t="shared" si="117"/>
        <v/>
      </c>
      <c r="O793" s="10" t="str">
        <f t="shared" si="118"/>
        <v/>
      </c>
      <c r="P793" s="39" t="str">
        <f t="shared" si="119"/>
        <v/>
      </c>
      <c r="Q793" s="13" t="str">
        <f t="shared" si="115"/>
        <v/>
      </c>
      <c r="R793" s="13" t="str">
        <f t="shared" si="120"/>
        <v/>
      </c>
      <c r="S793" s="13" t="str">
        <f t="shared" si="116"/>
        <v/>
      </c>
      <c r="T793" s="22" t="str">
        <f>IF(R793&lt;&gt;"",VLOOKUP(P793,Constants!$D$3:$E$10,2),"")</f>
        <v/>
      </c>
    </row>
    <row r="794" spans="12:20" x14ac:dyDescent="0.25">
      <c r="L794" s="10" t="str">
        <f t="shared" si="113"/>
        <v/>
      </c>
      <c r="M794" s="10" t="str">
        <f t="shared" si="114"/>
        <v/>
      </c>
      <c r="N794" s="11" t="str">
        <f t="shared" si="117"/>
        <v/>
      </c>
      <c r="O794" s="10" t="str">
        <f t="shared" si="118"/>
        <v/>
      </c>
      <c r="P794" s="39" t="str">
        <f t="shared" si="119"/>
        <v/>
      </c>
      <c r="Q794" s="13" t="str">
        <f t="shared" si="115"/>
        <v/>
      </c>
      <c r="R794" s="13" t="str">
        <f t="shared" si="120"/>
        <v/>
      </c>
      <c r="S794" s="13" t="str">
        <f t="shared" si="116"/>
        <v/>
      </c>
      <c r="T794" s="22" t="str">
        <f>IF(R794&lt;&gt;"",VLOOKUP(P794,Constants!$D$3:$E$10,2),"")</f>
        <v/>
      </c>
    </row>
    <row r="795" spans="12:20" x14ac:dyDescent="0.25">
      <c r="L795" s="10" t="str">
        <f t="shared" si="113"/>
        <v/>
      </c>
      <c r="M795" s="10" t="str">
        <f t="shared" si="114"/>
        <v/>
      </c>
      <c r="N795" s="11" t="str">
        <f t="shared" si="117"/>
        <v/>
      </c>
      <c r="O795" s="10" t="str">
        <f t="shared" si="118"/>
        <v/>
      </c>
      <c r="P795" s="39" t="str">
        <f t="shared" si="119"/>
        <v/>
      </c>
      <c r="Q795" s="13" t="str">
        <f t="shared" si="115"/>
        <v/>
      </c>
      <c r="R795" s="13" t="str">
        <f t="shared" si="120"/>
        <v/>
      </c>
      <c r="S795" s="13" t="str">
        <f t="shared" si="116"/>
        <v/>
      </c>
      <c r="T795" s="22" t="str">
        <f>IF(R795&lt;&gt;"",VLOOKUP(P795,Constants!$D$3:$E$10,2),"")</f>
        <v/>
      </c>
    </row>
    <row r="796" spans="12:20" x14ac:dyDescent="0.25">
      <c r="L796" s="10" t="str">
        <f t="shared" si="113"/>
        <v/>
      </c>
      <c r="M796" s="10" t="str">
        <f t="shared" si="114"/>
        <v/>
      </c>
      <c r="N796" s="11" t="str">
        <f t="shared" si="117"/>
        <v/>
      </c>
      <c r="O796" s="10" t="str">
        <f t="shared" si="118"/>
        <v/>
      </c>
      <c r="P796" s="39" t="str">
        <f t="shared" si="119"/>
        <v/>
      </c>
      <c r="Q796" s="13" t="str">
        <f t="shared" si="115"/>
        <v/>
      </c>
      <c r="R796" s="13" t="str">
        <f t="shared" si="120"/>
        <v/>
      </c>
      <c r="S796" s="13" t="str">
        <f t="shared" si="116"/>
        <v/>
      </c>
      <c r="T796" s="22" t="str">
        <f>IF(R796&lt;&gt;"",VLOOKUP(P796,Constants!$D$3:$E$10,2),"")</f>
        <v/>
      </c>
    </row>
    <row r="797" spans="12:20" x14ac:dyDescent="0.25">
      <c r="L797" s="10" t="str">
        <f t="shared" si="113"/>
        <v/>
      </c>
      <c r="M797" s="10" t="str">
        <f t="shared" si="114"/>
        <v/>
      </c>
      <c r="N797" s="11" t="str">
        <f t="shared" si="117"/>
        <v/>
      </c>
      <c r="O797" s="10" t="str">
        <f t="shared" si="118"/>
        <v/>
      </c>
      <c r="P797" s="39" t="str">
        <f t="shared" si="119"/>
        <v/>
      </c>
      <c r="Q797" s="13" t="str">
        <f t="shared" si="115"/>
        <v/>
      </c>
      <c r="R797" s="13" t="str">
        <f t="shared" si="120"/>
        <v/>
      </c>
      <c r="S797" s="13" t="str">
        <f t="shared" si="116"/>
        <v/>
      </c>
      <c r="T797" s="22" t="str">
        <f>IF(R797&lt;&gt;"",VLOOKUP(P797,Constants!$D$3:$E$10,2),"")</f>
        <v/>
      </c>
    </row>
    <row r="798" spans="12:20" x14ac:dyDescent="0.25">
      <c r="L798" s="10" t="str">
        <f t="shared" si="113"/>
        <v/>
      </c>
      <c r="M798" s="10" t="str">
        <f t="shared" si="114"/>
        <v/>
      </c>
      <c r="N798" s="11" t="str">
        <f t="shared" si="117"/>
        <v/>
      </c>
      <c r="O798" s="10" t="str">
        <f t="shared" si="118"/>
        <v/>
      </c>
      <c r="P798" s="39" t="str">
        <f t="shared" si="119"/>
        <v/>
      </c>
      <c r="Q798" s="13" t="str">
        <f t="shared" si="115"/>
        <v/>
      </c>
      <c r="R798" s="13" t="str">
        <f t="shared" si="120"/>
        <v/>
      </c>
      <c r="S798" s="13" t="str">
        <f t="shared" si="116"/>
        <v/>
      </c>
      <c r="T798" s="22" t="str">
        <f>IF(R798&lt;&gt;"",VLOOKUP(P798,Constants!$D$3:$E$10,2),"")</f>
        <v/>
      </c>
    </row>
    <row r="799" spans="12:20" x14ac:dyDescent="0.25">
      <c r="L799" s="10" t="str">
        <f t="shared" si="113"/>
        <v/>
      </c>
      <c r="M799" s="10" t="str">
        <f t="shared" si="114"/>
        <v/>
      </c>
      <c r="N799" s="11" t="str">
        <f t="shared" si="117"/>
        <v/>
      </c>
      <c r="O799" s="10" t="str">
        <f t="shared" si="118"/>
        <v/>
      </c>
      <c r="P799" s="39" t="str">
        <f t="shared" si="119"/>
        <v/>
      </c>
      <c r="Q799" s="13" t="str">
        <f t="shared" si="115"/>
        <v/>
      </c>
      <c r="R799" s="13" t="str">
        <f t="shared" si="120"/>
        <v/>
      </c>
      <c r="S799" s="13" t="str">
        <f t="shared" si="116"/>
        <v/>
      </c>
      <c r="T799" s="22" t="str">
        <f>IF(R799&lt;&gt;"",VLOOKUP(P799,Constants!$D$3:$E$10,2),"")</f>
        <v/>
      </c>
    </row>
    <row r="800" spans="12:20" x14ac:dyDescent="0.25">
      <c r="L800" s="10" t="str">
        <f t="shared" si="113"/>
        <v/>
      </c>
      <c r="M800" s="10" t="str">
        <f t="shared" si="114"/>
        <v/>
      </c>
      <c r="N800" s="11" t="str">
        <f t="shared" si="117"/>
        <v/>
      </c>
      <c r="O800" s="10" t="str">
        <f t="shared" si="118"/>
        <v/>
      </c>
      <c r="P800" s="39" t="str">
        <f t="shared" si="119"/>
        <v/>
      </c>
      <c r="Q800" s="13" t="str">
        <f t="shared" si="115"/>
        <v/>
      </c>
      <c r="R800" s="13" t="str">
        <f t="shared" si="120"/>
        <v/>
      </c>
      <c r="S800" s="13" t="str">
        <f t="shared" si="116"/>
        <v/>
      </c>
      <c r="T800" s="22" t="str">
        <f>IF(R800&lt;&gt;"",VLOOKUP(P800,Constants!$D$3:$E$10,2),"")</f>
        <v/>
      </c>
    </row>
    <row r="801" spans="12:20" x14ac:dyDescent="0.25">
      <c r="L801" s="10" t="str">
        <f t="shared" si="113"/>
        <v/>
      </c>
      <c r="M801" s="10" t="str">
        <f t="shared" si="114"/>
        <v/>
      </c>
      <c r="N801" s="11" t="str">
        <f t="shared" si="117"/>
        <v/>
      </c>
      <c r="O801" s="10" t="str">
        <f t="shared" si="118"/>
        <v/>
      </c>
      <c r="P801" s="39" t="str">
        <f t="shared" si="119"/>
        <v/>
      </c>
      <c r="Q801" s="13" t="str">
        <f t="shared" si="115"/>
        <v/>
      </c>
      <c r="R801" s="13" t="str">
        <f t="shared" si="120"/>
        <v/>
      </c>
      <c r="S801" s="13" t="str">
        <f t="shared" si="116"/>
        <v/>
      </c>
      <c r="T801" s="22" t="str">
        <f>IF(R801&lt;&gt;"",VLOOKUP(P801,Constants!$D$3:$E$10,2),"")</f>
        <v/>
      </c>
    </row>
    <row r="802" spans="12:20" x14ac:dyDescent="0.25">
      <c r="L802" s="10" t="str">
        <f t="shared" si="113"/>
        <v/>
      </c>
      <c r="M802" s="10" t="str">
        <f t="shared" si="114"/>
        <v/>
      </c>
      <c r="N802" s="11" t="str">
        <f t="shared" si="117"/>
        <v/>
      </c>
      <c r="O802" s="10" t="str">
        <f t="shared" si="118"/>
        <v/>
      </c>
      <c r="P802" s="39" t="str">
        <f t="shared" si="119"/>
        <v/>
      </c>
      <c r="Q802" s="13" t="str">
        <f t="shared" si="115"/>
        <v/>
      </c>
      <c r="R802" s="13" t="str">
        <f t="shared" si="120"/>
        <v/>
      </c>
      <c r="S802" s="13" t="str">
        <f t="shared" si="116"/>
        <v/>
      </c>
      <c r="T802" s="22" t="str">
        <f>IF(R802&lt;&gt;"",VLOOKUP(P802,Constants!$D$3:$E$10,2),"")</f>
        <v/>
      </c>
    </row>
    <row r="803" spans="12:20" x14ac:dyDescent="0.25">
      <c r="L803" s="10" t="str">
        <f t="shared" si="113"/>
        <v/>
      </c>
      <c r="M803" s="10" t="str">
        <f t="shared" si="114"/>
        <v/>
      </c>
      <c r="N803" s="11" t="str">
        <f t="shared" si="117"/>
        <v/>
      </c>
      <c r="O803" s="10" t="str">
        <f t="shared" si="118"/>
        <v/>
      </c>
      <c r="P803" s="39" t="str">
        <f t="shared" si="119"/>
        <v/>
      </c>
      <c r="Q803" s="13" t="str">
        <f t="shared" si="115"/>
        <v/>
      </c>
      <c r="R803" s="13" t="str">
        <f t="shared" si="120"/>
        <v/>
      </c>
      <c r="S803" s="13" t="str">
        <f t="shared" si="116"/>
        <v/>
      </c>
      <c r="T803" s="22" t="str">
        <f>IF(R803&lt;&gt;"",VLOOKUP(P803,Constants!$D$3:$E$10,2),"")</f>
        <v/>
      </c>
    </row>
    <row r="804" spans="12:20" x14ac:dyDescent="0.25">
      <c r="L804" s="10" t="str">
        <f t="shared" si="113"/>
        <v/>
      </c>
      <c r="M804" s="10" t="str">
        <f t="shared" si="114"/>
        <v/>
      </c>
      <c r="N804" s="11" t="str">
        <f t="shared" si="117"/>
        <v/>
      </c>
      <c r="O804" s="10" t="str">
        <f t="shared" si="118"/>
        <v/>
      </c>
      <c r="P804" s="39" t="str">
        <f t="shared" si="119"/>
        <v/>
      </c>
      <c r="Q804" s="13" t="str">
        <f t="shared" si="115"/>
        <v/>
      </c>
      <c r="R804" s="13" t="str">
        <f t="shared" si="120"/>
        <v/>
      </c>
      <c r="S804" s="13" t="str">
        <f t="shared" si="116"/>
        <v/>
      </c>
      <c r="T804" s="22" t="str">
        <f>IF(R804&lt;&gt;"",VLOOKUP(P804,Constants!$D$3:$E$10,2),"")</f>
        <v/>
      </c>
    </row>
    <row r="805" spans="12:20" x14ac:dyDescent="0.25">
      <c r="L805" s="10" t="str">
        <f t="shared" si="113"/>
        <v/>
      </c>
      <c r="M805" s="10" t="str">
        <f t="shared" si="114"/>
        <v/>
      </c>
      <c r="N805" s="11" t="str">
        <f t="shared" si="117"/>
        <v/>
      </c>
      <c r="O805" s="10" t="str">
        <f t="shared" si="118"/>
        <v/>
      </c>
      <c r="P805" s="39" t="str">
        <f t="shared" si="119"/>
        <v/>
      </c>
      <c r="Q805" s="13" t="str">
        <f t="shared" si="115"/>
        <v/>
      </c>
      <c r="R805" s="13" t="str">
        <f t="shared" si="120"/>
        <v/>
      </c>
      <c r="S805" s="13" t="str">
        <f t="shared" si="116"/>
        <v/>
      </c>
      <c r="T805" s="22" t="str">
        <f>IF(R805&lt;&gt;"",VLOOKUP(P805,Constants!$D$3:$E$10,2),"")</f>
        <v/>
      </c>
    </row>
    <row r="806" spans="12:20" x14ac:dyDescent="0.25">
      <c r="L806" s="10" t="str">
        <f t="shared" si="113"/>
        <v/>
      </c>
      <c r="M806" s="10" t="str">
        <f t="shared" si="114"/>
        <v/>
      </c>
      <c r="N806" s="11" t="str">
        <f t="shared" si="117"/>
        <v/>
      </c>
      <c r="O806" s="10" t="str">
        <f t="shared" si="118"/>
        <v/>
      </c>
      <c r="P806" s="39" t="str">
        <f t="shared" si="119"/>
        <v/>
      </c>
      <c r="Q806" s="13" t="str">
        <f t="shared" si="115"/>
        <v/>
      </c>
      <c r="R806" s="13" t="str">
        <f t="shared" si="120"/>
        <v/>
      </c>
      <c r="S806" s="13" t="str">
        <f t="shared" si="116"/>
        <v/>
      </c>
      <c r="T806" s="22" t="str">
        <f>IF(R806&lt;&gt;"",VLOOKUP(P806,Constants!$D$3:$E$10,2),"")</f>
        <v/>
      </c>
    </row>
    <row r="807" spans="12:20" x14ac:dyDescent="0.25">
      <c r="L807" s="10" t="str">
        <f t="shared" si="113"/>
        <v/>
      </c>
      <c r="M807" s="10" t="str">
        <f t="shared" si="114"/>
        <v/>
      </c>
      <c r="N807" s="11" t="str">
        <f t="shared" si="117"/>
        <v/>
      </c>
      <c r="O807" s="10" t="str">
        <f t="shared" si="118"/>
        <v/>
      </c>
      <c r="P807" s="39" t="str">
        <f t="shared" si="119"/>
        <v/>
      </c>
      <c r="Q807" s="13" t="str">
        <f t="shared" si="115"/>
        <v/>
      </c>
      <c r="R807" s="13" t="str">
        <f t="shared" si="120"/>
        <v/>
      </c>
      <c r="S807" s="13" t="str">
        <f t="shared" si="116"/>
        <v/>
      </c>
      <c r="T807" s="22" t="str">
        <f>IF(R807&lt;&gt;"",VLOOKUP(P807,Constants!$D$3:$E$10,2),"")</f>
        <v/>
      </c>
    </row>
    <row r="808" spans="12:20" x14ac:dyDescent="0.25">
      <c r="L808" s="10" t="str">
        <f t="shared" si="113"/>
        <v/>
      </c>
      <c r="M808" s="10" t="str">
        <f t="shared" si="114"/>
        <v/>
      </c>
      <c r="N808" s="11" t="str">
        <f t="shared" si="117"/>
        <v/>
      </c>
      <c r="O808" s="10" t="str">
        <f t="shared" si="118"/>
        <v/>
      </c>
      <c r="P808" s="39" t="str">
        <f t="shared" si="119"/>
        <v/>
      </c>
      <c r="Q808" s="13" t="str">
        <f t="shared" si="115"/>
        <v/>
      </c>
      <c r="R808" s="13" t="str">
        <f t="shared" si="120"/>
        <v/>
      </c>
      <c r="S808" s="13" t="str">
        <f t="shared" si="116"/>
        <v/>
      </c>
      <c r="T808" s="22" t="str">
        <f>IF(R808&lt;&gt;"",VLOOKUP(P808,Constants!$D$3:$E$10,2),"")</f>
        <v/>
      </c>
    </row>
    <row r="809" spans="12:20" x14ac:dyDescent="0.25">
      <c r="L809" s="10" t="str">
        <f t="shared" si="113"/>
        <v/>
      </c>
      <c r="M809" s="10" t="str">
        <f t="shared" si="114"/>
        <v/>
      </c>
      <c r="N809" s="11" t="str">
        <f t="shared" si="117"/>
        <v/>
      </c>
      <c r="O809" s="10" t="str">
        <f t="shared" si="118"/>
        <v/>
      </c>
      <c r="P809" s="39" t="str">
        <f t="shared" si="119"/>
        <v/>
      </c>
      <c r="Q809" s="13" t="str">
        <f t="shared" si="115"/>
        <v/>
      </c>
      <c r="R809" s="13" t="str">
        <f t="shared" si="120"/>
        <v/>
      </c>
      <c r="S809" s="13" t="str">
        <f t="shared" si="116"/>
        <v/>
      </c>
      <c r="T809" s="22" t="str">
        <f>IF(R809&lt;&gt;"",VLOOKUP(P809,Constants!$D$3:$E$10,2),"")</f>
        <v/>
      </c>
    </row>
    <row r="810" spans="12:20" x14ac:dyDescent="0.25">
      <c r="L810" s="10" t="str">
        <f t="shared" si="113"/>
        <v/>
      </c>
      <c r="M810" s="10" t="str">
        <f t="shared" si="114"/>
        <v/>
      </c>
      <c r="N810" s="11" t="str">
        <f t="shared" si="117"/>
        <v/>
      </c>
      <c r="O810" s="10" t="str">
        <f t="shared" si="118"/>
        <v/>
      </c>
      <c r="P810" s="39" t="str">
        <f t="shared" si="119"/>
        <v/>
      </c>
      <c r="Q810" s="13" t="str">
        <f t="shared" si="115"/>
        <v/>
      </c>
      <c r="R810" s="13" t="str">
        <f t="shared" si="120"/>
        <v/>
      </c>
      <c r="S810" s="13" t="str">
        <f t="shared" si="116"/>
        <v/>
      </c>
      <c r="T810" s="22" t="str">
        <f>IF(R810&lt;&gt;"",VLOOKUP(P810,Constants!$D$3:$E$10,2),"")</f>
        <v/>
      </c>
    </row>
    <row r="811" spans="12:20" x14ac:dyDescent="0.25">
      <c r="L811" s="10" t="str">
        <f t="shared" si="113"/>
        <v/>
      </c>
      <c r="M811" s="10" t="str">
        <f t="shared" si="114"/>
        <v/>
      </c>
      <c r="N811" s="11" t="str">
        <f t="shared" si="117"/>
        <v/>
      </c>
      <c r="O811" s="10" t="str">
        <f t="shared" si="118"/>
        <v/>
      </c>
      <c r="P811" s="39" t="str">
        <f t="shared" si="119"/>
        <v/>
      </c>
      <c r="Q811" s="13" t="str">
        <f t="shared" si="115"/>
        <v/>
      </c>
      <c r="R811" s="13" t="str">
        <f t="shared" si="120"/>
        <v/>
      </c>
      <c r="S811" s="13" t="str">
        <f t="shared" si="116"/>
        <v/>
      </c>
      <c r="T811" s="22" t="str">
        <f>IF(R811&lt;&gt;"",VLOOKUP(P811,Constants!$D$3:$E$10,2),"")</f>
        <v/>
      </c>
    </row>
    <row r="812" spans="12:20" x14ac:dyDescent="0.25">
      <c r="L812" s="10" t="str">
        <f t="shared" si="113"/>
        <v/>
      </c>
      <c r="M812" s="10" t="str">
        <f t="shared" si="114"/>
        <v/>
      </c>
      <c r="N812" s="11" t="str">
        <f t="shared" si="117"/>
        <v/>
      </c>
      <c r="O812" s="10" t="str">
        <f t="shared" si="118"/>
        <v/>
      </c>
      <c r="P812" s="39" t="str">
        <f t="shared" si="119"/>
        <v/>
      </c>
      <c r="Q812" s="13" t="str">
        <f t="shared" si="115"/>
        <v/>
      </c>
      <c r="R812" s="13" t="str">
        <f t="shared" si="120"/>
        <v/>
      </c>
      <c r="S812" s="13" t="str">
        <f t="shared" si="116"/>
        <v/>
      </c>
      <c r="T812" s="22" t="str">
        <f>IF(R812&lt;&gt;"",VLOOKUP(P812,Constants!$D$3:$E$10,2),"")</f>
        <v/>
      </c>
    </row>
    <row r="813" spans="12:20" x14ac:dyDescent="0.25">
      <c r="L813" s="10" t="str">
        <f t="shared" si="113"/>
        <v/>
      </c>
      <c r="M813" s="10" t="str">
        <f t="shared" si="114"/>
        <v/>
      </c>
      <c r="N813" s="11" t="str">
        <f t="shared" si="117"/>
        <v/>
      </c>
      <c r="O813" s="10" t="str">
        <f t="shared" si="118"/>
        <v/>
      </c>
      <c r="P813" s="39" t="str">
        <f t="shared" si="119"/>
        <v/>
      </c>
      <c r="Q813" s="13" t="str">
        <f t="shared" si="115"/>
        <v/>
      </c>
      <c r="R813" s="13" t="str">
        <f t="shared" si="120"/>
        <v/>
      </c>
      <c r="S813" s="13" t="str">
        <f t="shared" si="116"/>
        <v/>
      </c>
      <c r="T813" s="22" t="str">
        <f>IF(R813&lt;&gt;"",VLOOKUP(P813,Constants!$D$3:$E$10,2),"")</f>
        <v/>
      </c>
    </row>
    <row r="814" spans="12:20" x14ac:dyDescent="0.25">
      <c r="L814" s="10" t="str">
        <f t="shared" si="113"/>
        <v/>
      </c>
      <c r="M814" s="10" t="str">
        <f t="shared" si="114"/>
        <v/>
      </c>
      <c r="N814" s="11" t="str">
        <f t="shared" si="117"/>
        <v/>
      </c>
      <c r="O814" s="10" t="str">
        <f t="shared" si="118"/>
        <v/>
      </c>
      <c r="P814" s="39" t="str">
        <f t="shared" si="119"/>
        <v/>
      </c>
      <c r="Q814" s="13" t="str">
        <f t="shared" si="115"/>
        <v/>
      </c>
      <c r="R814" s="13" t="str">
        <f t="shared" si="120"/>
        <v/>
      </c>
      <c r="S814" s="13" t="str">
        <f t="shared" si="116"/>
        <v/>
      </c>
      <c r="T814" s="22" t="str">
        <f>IF(R814&lt;&gt;"",VLOOKUP(P814,Constants!$D$3:$E$10,2),"")</f>
        <v/>
      </c>
    </row>
    <row r="815" spans="12:20" x14ac:dyDescent="0.25">
      <c r="L815" s="10" t="str">
        <f t="shared" si="113"/>
        <v/>
      </c>
      <c r="M815" s="10" t="str">
        <f t="shared" si="114"/>
        <v/>
      </c>
      <c r="N815" s="11" t="str">
        <f t="shared" si="117"/>
        <v/>
      </c>
      <c r="O815" s="10" t="str">
        <f t="shared" si="118"/>
        <v/>
      </c>
      <c r="P815" s="39" t="str">
        <f t="shared" si="119"/>
        <v/>
      </c>
      <c r="Q815" s="13" t="str">
        <f t="shared" si="115"/>
        <v/>
      </c>
      <c r="R815" s="13" t="str">
        <f t="shared" si="120"/>
        <v/>
      </c>
      <c r="S815" s="13" t="str">
        <f t="shared" si="116"/>
        <v/>
      </c>
      <c r="T815" s="22" t="str">
        <f>IF(R815&lt;&gt;"",VLOOKUP(P815,Constants!$D$3:$E$10,2),"")</f>
        <v/>
      </c>
    </row>
    <row r="816" spans="12:20" x14ac:dyDescent="0.25">
      <c r="L816" s="10" t="str">
        <f t="shared" si="113"/>
        <v/>
      </c>
      <c r="M816" s="10" t="str">
        <f t="shared" si="114"/>
        <v/>
      </c>
      <c r="N816" s="11" t="str">
        <f t="shared" si="117"/>
        <v/>
      </c>
      <c r="O816" s="10" t="str">
        <f t="shared" si="118"/>
        <v/>
      </c>
      <c r="P816" s="39" t="str">
        <f t="shared" si="119"/>
        <v/>
      </c>
      <c r="Q816" s="13" t="str">
        <f t="shared" si="115"/>
        <v/>
      </c>
      <c r="R816" s="13" t="str">
        <f t="shared" si="120"/>
        <v/>
      </c>
      <c r="S816" s="13" t="str">
        <f t="shared" si="116"/>
        <v/>
      </c>
      <c r="T816" s="22" t="str">
        <f>IF(R816&lt;&gt;"",VLOOKUP(P816,Constants!$D$3:$E$10,2),"")</f>
        <v/>
      </c>
    </row>
    <row r="817" spans="12:20" x14ac:dyDescent="0.25">
      <c r="L817" s="10" t="str">
        <f t="shared" si="113"/>
        <v/>
      </c>
      <c r="M817" s="10" t="str">
        <f t="shared" si="114"/>
        <v/>
      </c>
      <c r="N817" s="11" t="str">
        <f t="shared" si="117"/>
        <v/>
      </c>
      <c r="O817" s="10" t="str">
        <f t="shared" si="118"/>
        <v/>
      </c>
      <c r="P817" s="39" t="str">
        <f t="shared" si="119"/>
        <v/>
      </c>
      <c r="Q817" s="13" t="str">
        <f t="shared" si="115"/>
        <v/>
      </c>
      <c r="R817" s="13" t="str">
        <f t="shared" si="120"/>
        <v/>
      </c>
      <c r="S817" s="13" t="str">
        <f t="shared" si="116"/>
        <v/>
      </c>
      <c r="T817" s="22" t="str">
        <f>IF(R817&lt;&gt;"",VLOOKUP(P817,Constants!$D$3:$E$10,2),"")</f>
        <v/>
      </c>
    </row>
    <row r="818" spans="12:20" x14ac:dyDescent="0.25">
      <c r="L818" s="10" t="str">
        <f t="shared" si="113"/>
        <v/>
      </c>
      <c r="M818" s="10" t="str">
        <f t="shared" si="114"/>
        <v/>
      </c>
      <c r="N818" s="11" t="str">
        <f t="shared" si="117"/>
        <v/>
      </c>
      <c r="O818" s="10" t="str">
        <f t="shared" si="118"/>
        <v/>
      </c>
      <c r="P818" s="39" t="str">
        <f t="shared" si="119"/>
        <v/>
      </c>
      <c r="Q818" s="13" t="str">
        <f t="shared" si="115"/>
        <v/>
      </c>
      <c r="R818" s="13" t="str">
        <f t="shared" si="120"/>
        <v/>
      </c>
      <c r="S818" s="13" t="str">
        <f t="shared" si="116"/>
        <v/>
      </c>
      <c r="T818" s="22" t="str">
        <f>IF(R818&lt;&gt;"",VLOOKUP(P818,Constants!$D$3:$E$10,2),"")</f>
        <v/>
      </c>
    </row>
    <row r="819" spans="12:20" x14ac:dyDescent="0.25">
      <c r="L819" s="10" t="str">
        <f t="shared" si="113"/>
        <v/>
      </c>
      <c r="M819" s="10" t="str">
        <f t="shared" si="114"/>
        <v/>
      </c>
      <c r="N819" s="11" t="str">
        <f t="shared" si="117"/>
        <v/>
      </c>
      <c r="O819" s="10" t="str">
        <f t="shared" si="118"/>
        <v/>
      </c>
      <c r="P819" s="39" t="str">
        <f t="shared" si="119"/>
        <v/>
      </c>
      <c r="Q819" s="13" t="str">
        <f t="shared" si="115"/>
        <v/>
      </c>
      <c r="R819" s="13" t="str">
        <f t="shared" si="120"/>
        <v/>
      </c>
      <c r="S819" s="13" t="str">
        <f t="shared" si="116"/>
        <v/>
      </c>
      <c r="T819" s="22" t="str">
        <f>IF(R819&lt;&gt;"",VLOOKUP(P819,Constants!$D$3:$E$10,2),"")</f>
        <v/>
      </c>
    </row>
    <row r="820" spans="12:20" x14ac:dyDescent="0.25">
      <c r="L820" s="10" t="str">
        <f t="shared" si="113"/>
        <v/>
      </c>
      <c r="M820" s="10" t="str">
        <f t="shared" si="114"/>
        <v/>
      </c>
      <c r="N820" s="11" t="str">
        <f t="shared" si="117"/>
        <v/>
      </c>
      <c r="O820" s="10" t="str">
        <f t="shared" si="118"/>
        <v/>
      </c>
      <c r="P820" s="39" t="str">
        <f t="shared" si="119"/>
        <v/>
      </c>
      <c r="Q820" s="13" t="str">
        <f t="shared" si="115"/>
        <v/>
      </c>
      <c r="R820" s="13" t="str">
        <f t="shared" si="120"/>
        <v/>
      </c>
      <c r="S820" s="13" t="str">
        <f t="shared" si="116"/>
        <v/>
      </c>
      <c r="T820" s="22" t="str">
        <f>IF(R820&lt;&gt;"",VLOOKUP(P820,Constants!$D$3:$E$10,2),"")</f>
        <v/>
      </c>
    </row>
    <row r="821" spans="12:20" x14ac:dyDescent="0.25">
      <c r="L821" s="10" t="str">
        <f t="shared" si="113"/>
        <v/>
      </c>
      <c r="M821" s="10" t="str">
        <f t="shared" si="114"/>
        <v/>
      </c>
      <c r="N821" s="11" t="str">
        <f t="shared" si="117"/>
        <v/>
      </c>
      <c r="O821" s="10" t="str">
        <f t="shared" si="118"/>
        <v/>
      </c>
      <c r="P821" s="39" t="str">
        <f t="shared" si="119"/>
        <v/>
      </c>
      <c r="Q821" s="13" t="str">
        <f t="shared" si="115"/>
        <v/>
      </c>
      <c r="R821" s="13" t="str">
        <f t="shared" si="120"/>
        <v/>
      </c>
      <c r="S821" s="13" t="str">
        <f t="shared" si="116"/>
        <v/>
      </c>
      <c r="T821" s="22" t="str">
        <f>IF(R821&lt;&gt;"",VLOOKUP(P821,Constants!$D$3:$E$10,2),"")</f>
        <v/>
      </c>
    </row>
    <row r="822" spans="12:20" x14ac:dyDescent="0.25">
      <c r="L822" s="10" t="str">
        <f t="shared" si="113"/>
        <v/>
      </c>
      <c r="M822" s="10" t="str">
        <f t="shared" si="114"/>
        <v/>
      </c>
      <c r="N822" s="11" t="str">
        <f t="shared" si="117"/>
        <v/>
      </c>
      <c r="O822" s="10" t="str">
        <f t="shared" si="118"/>
        <v/>
      </c>
      <c r="P822" s="39" t="str">
        <f t="shared" si="119"/>
        <v/>
      </c>
      <c r="Q822" s="13" t="str">
        <f t="shared" si="115"/>
        <v/>
      </c>
      <c r="R822" s="13" t="str">
        <f t="shared" si="120"/>
        <v/>
      </c>
      <c r="S822" s="13" t="str">
        <f t="shared" si="116"/>
        <v/>
      </c>
      <c r="T822" s="22" t="str">
        <f>IF(R822&lt;&gt;"",VLOOKUP(P822,Constants!$D$3:$E$10,2),"")</f>
        <v/>
      </c>
    </row>
    <row r="823" spans="12:20" x14ac:dyDescent="0.25">
      <c r="L823" s="10" t="str">
        <f t="shared" si="113"/>
        <v/>
      </c>
      <c r="M823" s="10" t="str">
        <f t="shared" si="114"/>
        <v/>
      </c>
      <c r="N823" s="11" t="str">
        <f t="shared" si="117"/>
        <v/>
      </c>
      <c r="O823" s="10" t="str">
        <f t="shared" si="118"/>
        <v/>
      </c>
      <c r="P823" s="39" t="str">
        <f t="shared" si="119"/>
        <v/>
      </c>
      <c r="Q823" s="13" t="str">
        <f t="shared" si="115"/>
        <v/>
      </c>
      <c r="R823" s="13" t="str">
        <f t="shared" si="120"/>
        <v/>
      </c>
      <c r="S823" s="13" t="str">
        <f t="shared" si="116"/>
        <v/>
      </c>
      <c r="T823" s="22" t="str">
        <f>IF(R823&lt;&gt;"",VLOOKUP(P823,Constants!$D$3:$E$10,2),"")</f>
        <v/>
      </c>
    </row>
    <row r="824" spans="12:20" x14ac:dyDescent="0.25">
      <c r="L824" s="10" t="str">
        <f t="shared" si="113"/>
        <v/>
      </c>
      <c r="M824" s="10" t="str">
        <f t="shared" si="114"/>
        <v/>
      </c>
      <c r="N824" s="11" t="str">
        <f t="shared" si="117"/>
        <v/>
      </c>
      <c r="O824" s="10" t="str">
        <f t="shared" si="118"/>
        <v/>
      </c>
      <c r="P824" s="39" t="str">
        <f t="shared" si="119"/>
        <v/>
      </c>
      <c r="Q824" s="13" t="str">
        <f t="shared" si="115"/>
        <v/>
      </c>
      <c r="R824" s="13" t="str">
        <f t="shared" si="120"/>
        <v/>
      </c>
      <c r="S824" s="13" t="str">
        <f t="shared" si="116"/>
        <v/>
      </c>
      <c r="T824" s="22" t="str">
        <f>IF(R824&lt;&gt;"",VLOOKUP(P824,Constants!$D$3:$E$10,2),"")</f>
        <v/>
      </c>
    </row>
    <row r="825" spans="12:20" x14ac:dyDescent="0.25">
      <c r="L825" s="10" t="str">
        <f t="shared" si="113"/>
        <v/>
      </c>
      <c r="M825" s="10" t="str">
        <f t="shared" si="114"/>
        <v/>
      </c>
      <c r="N825" s="11" t="str">
        <f t="shared" si="117"/>
        <v/>
      </c>
      <c r="O825" s="10" t="str">
        <f t="shared" si="118"/>
        <v/>
      </c>
      <c r="P825" s="39" t="str">
        <f t="shared" si="119"/>
        <v/>
      </c>
      <c r="Q825" s="13" t="str">
        <f t="shared" si="115"/>
        <v/>
      </c>
      <c r="R825" s="13" t="str">
        <f t="shared" si="120"/>
        <v/>
      </c>
      <c r="S825" s="13" t="str">
        <f t="shared" si="116"/>
        <v/>
      </c>
      <c r="T825" s="22" t="str">
        <f>IF(R825&lt;&gt;"",VLOOKUP(P825,Constants!$D$3:$E$10,2),"")</f>
        <v/>
      </c>
    </row>
    <row r="826" spans="12:20" x14ac:dyDescent="0.25">
      <c r="L826" s="10" t="str">
        <f t="shared" si="113"/>
        <v/>
      </c>
      <c r="M826" s="10" t="str">
        <f t="shared" si="114"/>
        <v/>
      </c>
      <c r="N826" s="11" t="str">
        <f t="shared" si="117"/>
        <v/>
      </c>
      <c r="O826" s="10" t="str">
        <f t="shared" si="118"/>
        <v/>
      </c>
      <c r="P826" s="39" t="str">
        <f t="shared" si="119"/>
        <v/>
      </c>
      <c r="Q826" s="13" t="str">
        <f t="shared" si="115"/>
        <v/>
      </c>
      <c r="R826" s="13" t="str">
        <f t="shared" si="120"/>
        <v/>
      </c>
      <c r="S826" s="13" t="str">
        <f t="shared" si="116"/>
        <v/>
      </c>
      <c r="T826" s="22" t="str">
        <f>IF(R826&lt;&gt;"",VLOOKUP(P826,Constants!$D$3:$E$10,2),"")</f>
        <v/>
      </c>
    </row>
    <row r="827" spans="12:20" x14ac:dyDescent="0.25">
      <c r="L827" s="10" t="str">
        <f t="shared" si="113"/>
        <v/>
      </c>
      <c r="M827" s="10" t="str">
        <f t="shared" si="114"/>
        <v/>
      </c>
      <c r="N827" s="11" t="str">
        <f t="shared" si="117"/>
        <v/>
      </c>
      <c r="O827" s="10" t="str">
        <f t="shared" si="118"/>
        <v/>
      </c>
      <c r="P827" s="39" t="str">
        <f t="shared" si="119"/>
        <v/>
      </c>
      <c r="Q827" s="13" t="str">
        <f t="shared" si="115"/>
        <v/>
      </c>
      <c r="R827" s="13" t="str">
        <f t="shared" si="120"/>
        <v/>
      </c>
      <c r="S827" s="13" t="str">
        <f t="shared" si="116"/>
        <v/>
      </c>
      <c r="T827" s="22" t="str">
        <f>IF(R827&lt;&gt;"",VLOOKUP(P827,Constants!$D$3:$E$10,2),"")</f>
        <v/>
      </c>
    </row>
    <row r="828" spans="12:20" x14ac:dyDescent="0.25">
      <c r="L828" s="10" t="str">
        <f t="shared" si="113"/>
        <v/>
      </c>
      <c r="M828" s="10" t="str">
        <f t="shared" si="114"/>
        <v/>
      </c>
      <c r="N828" s="11" t="str">
        <f t="shared" si="117"/>
        <v/>
      </c>
      <c r="O828" s="10" t="str">
        <f t="shared" si="118"/>
        <v/>
      </c>
      <c r="P828" s="39" t="str">
        <f t="shared" si="119"/>
        <v/>
      </c>
      <c r="Q828" s="13" t="str">
        <f t="shared" si="115"/>
        <v/>
      </c>
      <c r="R828" s="13" t="str">
        <f t="shared" si="120"/>
        <v/>
      </c>
      <c r="S828" s="13" t="str">
        <f t="shared" si="116"/>
        <v/>
      </c>
      <c r="T828" s="22" t="str">
        <f>IF(R828&lt;&gt;"",VLOOKUP(P828,Constants!$D$3:$E$10,2),"")</f>
        <v/>
      </c>
    </row>
    <row r="829" spans="12:20" x14ac:dyDescent="0.25">
      <c r="L829" s="10" t="str">
        <f t="shared" si="113"/>
        <v/>
      </c>
      <c r="M829" s="10" t="str">
        <f t="shared" si="114"/>
        <v/>
      </c>
      <c r="N829" s="11" t="str">
        <f t="shared" si="117"/>
        <v/>
      </c>
      <c r="O829" s="10" t="str">
        <f t="shared" si="118"/>
        <v/>
      </c>
      <c r="P829" s="39" t="str">
        <f t="shared" si="119"/>
        <v/>
      </c>
      <c r="Q829" s="13" t="str">
        <f t="shared" si="115"/>
        <v/>
      </c>
      <c r="R829" s="13" t="str">
        <f t="shared" si="120"/>
        <v/>
      </c>
      <c r="S829" s="13" t="str">
        <f t="shared" si="116"/>
        <v/>
      </c>
      <c r="T829" s="22" t="str">
        <f>IF(R829&lt;&gt;"",VLOOKUP(P829,Constants!$D$3:$E$10,2),"")</f>
        <v/>
      </c>
    </row>
    <row r="830" spans="12:20" x14ac:dyDescent="0.25">
      <c r="L830" s="10" t="str">
        <f t="shared" si="113"/>
        <v/>
      </c>
      <c r="M830" s="10" t="str">
        <f t="shared" si="114"/>
        <v/>
      </c>
      <c r="N830" s="11" t="str">
        <f t="shared" si="117"/>
        <v/>
      </c>
      <c r="O830" s="10" t="str">
        <f t="shared" si="118"/>
        <v/>
      </c>
      <c r="P830" s="39" t="str">
        <f t="shared" si="119"/>
        <v/>
      </c>
      <c r="Q830" s="13" t="str">
        <f t="shared" si="115"/>
        <v/>
      </c>
      <c r="R830" s="13" t="str">
        <f t="shared" si="120"/>
        <v/>
      </c>
      <c r="S830" s="13" t="str">
        <f t="shared" si="116"/>
        <v/>
      </c>
      <c r="T830" s="22" t="str">
        <f>IF(R830&lt;&gt;"",VLOOKUP(P830,Constants!$D$3:$E$10,2),"")</f>
        <v/>
      </c>
    </row>
    <row r="831" spans="12:20" x14ac:dyDescent="0.25">
      <c r="L831" s="10" t="str">
        <f t="shared" si="113"/>
        <v/>
      </c>
      <c r="M831" s="10" t="str">
        <f t="shared" si="114"/>
        <v/>
      </c>
      <c r="N831" s="11" t="str">
        <f t="shared" si="117"/>
        <v/>
      </c>
      <c r="O831" s="10" t="str">
        <f t="shared" si="118"/>
        <v/>
      </c>
      <c r="P831" s="39" t="str">
        <f t="shared" si="119"/>
        <v/>
      </c>
      <c r="Q831" s="13" t="str">
        <f t="shared" si="115"/>
        <v/>
      </c>
      <c r="R831" s="13" t="str">
        <f t="shared" si="120"/>
        <v/>
      </c>
      <c r="S831" s="13" t="str">
        <f t="shared" si="116"/>
        <v/>
      </c>
      <c r="T831" s="22" t="str">
        <f>IF(R831&lt;&gt;"",VLOOKUP(P831,Constants!$D$3:$E$10,2),"")</f>
        <v/>
      </c>
    </row>
    <row r="832" spans="12:20" x14ac:dyDescent="0.25">
      <c r="L832" s="10" t="str">
        <f t="shared" si="113"/>
        <v/>
      </c>
      <c r="M832" s="10" t="str">
        <f t="shared" si="114"/>
        <v/>
      </c>
      <c r="N832" s="11" t="str">
        <f t="shared" si="117"/>
        <v/>
      </c>
      <c r="O832" s="10" t="str">
        <f t="shared" si="118"/>
        <v/>
      </c>
      <c r="P832" s="39" t="str">
        <f t="shared" si="119"/>
        <v/>
      </c>
      <c r="Q832" s="13" t="str">
        <f t="shared" si="115"/>
        <v/>
      </c>
      <c r="R832" s="13" t="str">
        <f t="shared" si="120"/>
        <v/>
      </c>
      <c r="S832" s="13" t="str">
        <f t="shared" si="116"/>
        <v/>
      </c>
      <c r="T832" s="22" t="str">
        <f>IF(R832&lt;&gt;"",VLOOKUP(P832,Constants!$D$3:$E$10,2),"")</f>
        <v/>
      </c>
    </row>
    <row r="833" spans="12:20" x14ac:dyDescent="0.25">
      <c r="L833" s="10" t="str">
        <f t="shared" si="113"/>
        <v/>
      </c>
      <c r="M833" s="10" t="str">
        <f t="shared" si="114"/>
        <v/>
      </c>
      <c r="N833" s="11" t="str">
        <f t="shared" si="117"/>
        <v/>
      </c>
      <c r="O833" s="10" t="str">
        <f t="shared" si="118"/>
        <v/>
      </c>
      <c r="P833" s="39" t="str">
        <f t="shared" si="119"/>
        <v/>
      </c>
      <c r="Q833" s="13" t="str">
        <f t="shared" si="115"/>
        <v/>
      </c>
      <c r="R833" s="13" t="str">
        <f t="shared" si="120"/>
        <v/>
      </c>
      <c r="S833" s="13" t="str">
        <f t="shared" si="116"/>
        <v/>
      </c>
      <c r="T833" s="22" t="str">
        <f>IF(R833&lt;&gt;"",VLOOKUP(P833,Constants!$D$3:$E$10,2),"")</f>
        <v/>
      </c>
    </row>
    <row r="834" spans="12:20" x14ac:dyDescent="0.25">
      <c r="L834" s="10" t="str">
        <f t="shared" si="113"/>
        <v/>
      </c>
      <c r="M834" s="10" t="str">
        <f t="shared" si="114"/>
        <v/>
      </c>
      <c r="N834" s="11" t="str">
        <f t="shared" si="117"/>
        <v/>
      </c>
      <c r="O834" s="10" t="str">
        <f t="shared" si="118"/>
        <v/>
      </c>
      <c r="P834" s="39" t="str">
        <f t="shared" si="119"/>
        <v/>
      </c>
      <c r="Q834" s="13" t="str">
        <f t="shared" si="115"/>
        <v/>
      </c>
      <c r="R834" s="13" t="str">
        <f t="shared" si="120"/>
        <v/>
      </c>
      <c r="S834" s="13" t="str">
        <f t="shared" si="116"/>
        <v/>
      </c>
      <c r="T834" s="22" t="str">
        <f>IF(R834&lt;&gt;"",VLOOKUP(P834,Constants!$D$3:$E$10,2),"")</f>
        <v/>
      </c>
    </row>
    <row r="835" spans="12:20" x14ac:dyDescent="0.25">
      <c r="L835" s="10" t="str">
        <f t="shared" si="113"/>
        <v/>
      </c>
      <c r="M835" s="10" t="str">
        <f t="shared" si="114"/>
        <v/>
      </c>
      <c r="N835" s="11" t="str">
        <f t="shared" si="117"/>
        <v/>
      </c>
      <c r="O835" s="10" t="str">
        <f t="shared" si="118"/>
        <v/>
      </c>
      <c r="P835" s="39" t="str">
        <f t="shared" si="119"/>
        <v/>
      </c>
      <c r="Q835" s="13" t="str">
        <f t="shared" si="115"/>
        <v/>
      </c>
      <c r="R835" s="13" t="str">
        <f t="shared" si="120"/>
        <v/>
      </c>
      <c r="S835" s="13" t="str">
        <f t="shared" si="116"/>
        <v/>
      </c>
      <c r="T835" s="22" t="str">
        <f>IF(R835&lt;&gt;"",VLOOKUP(P835,Constants!$D$3:$E$10,2),"")</f>
        <v/>
      </c>
    </row>
    <row r="836" spans="12:20" x14ac:dyDescent="0.25">
      <c r="L836" s="10" t="str">
        <f t="shared" si="113"/>
        <v/>
      </c>
      <c r="M836" s="10" t="str">
        <f t="shared" si="114"/>
        <v/>
      </c>
      <c r="N836" s="11" t="str">
        <f t="shared" si="117"/>
        <v/>
      </c>
      <c r="O836" s="10" t="str">
        <f t="shared" si="118"/>
        <v/>
      </c>
      <c r="P836" s="39" t="str">
        <f t="shared" si="119"/>
        <v/>
      </c>
      <c r="Q836" s="13" t="str">
        <f t="shared" si="115"/>
        <v/>
      </c>
      <c r="R836" s="13" t="str">
        <f t="shared" si="120"/>
        <v/>
      </c>
      <c r="S836" s="13" t="str">
        <f t="shared" si="116"/>
        <v/>
      </c>
      <c r="T836" s="22" t="str">
        <f>IF(R836&lt;&gt;"",VLOOKUP(P836,Constants!$D$3:$E$10,2),"")</f>
        <v/>
      </c>
    </row>
    <row r="837" spans="12:20" x14ac:dyDescent="0.25">
      <c r="L837" s="10" t="str">
        <f t="shared" si="113"/>
        <v/>
      </c>
      <c r="M837" s="10" t="str">
        <f t="shared" si="114"/>
        <v/>
      </c>
      <c r="N837" s="11" t="str">
        <f t="shared" si="117"/>
        <v/>
      </c>
      <c r="O837" s="10" t="str">
        <f t="shared" si="118"/>
        <v/>
      </c>
      <c r="P837" s="39" t="str">
        <f t="shared" si="119"/>
        <v/>
      </c>
      <c r="Q837" s="13" t="str">
        <f t="shared" si="115"/>
        <v/>
      </c>
      <c r="R837" s="13" t="str">
        <f t="shared" si="120"/>
        <v/>
      </c>
      <c r="S837" s="13" t="str">
        <f t="shared" si="116"/>
        <v/>
      </c>
      <c r="T837" s="22" t="str">
        <f>IF(R837&lt;&gt;"",VLOOKUP(P837,Constants!$D$3:$E$10,2),"")</f>
        <v/>
      </c>
    </row>
    <row r="838" spans="12:20" x14ac:dyDescent="0.25">
      <c r="L838" s="10" t="str">
        <f t="shared" si="113"/>
        <v/>
      </c>
      <c r="M838" s="10" t="str">
        <f t="shared" si="114"/>
        <v/>
      </c>
      <c r="N838" s="11" t="str">
        <f t="shared" si="117"/>
        <v/>
      </c>
      <c r="O838" s="10" t="str">
        <f t="shared" si="118"/>
        <v/>
      </c>
      <c r="P838" s="39" t="str">
        <f t="shared" si="119"/>
        <v/>
      </c>
      <c r="Q838" s="13" t="str">
        <f t="shared" si="115"/>
        <v/>
      </c>
      <c r="R838" s="13" t="str">
        <f t="shared" si="120"/>
        <v/>
      </c>
      <c r="S838" s="13" t="str">
        <f t="shared" si="116"/>
        <v/>
      </c>
      <c r="T838" s="22" t="str">
        <f>IF(R838&lt;&gt;"",VLOOKUP(P838,Constants!$D$3:$E$10,2),"")</f>
        <v/>
      </c>
    </row>
    <row r="839" spans="12:20" x14ac:dyDescent="0.25">
      <c r="L839" s="10" t="str">
        <f t="shared" si="113"/>
        <v/>
      </c>
      <c r="M839" s="10" t="str">
        <f t="shared" si="114"/>
        <v/>
      </c>
      <c r="N839" s="11" t="str">
        <f t="shared" si="117"/>
        <v/>
      </c>
      <c r="O839" s="10" t="str">
        <f t="shared" si="118"/>
        <v/>
      </c>
      <c r="P839" s="39" t="str">
        <f t="shared" si="119"/>
        <v/>
      </c>
      <c r="Q839" s="13" t="str">
        <f t="shared" si="115"/>
        <v/>
      </c>
      <c r="R839" s="13" t="str">
        <f t="shared" si="120"/>
        <v/>
      </c>
      <c r="S839" s="13" t="str">
        <f t="shared" si="116"/>
        <v/>
      </c>
      <c r="T839" s="22" t="str">
        <f>IF(R839&lt;&gt;"",VLOOKUP(P839,Constants!$D$3:$E$10,2),"")</f>
        <v/>
      </c>
    </row>
    <row r="840" spans="12:20" x14ac:dyDescent="0.25">
      <c r="L840" s="10" t="str">
        <f t="shared" ref="L840:L903" si="121">IF($D840&lt;&gt;"",$D840*$E840/1000,"")</f>
        <v/>
      </c>
      <c r="M840" s="10" t="str">
        <f t="shared" ref="M840:M903" si="122">IF($D840&lt;&gt;"",$D840*$F840/1000,"")</f>
        <v/>
      </c>
      <c r="N840" s="11" t="str">
        <f t="shared" si="117"/>
        <v/>
      </c>
      <c r="O840" s="10" t="str">
        <f t="shared" si="118"/>
        <v/>
      </c>
      <c r="P840" s="39" t="str">
        <f t="shared" si="119"/>
        <v/>
      </c>
      <c r="Q840" s="13" t="str">
        <f t="shared" ref="Q840:Q903" si="123">IF(F840&lt;&gt;"",F840*E840/1000,"")</f>
        <v/>
      </c>
      <c r="R840" s="13" t="str">
        <f t="shared" si="120"/>
        <v/>
      </c>
      <c r="S840" s="13" t="str">
        <f t="shared" ref="S840:S903" si="124">IF(R840&lt;&gt;"",Q840/R840*1000,"")</f>
        <v/>
      </c>
      <c r="T840" s="22" t="str">
        <f>IF(R840&lt;&gt;"",VLOOKUP(P840,Constants!$D$3:$E$10,2),"")</f>
        <v/>
      </c>
    </row>
    <row r="841" spans="12:20" x14ac:dyDescent="0.25">
      <c r="L841" s="10" t="str">
        <f t="shared" si="121"/>
        <v/>
      </c>
      <c r="M841" s="10" t="str">
        <f t="shared" si="122"/>
        <v/>
      </c>
      <c r="N841" s="11" t="str">
        <f t="shared" si="117"/>
        <v/>
      </c>
      <c r="O841" s="10" t="str">
        <f t="shared" si="118"/>
        <v/>
      </c>
      <c r="P841" s="39" t="str">
        <f t="shared" si="119"/>
        <v/>
      </c>
      <c r="Q841" s="13" t="str">
        <f t="shared" si="123"/>
        <v/>
      </c>
      <c r="R841" s="13" t="str">
        <f t="shared" si="120"/>
        <v/>
      </c>
      <c r="S841" s="13" t="str">
        <f t="shared" si="124"/>
        <v/>
      </c>
      <c r="T841" s="22" t="str">
        <f>IF(R841&lt;&gt;"",VLOOKUP(P841,Constants!$D$3:$E$10,2),"")</f>
        <v/>
      </c>
    </row>
    <row r="842" spans="12:20" x14ac:dyDescent="0.25">
      <c r="L842" s="10" t="str">
        <f t="shared" si="121"/>
        <v/>
      </c>
      <c r="M842" s="10" t="str">
        <f t="shared" si="122"/>
        <v/>
      </c>
      <c r="N842" s="11" t="str">
        <f t="shared" si="117"/>
        <v/>
      </c>
      <c r="O842" s="10" t="str">
        <f t="shared" si="118"/>
        <v/>
      </c>
      <c r="P842" s="39" t="str">
        <f t="shared" si="119"/>
        <v/>
      </c>
      <c r="Q842" s="13" t="str">
        <f t="shared" si="123"/>
        <v/>
      </c>
      <c r="R842" s="13" t="str">
        <f t="shared" si="120"/>
        <v/>
      </c>
      <c r="S842" s="13" t="str">
        <f t="shared" si="124"/>
        <v/>
      </c>
      <c r="T842" s="22" t="str">
        <f>IF(R842&lt;&gt;"",VLOOKUP(P842,Constants!$D$3:$E$10,2),"")</f>
        <v/>
      </c>
    </row>
    <row r="843" spans="12:20" x14ac:dyDescent="0.25">
      <c r="L843" s="10" t="str">
        <f t="shared" si="121"/>
        <v/>
      </c>
      <c r="M843" s="10" t="str">
        <f t="shared" si="122"/>
        <v/>
      </c>
      <c r="N843" s="11" t="str">
        <f t="shared" si="117"/>
        <v/>
      </c>
      <c r="O843" s="10" t="str">
        <f t="shared" si="118"/>
        <v/>
      </c>
      <c r="P843" s="39" t="str">
        <f t="shared" si="119"/>
        <v/>
      </c>
      <c r="Q843" s="13" t="str">
        <f t="shared" si="123"/>
        <v/>
      </c>
      <c r="R843" s="13" t="str">
        <f t="shared" si="120"/>
        <v/>
      </c>
      <c r="S843" s="13" t="str">
        <f t="shared" si="124"/>
        <v/>
      </c>
      <c r="T843" s="22" t="str">
        <f>IF(R843&lt;&gt;"",VLOOKUP(P843,Constants!$D$3:$E$10,2),"")</f>
        <v/>
      </c>
    </row>
    <row r="844" spans="12:20" x14ac:dyDescent="0.25">
      <c r="L844" s="10" t="str">
        <f t="shared" si="121"/>
        <v/>
      </c>
      <c r="M844" s="10" t="str">
        <f t="shared" si="122"/>
        <v/>
      </c>
      <c r="N844" s="11" t="str">
        <f t="shared" si="117"/>
        <v/>
      </c>
      <c r="O844" s="10" t="str">
        <f t="shared" si="118"/>
        <v/>
      </c>
      <c r="P844" s="39" t="str">
        <f t="shared" si="119"/>
        <v/>
      </c>
      <c r="Q844" s="13" t="str">
        <f t="shared" si="123"/>
        <v/>
      </c>
      <c r="R844" s="13" t="str">
        <f t="shared" si="120"/>
        <v/>
      </c>
      <c r="S844" s="13" t="str">
        <f t="shared" si="124"/>
        <v/>
      </c>
      <c r="T844" s="22" t="str">
        <f>IF(R844&lt;&gt;"",VLOOKUP(P844,Constants!$D$3:$E$10,2),"")</f>
        <v/>
      </c>
    </row>
    <row r="845" spans="12:20" x14ac:dyDescent="0.25">
      <c r="L845" s="10" t="str">
        <f t="shared" si="121"/>
        <v/>
      </c>
      <c r="M845" s="10" t="str">
        <f t="shared" si="122"/>
        <v/>
      </c>
      <c r="N845" s="11" t="str">
        <f t="shared" si="117"/>
        <v/>
      </c>
      <c r="O845" s="10" t="str">
        <f t="shared" si="118"/>
        <v/>
      </c>
      <c r="P845" s="39" t="str">
        <f t="shared" si="119"/>
        <v/>
      </c>
      <c r="Q845" s="13" t="str">
        <f t="shared" si="123"/>
        <v/>
      </c>
      <c r="R845" s="13" t="str">
        <f t="shared" si="120"/>
        <v/>
      </c>
      <c r="S845" s="13" t="str">
        <f t="shared" si="124"/>
        <v/>
      </c>
      <c r="T845" s="22" t="str">
        <f>IF(R845&lt;&gt;"",VLOOKUP(P845,Constants!$D$3:$E$10,2),"")</f>
        <v/>
      </c>
    </row>
    <row r="846" spans="12:20" x14ac:dyDescent="0.25">
      <c r="L846" s="10" t="str">
        <f t="shared" si="121"/>
        <v/>
      </c>
      <c r="M846" s="10" t="str">
        <f t="shared" si="122"/>
        <v/>
      </c>
      <c r="N846" s="11" t="str">
        <f t="shared" si="117"/>
        <v/>
      </c>
      <c r="O846" s="10" t="str">
        <f t="shared" si="118"/>
        <v/>
      </c>
      <c r="P846" s="39" t="str">
        <f t="shared" si="119"/>
        <v/>
      </c>
      <c r="Q846" s="13" t="str">
        <f t="shared" si="123"/>
        <v/>
      </c>
      <c r="R846" s="13" t="str">
        <f t="shared" si="120"/>
        <v/>
      </c>
      <c r="S846" s="13" t="str">
        <f t="shared" si="124"/>
        <v/>
      </c>
      <c r="T846" s="22" t="str">
        <f>IF(R846&lt;&gt;"",VLOOKUP(P846,Constants!$D$3:$E$10,2),"")</f>
        <v/>
      </c>
    </row>
    <row r="847" spans="12:20" x14ac:dyDescent="0.25">
      <c r="L847" s="10" t="str">
        <f t="shared" si="121"/>
        <v/>
      </c>
      <c r="M847" s="10" t="str">
        <f t="shared" si="122"/>
        <v/>
      </c>
      <c r="N847" s="11" t="str">
        <f t="shared" si="117"/>
        <v/>
      </c>
      <c r="O847" s="10" t="str">
        <f t="shared" si="118"/>
        <v/>
      </c>
      <c r="P847" s="39" t="str">
        <f t="shared" si="119"/>
        <v/>
      </c>
      <c r="Q847" s="13" t="str">
        <f t="shared" si="123"/>
        <v/>
      </c>
      <c r="R847" s="13" t="str">
        <f t="shared" si="120"/>
        <v/>
      </c>
      <c r="S847" s="13" t="str">
        <f t="shared" si="124"/>
        <v/>
      </c>
      <c r="T847" s="22" t="str">
        <f>IF(R847&lt;&gt;"",VLOOKUP(P847,Constants!$D$3:$E$10,2),"")</f>
        <v/>
      </c>
    </row>
    <row r="848" spans="12:20" x14ac:dyDescent="0.25">
      <c r="L848" s="10" t="str">
        <f t="shared" si="121"/>
        <v/>
      </c>
      <c r="M848" s="10" t="str">
        <f t="shared" si="122"/>
        <v/>
      </c>
      <c r="N848" s="11" t="str">
        <f t="shared" ref="N848:N911" si="125">IF($L848&lt;&gt;"",SQRT($L848*$L848+$M848*$M848),"")</f>
        <v/>
      </c>
      <c r="O848" s="10" t="str">
        <f t="shared" si="118"/>
        <v/>
      </c>
      <c r="P848" s="39" t="str">
        <f t="shared" si="119"/>
        <v/>
      </c>
      <c r="Q848" s="13" t="str">
        <f t="shared" si="123"/>
        <v/>
      </c>
      <c r="R848" s="13" t="str">
        <f t="shared" si="120"/>
        <v/>
      </c>
      <c r="S848" s="13" t="str">
        <f t="shared" si="124"/>
        <v/>
      </c>
      <c r="T848" s="22" t="str">
        <f>IF(R848&lt;&gt;"",VLOOKUP(P848,Constants!$D$3:$E$10,2),"")</f>
        <v/>
      </c>
    </row>
    <row r="849" spans="12:20" x14ac:dyDescent="0.25">
      <c r="L849" s="10" t="str">
        <f t="shared" si="121"/>
        <v/>
      </c>
      <c r="M849" s="10" t="str">
        <f t="shared" si="122"/>
        <v/>
      </c>
      <c r="N849" s="11" t="str">
        <f t="shared" si="125"/>
        <v/>
      </c>
      <c r="O849" s="10" t="str">
        <f t="shared" si="118"/>
        <v/>
      </c>
      <c r="P849" s="39" t="str">
        <f t="shared" si="119"/>
        <v/>
      </c>
      <c r="Q849" s="13" t="str">
        <f t="shared" si="123"/>
        <v/>
      </c>
      <c r="R849" s="13" t="str">
        <f t="shared" si="120"/>
        <v/>
      </c>
      <c r="S849" s="13" t="str">
        <f t="shared" si="124"/>
        <v/>
      </c>
      <c r="T849" s="22" t="str">
        <f>IF(R849&lt;&gt;"",VLOOKUP(P849,Constants!$D$3:$E$10,2),"")</f>
        <v/>
      </c>
    </row>
    <row r="850" spans="12:20" x14ac:dyDescent="0.25">
      <c r="L850" s="10" t="str">
        <f t="shared" si="121"/>
        <v/>
      </c>
      <c r="M850" s="10" t="str">
        <f t="shared" si="122"/>
        <v/>
      </c>
      <c r="N850" s="11" t="str">
        <f t="shared" si="125"/>
        <v/>
      </c>
      <c r="O850" s="10" t="str">
        <f t="shared" si="118"/>
        <v/>
      </c>
      <c r="P850" s="39" t="str">
        <f t="shared" si="119"/>
        <v/>
      </c>
      <c r="Q850" s="13" t="str">
        <f t="shared" si="123"/>
        <v/>
      </c>
      <c r="R850" s="13" t="str">
        <f t="shared" si="120"/>
        <v/>
      </c>
      <c r="S850" s="13" t="str">
        <f t="shared" si="124"/>
        <v/>
      </c>
      <c r="T850" s="22" t="str">
        <f>IF(R850&lt;&gt;"",VLOOKUP(P850,Constants!$D$3:$E$10,2),"")</f>
        <v/>
      </c>
    </row>
    <row r="851" spans="12:20" x14ac:dyDescent="0.25">
      <c r="L851" s="10" t="str">
        <f t="shared" si="121"/>
        <v/>
      </c>
      <c r="M851" s="10" t="str">
        <f t="shared" si="122"/>
        <v/>
      </c>
      <c r="N851" s="11" t="str">
        <f t="shared" si="125"/>
        <v/>
      </c>
      <c r="O851" s="10" t="str">
        <f t="shared" si="118"/>
        <v/>
      </c>
      <c r="P851" s="39" t="str">
        <f t="shared" si="119"/>
        <v/>
      </c>
      <c r="Q851" s="13" t="str">
        <f t="shared" si="123"/>
        <v/>
      </c>
      <c r="R851" s="13" t="str">
        <f t="shared" si="120"/>
        <v/>
      </c>
      <c r="S851" s="13" t="str">
        <f t="shared" si="124"/>
        <v/>
      </c>
      <c r="T851" s="22" t="str">
        <f>IF(R851&lt;&gt;"",VLOOKUP(P851,Constants!$D$3:$E$10,2),"")</f>
        <v/>
      </c>
    </row>
    <row r="852" spans="12:20" x14ac:dyDescent="0.25">
      <c r="L852" s="10" t="str">
        <f t="shared" si="121"/>
        <v/>
      </c>
      <c r="M852" s="10" t="str">
        <f t="shared" si="122"/>
        <v/>
      </c>
      <c r="N852" s="11" t="str">
        <f t="shared" si="125"/>
        <v/>
      </c>
      <c r="O852" s="10" t="str">
        <f t="shared" si="118"/>
        <v/>
      </c>
      <c r="P852" s="39" t="str">
        <f t="shared" si="119"/>
        <v/>
      </c>
      <c r="Q852" s="13" t="str">
        <f t="shared" si="123"/>
        <v/>
      </c>
      <c r="R852" s="13" t="str">
        <f t="shared" si="120"/>
        <v/>
      </c>
      <c r="S852" s="13" t="str">
        <f t="shared" si="124"/>
        <v/>
      </c>
      <c r="T852" s="22" t="str">
        <f>IF(R852&lt;&gt;"",VLOOKUP(P852,Constants!$D$3:$E$10,2),"")</f>
        <v/>
      </c>
    </row>
    <row r="853" spans="12:20" x14ac:dyDescent="0.25">
      <c r="L853" s="10" t="str">
        <f t="shared" si="121"/>
        <v/>
      </c>
      <c r="M853" s="10" t="str">
        <f t="shared" si="122"/>
        <v/>
      </c>
      <c r="N853" s="11" t="str">
        <f t="shared" si="125"/>
        <v/>
      </c>
      <c r="O853" s="10" t="str">
        <f t="shared" si="118"/>
        <v/>
      </c>
      <c r="P853" s="39" t="str">
        <f t="shared" si="119"/>
        <v/>
      </c>
      <c r="Q853" s="13" t="str">
        <f t="shared" si="123"/>
        <v/>
      </c>
      <c r="R853" s="13" t="str">
        <f t="shared" si="120"/>
        <v/>
      </c>
      <c r="S853" s="13" t="str">
        <f t="shared" si="124"/>
        <v/>
      </c>
      <c r="T853" s="22" t="str">
        <f>IF(R853&lt;&gt;"",VLOOKUP(P853,Constants!$D$3:$E$10,2),"")</f>
        <v/>
      </c>
    </row>
    <row r="854" spans="12:20" x14ac:dyDescent="0.25">
      <c r="L854" s="10" t="str">
        <f t="shared" si="121"/>
        <v/>
      </c>
      <c r="M854" s="10" t="str">
        <f t="shared" si="122"/>
        <v/>
      </c>
      <c r="N854" s="11" t="str">
        <f t="shared" si="125"/>
        <v/>
      </c>
      <c r="O854" s="10" t="str">
        <f t="shared" si="118"/>
        <v/>
      </c>
      <c r="P854" s="39" t="str">
        <f t="shared" si="119"/>
        <v/>
      </c>
      <c r="Q854" s="13" t="str">
        <f t="shared" si="123"/>
        <v/>
      </c>
      <c r="R854" s="13" t="str">
        <f t="shared" si="120"/>
        <v/>
      </c>
      <c r="S854" s="13" t="str">
        <f t="shared" si="124"/>
        <v/>
      </c>
      <c r="T854" s="22" t="str">
        <f>IF(R854&lt;&gt;"",VLOOKUP(P854,Constants!$D$3:$E$10,2),"")</f>
        <v/>
      </c>
    </row>
    <row r="855" spans="12:20" x14ac:dyDescent="0.25">
      <c r="L855" s="10" t="str">
        <f t="shared" si="121"/>
        <v/>
      </c>
      <c r="M855" s="10" t="str">
        <f t="shared" si="122"/>
        <v/>
      </c>
      <c r="N855" s="11" t="str">
        <f t="shared" si="125"/>
        <v/>
      </c>
      <c r="O855" s="10" t="str">
        <f t="shared" ref="O855:O918" si="126">IF(D855&lt;&gt;"",1000/(2*D855),"")</f>
        <v/>
      </c>
      <c r="P855" s="39" t="str">
        <f t="shared" ref="P855:P918" si="127">IF($N855&lt;&gt;"",D855*SQRT(E855*E855+F855*F855)/16000,"")</f>
        <v/>
      </c>
      <c r="Q855" s="13" t="str">
        <f t="shared" si="123"/>
        <v/>
      </c>
      <c r="R855" s="13" t="str">
        <f t="shared" ref="R855:R918" si="128">IF(G855&lt;&gt;"",1000/G855,"")</f>
        <v/>
      </c>
      <c r="S855" s="13" t="str">
        <f t="shared" si="124"/>
        <v/>
      </c>
      <c r="T855" s="22" t="str">
        <f>IF(R855&lt;&gt;"",VLOOKUP(P855,Constants!$D$3:$E$10,2),"")</f>
        <v/>
      </c>
    </row>
    <row r="856" spans="12:20" x14ac:dyDescent="0.25">
      <c r="L856" s="10" t="str">
        <f t="shared" si="121"/>
        <v/>
      </c>
      <c r="M856" s="10" t="str">
        <f t="shared" si="122"/>
        <v/>
      </c>
      <c r="N856" s="11" t="str">
        <f t="shared" si="125"/>
        <v/>
      </c>
      <c r="O856" s="10" t="str">
        <f t="shared" si="126"/>
        <v/>
      </c>
      <c r="P856" s="39" t="str">
        <f t="shared" si="127"/>
        <v/>
      </c>
      <c r="Q856" s="13" t="str">
        <f t="shared" si="123"/>
        <v/>
      </c>
      <c r="R856" s="13" t="str">
        <f t="shared" si="128"/>
        <v/>
      </c>
      <c r="S856" s="13" t="str">
        <f t="shared" si="124"/>
        <v/>
      </c>
      <c r="T856" s="22" t="str">
        <f>IF(R856&lt;&gt;"",VLOOKUP(P856,Constants!$D$3:$E$10,2),"")</f>
        <v/>
      </c>
    </row>
    <row r="857" spans="12:20" x14ac:dyDescent="0.25">
      <c r="L857" s="10" t="str">
        <f t="shared" si="121"/>
        <v/>
      </c>
      <c r="M857" s="10" t="str">
        <f t="shared" si="122"/>
        <v/>
      </c>
      <c r="N857" s="11" t="str">
        <f t="shared" si="125"/>
        <v/>
      </c>
      <c r="O857" s="10" t="str">
        <f t="shared" si="126"/>
        <v/>
      </c>
      <c r="P857" s="39" t="str">
        <f t="shared" si="127"/>
        <v/>
      </c>
      <c r="Q857" s="13" t="str">
        <f t="shared" si="123"/>
        <v/>
      </c>
      <c r="R857" s="13" t="str">
        <f t="shared" si="128"/>
        <v/>
      </c>
      <c r="S857" s="13" t="str">
        <f t="shared" si="124"/>
        <v/>
      </c>
      <c r="T857" s="22" t="str">
        <f>IF(R857&lt;&gt;"",VLOOKUP(P857,Constants!$D$3:$E$10,2),"")</f>
        <v/>
      </c>
    </row>
    <row r="858" spans="12:20" x14ac:dyDescent="0.25">
      <c r="L858" s="10" t="str">
        <f t="shared" si="121"/>
        <v/>
      </c>
      <c r="M858" s="10" t="str">
        <f t="shared" si="122"/>
        <v/>
      </c>
      <c r="N858" s="11" t="str">
        <f t="shared" si="125"/>
        <v/>
      </c>
      <c r="O858" s="10" t="str">
        <f t="shared" si="126"/>
        <v/>
      </c>
      <c r="P858" s="39" t="str">
        <f t="shared" si="127"/>
        <v/>
      </c>
      <c r="Q858" s="13" t="str">
        <f t="shared" si="123"/>
        <v/>
      </c>
      <c r="R858" s="13" t="str">
        <f t="shared" si="128"/>
        <v/>
      </c>
      <c r="S858" s="13" t="str">
        <f t="shared" si="124"/>
        <v/>
      </c>
      <c r="T858" s="22" t="str">
        <f>IF(R858&lt;&gt;"",VLOOKUP(P858,Constants!$D$3:$E$10,2),"")</f>
        <v/>
      </c>
    </row>
    <row r="859" spans="12:20" x14ac:dyDescent="0.25">
      <c r="L859" s="10" t="str">
        <f t="shared" si="121"/>
        <v/>
      </c>
      <c r="M859" s="10" t="str">
        <f t="shared" si="122"/>
        <v/>
      </c>
      <c r="N859" s="11" t="str">
        <f t="shared" si="125"/>
        <v/>
      </c>
      <c r="O859" s="10" t="str">
        <f t="shared" si="126"/>
        <v/>
      </c>
      <c r="P859" s="39" t="str">
        <f t="shared" si="127"/>
        <v/>
      </c>
      <c r="Q859" s="13" t="str">
        <f t="shared" si="123"/>
        <v/>
      </c>
      <c r="R859" s="13" t="str">
        <f t="shared" si="128"/>
        <v/>
      </c>
      <c r="S859" s="13" t="str">
        <f t="shared" si="124"/>
        <v/>
      </c>
      <c r="T859" s="22" t="str">
        <f>IF(R859&lt;&gt;"",VLOOKUP(P859,Constants!$D$3:$E$10,2),"")</f>
        <v/>
      </c>
    </row>
    <row r="860" spans="12:20" x14ac:dyDescent="0.25">
      <c r="L860" s="10" t="str">
        <f t="shared" si="121"/>
        <v/>
      </c>
      <c r="M860" s="10" t="str">
        <f t="shared" si="122"/>
        <v/>
      </c>
      <c r="N860" s="11" t="str">
        <f t="shared" si="125"/>
        <v/>
      </c>
      <c r="O860" s="10" t="str">
        <f t="shared" si="126"/>
        <v/>
      </c>
      <c r="P860" s="39" t="str">
        <f t="shared" si="127"/>
        <v/>
      </c>
      <c r="Q860" s="13" t="str">
        <f t="shared" si="123"/>
        <v/>
      </c>
      <c r="R860" s="13" t="str">
        <f t="shared" si="128"/>
        <v/>
      </c>
      <c r="S860" s="13" t="str">
        <f t="shared" si="124"/>
        <v/>
      </c>
      <c r="T860" s="22" t="str">
        <f>IF(R860&lt;&gt;"",VLOOKUP(P860,Constants!$D$3:$E$10,2),"")</f>
        <v/>
      </c>
    </row>
    <row r="861" spans="12:20" x14ac:dyDescent="0.25">
      <c r="L861" s="10" t="str">
        <f t="shared" si="121"/>
        <v/>
      </c>
      <c r="M861" s="10" t="str">
        <f t="shared" si="122"/>
        <v/>
      </c>
      <c r="N861" s="11" t="str">
        <f t="shared" si="125"/>
        <v/>
      </c>
      <c r="O861" s="10" t="str">
        <f t="shared" si="126"/>
        <v/>
      </c>
      <c r="P861" s="39" t="str">
        <f t="shared" si="127"/>
        <v/>
      </c>
      <c r="Q861" s="13" t="str">
        <f t="shared" si="123"/>
        <v/>
      </c>
      <c r="R861" s="13" t="str">
        <f t="shared" si="128"/>
        <v/>
      </c>
      <c r="S861" s="13" t="str">
        <f t="shared" si="124"/>
        <v/>
      </c>
      <c r="T861" s="22" t="str">
        <f>IF(R861&lt;&gt;"",VLOOKUP(P861,Constants!$D$3:$E$10,2),"")</f>
        <v/>
      </c>
    </row>
    <row r="862" spans="12:20" x14ac:dyDescent="0.25">
      <c r="L862" s="10" t="str">
        <f t="shared" si="121"/>
        <v/>
      </c>
      <c r="M862" s="10" t="str">
        <f t="shared" si="122"/>
        <v/>
      </c>
      <c r="N862" s="11" t="str">
        <f t="shared" si="125"/>
        <v/>
      </c>
      <c r="O862" s="10" t="str">
        <f t="shared" si="126"/>
        <v/>
      </c>
      <c r="P862" s="39" t="str">
        <f t="shared" si="127"/>
        <v/>
      </c>
      <c r="Q862" s="13" t="str">
        <f t="shared" si="123"/>
        <v/>
      </c>
      <c r="R862" s="13" t="str">
        <f t="shared" si="128"/>
        <v/>
      </c>
      <c r="S862" s="13" t="str">
        <f t="shared" si="124"/>
        <v/>
      </c>
      <c r="T862" s="22" t="str">
        <f>IF(R862&lt;&gt;"",VLOOKUP(P862,Constants!$D$3:$E$10,2),"")</f>
        <v/>
      </c>
    </row>
    <row r="863" spans="12:20" x14ac:dyDescent="0.25">
      <c r="L863" s="10" t="str">
        <f t="shared" si="121"/>
        <v/>
      </c>
      <c r="M863" s="10" t="str">
        <f t="shared" si="122"/>
        <v/>
      </c>
      <c r="N863" s="11" t="str">
        <f t="shared" si="125"/>
        <v/>
      </c>
      <c r="O863" s="10" t="str">
        <f t="shared" si="126"/>
        <v/>
      </c>
      <c r="P863" s="39" t="str">
        <f t="shared" si="127"/>
        <v/>
      </c>
      <c r="Q863" s="13" t="str">
        <f t="shared" si="123"/>
        <v/>
      </c>
      <c r="R863" s="13" t="str">
        <f t="shared" si="128"/>
        <v/>
      </c>
      <c r="S863" s="13" t="str">
        <f t="shared" si="124"/>
        <v/>
      </c>
      <c r="T863" s="22" t="str">
        <f>IF(R863&lt;&gt;"",VLOOKUP(P863,Constants!$D$3:$E$10,2),"")</f>
        <v/>
      </c>
    </row>
    <row r="864" spans="12:20" x14ac:dyDescent="0.25">
      <c r="L864" s="10" t="str">
        <f t="shared" si="121"/>
        <v/>
      </c>
      <c r="M864" s="10" t="str">
        <f t="shared" si="122"/>
        <v/>
      </c>
      <c r="N864" s="11" t="str">
        <f t="shared" si="125"/>
        <v/>
      </c>
      <c r="O864" s="10" t="str">
        <f t="shared" si="126"/>
        <v/>
      </c>
      <c r="P864" s="39" t="str">
        <f t="shared" si="127"/>
        <v/>
      </c>
      <c r="Q864" s="13" t="str">
        <f t="shared" si="123"/>
        <v/>
      </c>
      <c r="R864" s="13" t="str">
        <f t="shared" si="128"/>
        <v/>
      </c>
      <c r="S864" s="13" t="str">
        <f t="shared" si="124"/>
        <v/>
      </c>
      <c r="T864" s="22" t="str">
        <f>IF(R864&lt;&gt;"",VLOOKUP(P864,Constants!$D$3:$E$10,2),"")</f>
        <v/>
      </c>
    </row>
    <row r="865" spans="12:20" x14ac:dyDescent="0.25">
      <c r="L865" s="10" t="str">
        <f t="shared" si="121"/>
        <v/>
      </c>
      <c r="M865" s="10" t="str">
        <f t="shared" si="122"/>
        <v/>
      </c>
      <c r="N865" s="11" t="str">
        <f t="shared" si="125"/>
        <v/>
      </c>
      <c r="O865" s="10" t="str">
        <f t="shared" si="126"/>
        <v/>
      </c>
      <c r="P865" s="39" t="str">
        <f t="shared" si="127"/>
        <v/>
      </c>
      <c r="Q865" s="13" t="str">
        <f t="shared" si="123"/>
        <v/>
      </c>
      <c r="R865" s="13" t="str">
        <f t="shared" si="128"/>
        <v/>
      </c>
      <c r="S865" s="13" t="str">
        <f t="shared" si="124"/>
        <v/>
      </c>
      <c r="T865" s="22" t="str">
        <f>IF(R865&lt;&gt;"",VLOOKUP(P865,Constants!$D$3:$E$10,2),"")</f>
        <v/>
      </c>
    </row>
    <row r="866" spans="12:20" x14ac:dyDescent="0.25">
      <c r="L866" s="10" t="str">
        <f t="shared" si="121"/>
        <v/>
      </c>
      <c r="M866" s="10" t="str">
        <f t="shared" si="122"/>
        <v/>
      </c>
      <c r="N866" s="11" t="str">
        <f t="shared" si="125"/>
        <v/>
      </c>
      <c r="O866" s="10" t="str">
        <f t="shared" si="126"/>
        <v/>
      </c>
      <c r="P866" s="39" t="str">
        <f t="shared" si="127"/>
        <v/>
      </c>
      <c r="Q866" s="13" t="str">
        <f t="shared" si="123"/>
        <v/>
      </c>
      <c r="R866" s="13" t="str">
        <f t="shared" si="128"/>
        <v/>
      </c>
      <c r="S866" s="13" t="str">
        <f t="shared" si="124"/>
        <v/>
      </c>
      <c r="T866" s="22" t="str">
        <f>IF(R866&lt;&gt;"",VLOOKUP(P866,Constants!$D$3:$E$10,2),"")</f>
        <v/>
      </c>
    </row>
    <row r="867" spans="12:20" x14ac:dyDescent="0.25">
      <c r="L867" s="10" t="str">
        <f t="shared" si="121"/>
        <v/>
      </c>
      <c r="M867" s="10" t="str">
        <f t="shared" si="122"/>
        <v/>
      </c>
      <c r="N867" s="11" t="str">
        <f t="shared" si="125"/>
        <v/>
      </c>
      <c r="O867" s="10" t="str">
        <f t="shared" si="126"/>
        <v/>
      </c>
      <c r="P867" s="39" t="str">
        <f t="shared" si="127"/>
        <v/>
      </c>
      <c r="Q867" s="13" t="str">
        <f t="shared" si="123"/>
        <v/>
      </c>
      <c r="R867" s="13" t="str">
        <f t="shared" si="128"/>
        <v/>
      </c>
      <c r="S867" s="13" t="str">
        <f t="shared" si="124"/>
        <v/>
      </c>
      <c r="T867" s="22" t="str">
        <f>IF(R867&lt;&gt;"",VLOOKUP(P867,Constants!$D$3:$E$10,2),"")</f>
        <v/>
      </c>
    </row>
    <row r="868" spans="12:20" x14ac:dyDescent="0.25">
      <c r="L868" s="10" t="str">
        <f t="shared" si="121"/>
        <v/>
      </c>
      <c r="M868" s="10" t="str">
        <f t="shared" si="122"/>
        <v/>
      </c>
      <c r="N868" s="11" t="str">
        <f t="shared" si="125"/>
        <v/>
      </c>
      <c r="O868" s="10" t="str">
        <f t="shared" si="126"/>
        <v/>
      </c>
      <c r="P868" s="39" t="str">
        <f t="shared" si="127"/>
        <v/>
      </c>
      <c r="Q868" s="13" t="str">
        <f t="shared" si="123"/>
        <v/>
      </c>
      <c r="R868" s="13" t="str">
        <f t="shared" si="128"/>
        <v/>
      </c>
      <c r="S868" s="13" t="str">
        <f t="shared" si="124"/>
        <v/>
      </c>
      <c r="T868" s="22" t="str">
        <f>IF(R868&lt;&gt;"",VLOOKUP(P868,Constants!$D$3:$E$10,2),"")</f>
        <v/>
      </c>
    </row>
    <row r="869" spans="12:20" x14ac:dyDescent="0.25">
      <c r="L869" s="10" t="str">
        <f t="shared" si="121"/>
        <v/>
      </c>
      <c r="M869" s="10" t="str">
        <f t="shared" si="122"/>
        <v/>
      </c>
      <c r="N869" s="11" t="str">
        <f t="shared" si="125"/>
        <v/>
      </c>
      <c r="O869" s="10" t="str">
        <f t="shared" si="126"/>
        <v/>
      </c>
      <c r="P869" s="39" t="str">
        <f t="shared" si="127"/>
        <v/>
      </c>
      <c r="Q869" s="13" t="str">
        <f t="shared" si="123"/>
        <v/>
      </c>
      <c r="R869" s="13" t="str">
        <f t="shared" si="128"/>
        <v/>
      </c>
      <c r="S869" s="13" t="str">
        <f t="shared" si="124"/>
        <v/>
      </c>
      <c r="T869" s="22" t="str">
        <f>IF(R869&lt;&gt;"",VLOOKUP(P869,Constants!$D$3:$E$10,2),"")</f>
        <v/>
      </c>
    </row>
    <row r="870" spans="12:20" x14ac:dyDescent="0.25">
      <c r="L870" s="10" t="str">
        <f t="shared" si="121"/>
        <v/>
      </c>
      <c r="M870" s="10" t="str">
        <f t="shared" si="122"/>
        <v/>
      </c>
      <c r="N870" s="11" t="str">
        <f t="shared" si="125"/>
        <v/>
      </c>
      <c r="O870" s="10" t="str">
        <f t="shared" si="126"/>
        <v/>
      </c>
      <c r="P870" s="39" t="str">
        <f t="shared" si="127"/>
        <v/>
      </c>
      <c r="Q870" s="13" t="str">
        <f t="shared" si="123"/>
        <v/>
      </c>
      <c r="R870" s="13" t="str">
        <f t="shared" si="128"/>
        <v/>
      </c>
      <c r="S870" s="13" t="str">
        <f t="shared" si="124"/>
        <v/>
      </c>
      <c r="T870" s="22" t="str">
        <f>IF(R870&lt;&gt;"",VLOOKUP(P870,Constants!$D$3:$E$10,2),"")</f>
        <v/>
      </c>
    </row>
    <row r="871" spans="12:20" x14ac:dyDescent="0.25">
      <c r="L871" s="10" t="str">
        <f t="shared" si="121"/>
        <v/>
      </c>
      <c r="M871" s="10" t="str">
        <f t="shared" si="122"/>
        <v/>
      </c>
      <c r="N871" s="11" t="str">
        <f t="shared" si="125"/>
        <v/>
      </c>
      <c r="O871" s="10" t="str">
        <f t="shared" si="126"/>
        <v/>
      </c>
      <c r="P871" s="39" t="str">
        <f t="shared" si="127"/>
        <v/>
      </c>
      <c r="Q871" s="13" t="str">
        <f t="shared" si="123"/>
        <v/>
      </c>
      <c r="R871" s="13" t="str">
        <f t="shared" si="128"/>
        <v/>
      </c>
      <c r="S871" s="13" t="str">
        <f t="shared" si="124"/>
        <v/>
      </c>
      <c r="T871" s="22" t="str">
        <f>IF(R871&lt;&gt;"",VLOOKUP(P871,Constants!$D$3:$E$10,2),"")</f>
        <v/>
      </c>
    </row>
    <row r="872" spans="12:20" x14ac:dyDescent="0.25">
      <c r="L872" s="10" t="str">
        <f t="shared" si="121"/>
        <v/>
      </c>
      <c r="M872" s="10" t="str">
        <f t="shared" si="122"/>
        <v/>
      </c>
      <c r="N872" s="11" t="str">
        <f t="shared" si="125"/>
        <v/>
      </c>
      <c r="O872" s="10" t="str">
        <f t="shared" si="126"/>
        <v/>
      </c>
      <c r="P872" s="39" t="str">
        <f t="shared" si="127"/>
        <v/>
      </c>
      <c r="Q872" s="13" t="str">
        <f t="shared" si="123"/>
        <v/>
      </c>
      <c r="R872" s="13" t="str">
        <f t="shared" si="128"/>
        <v/>
      </c>
      <c r="S872" s="13" t="str">
        <f t="shared" si="124"/>
        <v/>
      </c>
      <c r="T872" s="22" t="str">
        <f>IF(R872&lt;&gt;"",VLOOKUP(P872,Constants!$D$3:$E$10,2),"")</f>
        <v/>
      </c>
    </row>
    <row r="873" spans="12:20" x14ac:dyDescent="0.25">
      <c r="L873" s="10" t="str">
        <f t="shared" si="121"/>
        <v/>
      </c>
      <c r="M873" s="10" t="str">
        <f t="shared" si="122"/>
        <v/>
      </c>
      <c r="N873" s="11" t="str">
        <f t="shared" si="125"/>
        <v/>
      </c>
      <c r="O873" s="10" t="str">
        <f t="shared" si="126"/>
        <v/>
      </c>
      <c r="P873" s="39" t="str">
        <f t="shared" si="127"/>
        <v/>
      </c>
      <c r="Q873" s="13" t="str">
        <f t="shared" si="123"/>
        <v/>
      </c>
      <c r="R873" s="13" t="str">
        <f t="shared" si="128"/>
        <v/>
      </c>
      <c r="S873" s="13" t="str">
        <f t="shared" si="124"/>
        <v/>
      </c>
      <c r="T873" s="22" t="str">
        <f>IF(R873&lt;&gt;"",VLOOKUP(P873,Constants!$D$3:$E$10,2),"")</f>
        <v/>
      </c>
    </row>
    <row r="874" spans="12:20" x14ac:dyDescent="0.25">
      <c r="L874" s="10" t="str">
        <f t="shared" si="121"/>
        <v/>
      </c>
      <c r="M874" s="10" t="str">
        <f t="shared" si="122"/>
        <v/>
      </c>
      <c r="N874" s="11" t="str">
        <f t="shared" si="125"/>
        <v/>
      </c>
      <c r="O874" s="10" t="str">
        <f t="shared" si="126"/>
        <v/>
      </c>
      <c r="P874" s="39" t="str">
        <f t="shared" si="127"/>
        <v/>
      </c>
      <c r="Q874" s="13" t="str">
        <f t="shared" si="123"/>
        <v/>
      </c>
      <c r="R874" s="13" t="str">
        <f t="shared" si="128"/>
        <v/>
      </c>
      <c r="S874" s="13" t="str">
        <f t="shared" si="124"/>
        <v/>
      </c>
      <c r="T874" s="22" t="str">
        <f>IF(R874&lt;&gt;"",VLOOKUP(P874,Constants!$D$3:$E$10,2),"")</f>
        <v/>
      </c>
    </row>
    <row r="875" spans="12:20" x14ac:dyDescent="0.25">
      <c r="L875" s="10" t="str">
        <f t="shared" si="121"/>
        <v/>
      </c>
      <c r="M875" s="10" t="str">
        <f t="shared" si="122"/>
        <v/>
      </c>
      <c r="N875" s="11" t="str">
        <f t="shared" si="125"/>
        <v/>
      </c>
      <c r="O875" s="10" t="str">
        <f t="shared" si="126"/>
        <v/>
      </c>
      <c r="P875" s="39" t="str">
        <f t="shared" si="127"/>
        <v/>
      </c>
      <c r="Q875" s="13" t="str">
        <f t="shared" si="123"/>
        <v/>
      </c>
      <c r="R875" s="13" t="str">
        <f t="shared" si="128"/>
        <v/>
      </c>
      <c r="S875" s="13" t="str">
        <f t="shared" si="124"/>
        <v/>
      </c>
      <c r="T875" s="22" t="str">
        <f>IF(R875&lt;&gt;"",VLOOKUP(P875,Constants!$D$3:$E$10,2),"")</f>
        <v/>
      </c>
    </row>
    <row r="876" spans="12:20" x14ac:dyDescent="0.25">
      <c r="L876" s="10" t="str">
        <f t="shared" si="121"/>
        <v/>
      </c>
      <c r="M876" s="10" t="str">
        <f t="shared" si="122"/>
        <v/>
      </c>
      <c r="N876" s="11" t="str">
        <f t="shared" si="125"/>
        <v/>
      </c>
      <c r="O876" s="10" t="str">
        <f t="shared" si="126"/>
        <v/>
      </c>
      <c r="P876" s="39" t="str">
        <f t="shared" si="127"/>
        <v/>
      </c>
      <c r="Q876" s="13" t="str">
        <f t="shared" si="123"/>
        <v/>
      </c>
      <c r="R876" s="13" t="str">
        <f t="shared" si="128"/>
        <v/>
      </c>
      <c r="S876" s="13" t="str">
        <f t="shared" si="124"/>
        <v/>
      </c>
      <c r="T876" s="22" t="str">
        <f>IF(R876&lt;&gt;"",VLOOKUP(P876,Constants!$D$3:$E$10,2),"")</f>
        <v/>
      </c>
    </row>
    <row r="877" spans="12:20" x14ac:dyDescent="0.25">
      <c r="L877" s="10" t="str">
        <f t="shared" si="121"/>
        <v/>
      </c>
      <c r="M877" s="10" t="str">
        <f t="shared" si="122"/>
        <v/>
      </c>
      <c r="N877" s="11" t="str">
        <f t="shared" si="125"/>
        <v/>
      </c>
      <c r="O877" s="10" t="str">
        <f t="shared" si="126"/>
        <v/>
      </c>
      <c r="P877" s="39" t="str">
        <f t="shared" si="127"/>
        <v/>
      </c>
      <c r="Q877" s="13" t="str">
        <f t="shared" si="123"/>
        <v/>
      </c>
      <c r="R877" s="13" t="str">
        <f t="shared" si="128"/>
        <v/>
      </c>
      <c r="S877" s="13" t="str">
        <f t="shared" si="124"/>
        <v/>
      </c>
      <c r="T877" s="22" t="str">
        <f>IF(R877&lt;&gt;"",VLOOKUP(P877,Constants!$D$3:$E$10,2),"")</f>
        <v/>
      </c>
    </row>
    <row r="878" spans="12:20" x14ac:dyDescent="0.25">
      <c r="L878" s="10" t="str">
        <f t="shared" si="121"/>
        <v/>
      </c>
      <c r="M878" s="10" t="str">
        <f t="shared" si="122"/>
        <v/>
      </c>
      <c r="N878" s="11" t="str">
        <f t="shared" si="125"/>
        <v/>
      </c>
      <c r="O878" s="10" t="str">
        <f t="shared" si="126"/>
        <v/>
      </c>
      <c r="P878" s="39" t="str">
        <f t="shared" si="127"/>
        <v/>
      </c>
      <c r="Q878" s="13" t="str">
        <f t="shared" si="123"/>
        <v/>
      </c>
      <c r="R878" s="13" t="str">
        <f t="shared" si="128"/>
        <v/>
      </c>
      <c r="S878" s="13" t="str">
        <f t="shared" si="124"/>
        <v/>
      </c>
      <c r="T878" s="22" t="str">
        <f>IF(R878&lt;&gt;"",VLOOKUP(P878,Constants!$D$3:$E$10,2),"")</f>
        <v/>
      </c>
    </row>
    <row r="879" spans="12:20" x14ac:dyDescent="0.25">
      <c r="L879" s="10" t="str">
        <f t="shared" si="121"/>
        <v/>
      </c>
      <c r="M879" s="10" t="str">
        <f t="shared" si="122"/>
        <v/>
      </c>
      <c r="N879" s="11" t="str">
        <f t="shared" si="125"/>
        <v/>
      </c>
      <c r="O879" s="10" t="str">
        <f t="shared" si="126"/>
        <v/>
      </c>
      <c r="P879" s="39" t="str">
        <f t="shared" si="127"/>
        <v/>
      </c>
      <c r="Q879" s="13" t="str">
        <f t="shared" si="123"/>
        <v/>
      </c>
      <c r="R879" s="13" t="str">
        <f t="shared" si="128"/>
        <v/>
      </c>
      <c r="S879" s="13" t="str">
        <f t="shared" si="124"/>
        <v/>
      </c>
      <c r="T879" s="22" t="str">
        <f>IF(R879&lt;&gt;"",VLOOKUP(P879,Constants!$D$3:$E$10,2),"")</f>
        <v/>
      </c>
    </row>
    <row r="880" spans="12:20" x14ac:dyDescent="0.25">
      <c r="L880" s="10" t="str">
        <f t="shared" si="121"/>
        <v/>
      </c>
      <c r="M880" s="10" t="str">
        <f t="shared" si="122"/>
        <v/>
      </c>
      <c r="N880" s="11" t="str">
        <f t="shared" si="125"/>
        <v/>
      </c>
      <c r="O880" s="10" t="str">
        <f t="shared" si="126"/>
        <v/>
      </c>
      <c r="P880" s="39" t="str">
        <f t="shared" si="127"/>
        <v/>
      </c>
      <c r="Q880" s="13" t="str">
        <f t="shared" si="123"/>
        <v/>
      </c>
      <c r="R880" s="13" t="str">
        <f t="shared" si="128"/>
        <v/>
      </c>
      <c r="S880" s="13" t="str">
        <f t="shared" si="124"/>
        <v/>
      </c>
      <c r="T880" s="22" t="str">
        <f>IF(R880&lt;&gt;"",VLOOKUP(P880,Constants!$D$3:$E$10,2),"")</f>
        <v/>
      </c>
    </row>
    <row r="881" spans="12:20" x14ac:dyDescent="0.25">
      <c r="L881" s="10" t="str">
        <f t="shared" si="121"/>
        <v/>
      </c>
      <c r="M881" s="10" t="str">
        <f t="shared" si="122"/>
        <v/>
      </c>
      <c r="N881" s="11" t="str">
        <f t="shared" si="125"/>
        <v/>
      </c>
      <c r="O881" s="10" t="str">
        <f t="shared" si="126"/>
        <v/>
      </c>
      <c r="P881" s="39" t="str">
        <f t="shared" si="127"/>
        <v/>
      </c>
      <c r="Q881" s="13" t="str">
        <f t="shared" si="123"/>
        <v/>
      </c>
      <c r="R881" s="13" t="str">
        <f t="shared" si="128"/>
        <v/>
      </c>
      <c r="S881" s="13" t="str">
        <f t="shared" si="124"/>
        <v/>
      </c>
      <c r="T881" s="22" t="str">
        <f>IF(R881&lt;&gt;"",VLOOKUP(P881,Constants!$D$3:$E$10,2),"")</f>
        <v/>
      </c>
    </row>
    <row r="882" spans="12:20" x14ac:dyDescent="0.25">
      <c r="L882" s="10" t="str">
        <f t="shared" si="121"/>
        <v/>
      </c>
      <c r="M882" s="10" t="str">
        <f t="shared" si="122"/>
        <v/>
      </c>
      <c r="N882" s="11" t="str">
        <f t="shared" si="125"/>
        <v/>
      </c>
      <c r="O882" s="10" t="str">
        <f t="shared" si="126"/>
        <v/>
      </c>
      <c r="P882" s="39" t="str">
        <f t="shared" si="127"/>
        <v/>
      </c>
      <c r="Q882" s="13" t="str">
        <f t="shared" si="123"/>
        <v/>
      </c>
      <c r="R882" s="13" t="str">
        <f t="shared" si="128"/>
        <v/>
      </c>
      <c r="S882" s="13" t="str">
        <f t="shared" si="124"/>
        <v/>
      </c>
      <c r="T882" s="22" t="str">
        <f>IF(R882&lt;&gt;"",VLOOKUP(P882,Constants!$D$3:$E$10,2),"")</f>
        <v/>
      </c>
    </row>
    <row r="883" spans="12:20" x14ac:dyDescent="0.25">
      <c r="L883" s="10" t="str">
        <f t="shared" si="121"/>
        <v/>
      </c>
      <c r="M883" s="10" t="str">
        <f t="shared" si="122"/>
        <v/>
      </c>
      <c r="N883" s="11" t="str">
        <f t="shared" si="125"/>
        <v/>
      </c>
      <c r="O883" s="10" t="str">
        <f t="shared" si="126"/>
        <v/>
      </c>
      <c r="P883" s="39" t="str">
        <f t="shared" si="127"/>
        <v/>
      </c>
      <c r="Q883" s="13" t="str">
        <f t="shared" si="123"/>
        <v/>
      </c>
      <c r="R883" s="13" t="str">
        <f t="shared" si="128"/>
        <v/>
      </c>
      <c r="S883" s="13" t="str">
        <f t="shared" si="124"/>
        <v/>
      </c>
      <c r="T883" s="22" t="str">
        <f>IF(R883&lt;&gt;"",VLOOKUP(P883,Constants!$D$3:$E$10,2),"")</f>
        <v/>
      </c>
    </row>
    <row r="884" spans="12:20" x14ac:dyDescent="0.25">
      <c r="L884" s="10" t="str">
        <f t="shared" si="121"/>
        <v/>
      </c>
      <c r="M884" s="10" t="str">
        <f t="shared" si="122"/>
        <v/>
      </c>
      <c r="N884" s="11" t="str">
        <f t="shared" si="125"/>
        <v/>
      </c>
      <c r="O884" s="10" t="str">
        <f t="shared" si="126"/>
        <v/>
      </c>
      <c r="P884" s="39" t="str">
        <f t="shared" si="127"/>
        <v/>
      </c>
      <c r="Q884" s="13" t="str">
        <f t="shared" si="123"/>
        <v/>
      </c>
      <c r="R884" s="13" t="str">
        <f t="shared" si="128"/>
        <v/>
      </c>
      <c r="S884" s="13" t="str">
        <f t="shared" si="124"/>
        <v/>
      </c>
      <c r="T884" s="22" t="str">
        <f>IF(R884&lt;&gt;"",VLOOKUP(P884,Constants!$D$3:$E$10,2),"")</f>
        <v/>
      </c>
    </row>
    <row r="885" spans="12:20" x14ac:dyDescent="0.25">
      <c r="L885" s="10" t="str">
        <f t="shared" si="121"/>
        <v/>
      </c>
      <c r="M885" s="10" t="str">
        <f t="shared" si="122"/>
        <v/>
      </c>
      <c r="N885" s="11" t="str">
        <f t="shared" si="125"/>
        <v/>
      </c>
      <c r="O885" s="10" t="str">
        <f t="shared" si="126"/>
        <v/>
      </c>
      <c r="P885" s="39" t="str">
        <f t="shared" si="127"/>
        <v/>
      </c>
      <c r="Q885" s="13" t="str">
        <f t="shared" si="123"/>
        <v/>
      </c>
      <c r="R885" s="13" t="str">
        <f t="shared" si="128"/>
        <v/>
      </c>
      <c r="S885" s="13" t="str">
        <f t="shared" si="124"/>
        <v/>
      </c>
      <c r="T885" s="22" t="str">
        <f>IF(R885&lt;&gt;"",VLOOKUP(P885,Constants!$D$3:$E$10,2),"")</f>
        <v/>
      </c>
    </row>
    <row r="886" spans="12:20" x14ac:dyDescent="0.25">
      <c r="L886" s="10" t="str">
        <f t="shared" si="121"/>
        <v/>
      </c>
      <c r="M886" s="10" t="str">
        <f t="shared" si="122"/>
        <v/>
      </c>
      <c r="N886" s="11" t="str">
        <f t="shared" si="125"/>
        <v/>
      </c>
      <c r="O886" s="10" t="str">
        <f t="shared" si="126"/>
        <v/>
      </c>
      <c r="P886" s="39" t="str">
        <f t="shared" si="127"/>
        <v/>
      </c>
      <c r="Q886" s="13" t="str">
        <f t="shared" si="123"/>
        <v/>
      </c>
      <c r="R886" s="13" t="str">
        <f t="shared" si="128"/>
        <v/>
      </c>
      <c r="S886" s="13" t="str">
        <f t="shared" si="124"/>
        <v/>
      </c>
      <c r="T886" s="22" t="str">
        <f>IF(R886&lt;&gt;"",VLOOKUP(P886,Constants!$D$3:$E$10,2),"")</f>
        <v/>
      </c>
    </row>
    <row r="887" spans="12:20" x14ac:dyDescent="0.25">
      <c r="L887" s="10" t="str">
        <f t="shared" si="121"/>
        <v/>
      </c>
      <c r="M887" s="10" t="str">
        <f t="shared" si="122"/>
        <v/>
      </c>
      <c r="N887" s="11" t="str">
        <f t="shared" si="125"/>
        <v/>
      </c>
      <c r="O887" s="10" t="str">
        <f t="shared" si="126"/>
        <v/>
      </c>
      <c r="P887" s="39" t="str">
        <f t="shared" si="127"/>
        <v/>
      </c>
      <c r="Q887" s="13" t="str">
        <f t="shared" si="123"/>
        <v/>
      </c>
      <c r="R887" s="13" t="str">
        <f t="shared" si="128"/>
        <v/>
      </c>
      <c r="S887" s="13" t="str">
        <f t="shared" si="124"/>
        <v/>
      </c>
      <c r="T887" s="22" t="str">
        <f>IF(R887&lt;&gt;"",VLOOKUP(P887,Constants!$D$3:$E$10,2),"")</f>
        <v/>
      </c>
    </row>
    <row r="888" spans="12:20" x14ac:dyDescent="0.25">
      <c r="L888" s="10" t="str">
        <f t="shared" si="121"/>
        <v/>
      </c>
      <c r="M888" s="10" t="str">
        <f t="shared" si="122"/>
        <v/>
      </c>
      <c r="N888" s="11" t="str">
        <f t="shared" si="125"/>
        <v/>
      </c>
      <c r="O888" s="10" t="str">
        <f t="shared" si="126"/>
        <v/>
      </c>
      <c r="P888" s="39" t="str">
        <f t="shared" si="127"/>
        <v/>
      </c>
      <c r="Q888" s="13" t="str">
        <f t="shared" si="123"/>
        <v/>
      </c>
      <c r="R888" s="13" t="str">
        <f t="shared" si="128"/>
        <v/>
      </c>
      <c r="S888" s="13" t="str">
        <f t="shared" si="124"/>
        <v/>
      </c>
      <c r="T888" s="22" t="str">
        <f>IF(R888&lt;&gt;"",VLOOKUP(P888,Constants!$D$3:$E$10,2),"")</f>
        <v/>
      </c>
    </row>
    <row r="889" spans="12:20" x14ac:dyDescent="0.25">
      <c r="L889" s="10" t="str">
        <f t="shared" si="121"/>
        <v/>
      </c>
      <c r="M889" s="10" t="str">
        <f t="shared" si="122"/>
        <v/>
      </c>
      <c r="N889" s="11" t="str">
        <f t="shared" si="125"/>
        <v/>
      </c>
      <c r="O889" s="10" t="str">
        <f t="shared" si="126"/>
        <v/>
      </c>
      <c r="P889" s="39" t="str">
        <f t="shared" si="127"/>
        <v/>
      </c>
      <c r="Q889" s="13" t="str">
        <f t="shared" si="123"/>
        <v/>
      </c>
      <c r="R889" s="13" t="str">
        <f t="shared" si="128"/>
        <v/>
      </c>
      <c r="S889" s="13" t="str">
        <f t="shared" si="124"/>
        <v/>
      </c>
      <c r="T889" s="22" t="str">
        <f>IF(R889&lt;&gt;"",VLOOKUP(P889,Constants!$D$3:$E$10,2),"")</f>
        <v/>
      </c>
    </row>
    <row r="890" spans="12:20" x14ac:dyDescent="0.25">
      <c r="L890" s="10" t="str">
        <f t="shared" si="121"/>
        <v/>
      </c>
      <c r="M890" s="10" t="str">
        <f t="shared" si="122"/>
        <v/>
      </c>
      <c r="N890" s="11" t="str">
        <f t="shared" si="125"/>
        <v/>
      </c>
      <c r="O890" s="10" t="str">
        <f t="shared" si="126"/>
        <v/>
      </c>
      <c r="P890" s="39" t="str">
        <f t="shared" si="127"/>
        <v/>
      </c>
      <c r="Q890" s="13" t="str">
        <f t="shared" si="123"/>
        <v/>
      </c>
      <c r="R890" s="13" t="str">
        <f t="shared" si="128"/>
        <v/>
      </c>
      <c r="S890" s="13" t="str">
        <f t="shared" si="124"/>
        <v/>
      </c>
      <c r="T890" s="22" t="str">
        <f>IF(R890&lt;&gt;"",VLOOKUP(P890,Constants!$D$3:$E$10,2),"")</f>
        <v/>
      </c>
    </row>
    <row r="891" spans="12:20" x14ac:dyDescent="0.25">
      <c r="L891" s="10" t="str">
        <f t="shared" si="121"/>
        <v/>
      </c>
      <c r="M891" s="10" t="str">
        <f t="shared" si="122"/>
        <v/>
      </c>
      <c r="N891" s="11" t="str">
        <f t="shared" si="125"/>
        <v/>
      </c>
      <c r="O891" s="10" t="str">
        <f t="shared" si="126"/>
        <v/>
      </c>
      <c r="P891" s="39" t="str">
        <f t="shared" si="127"/>
        <v/>
      </c>
      <c r="Q891" s="13" t="str">
        <f t="shared" si="123"/>
        <v/>
      </c>
      <c r="R891" s="13" t="str">
        <f t="shared" si="128"/>
        <v/>
      </c>
      <c r="S891" s="13" t="str">
        <f t="shared" si="124"/>
        <v/>
      </c>
      <c r="T891" s="22" t="str">
        <f>IF(R891&lt;&gt;"",VLOOKUP(P891,Constants!$D$3:$E$10,2),"")</f>
        <v/>
      </c>
    </row>
    <row r="892" spans="12:20" x14ac:dyDescent="0.25">
      <c r="L892" s="10" t="str">
        <f t="shared" si="121"/>
        <v/>
      </c>
      <c r="M892" s="10" t="str">
        <f t="shared" si="122"/>
        <v/>
      </c>
      <c r="N892" s="11" t="str">
        <f t="shared" si="125"/>
        <v/>
      </c>
      <c r="O892" s="10" t="str">
        <f t="shared" si="126"/>
        <v/>
      </c>
      <c r="P892" s="39" t="str">
        <f t="shared" si="127"/>
        <v/>
      </c>
      <c r="Q892" s="13" t="str">
        <f t="shared" si="123"/>
        <v/>
      </c>
      <c r="R892" s="13" t="str">
        <f t="shared" si="128"/>
        <v/>
      </c>
      <c r="S892" s="13" t="str">
        <f t="shared" si="124"/>
        <v/>
      </c>
      <c r="T892" s="22" t="str">
        <f>IF(R892&lt;&gt;"",VLOOKUP(P892,Constants!$D$3:$E$10,2),"")</f>
        <v/>
      </c>
    </row>
    <row r="893" spans="12:20" x14ac:dyDescent="0.25">
      <c r="L893" s="10" t="str">
        <f t="shared" si="121"/>
        <v/>
      </c>
      <c r="M893" s="10" t="str">
        <f t="shared" si="122"/>
        <v/>
      </c>
      <c r="N893" s="11" t="str">
        <f t="shared" si="125"/>
        <v/>
      </c>
      <c r="O893" s="10" t="str">
        <f t="shared" si="126"/>
        <v/>
      </c>
      <c r="P893" s="39" t="str">
        <f t="shared" si="127"/>
        <v/>
      </c>
      <c r="Q893" s="13" t="str">
        <f t="shared" si="123"/>
        <v/>
      </c>
      <c r="R893" s="13" t="str">
        <f t="shared" si="128"/>
        <v/>
      </c>
      <c r="S893" s="13" t="str">
        <f t="shared" si="124"/>
        <v/>
      </c>
      <c r="T893" s="22" t="str">
        <f>IF(R893&lt;&gt;"",VLOOKUP(P893,Constants!$D$3:$E$10,2),"")</f>
        <v/>
      </c>
    </row>
    <row r="894" spans="12:20" x14ac:dyDescent="0.25">
      <c r="L894" s="10" t="str">
        <f t="shared" si="121"/>
        <v/>
      </c>
      <c r="M894" s="10" t="str">
        <f t="shared" si="122"/>
        <v/>
      </c>
      <c r="N894" s="11" t="str">
        <f t="shared" si="125"/>
        <v/>
      </c>
      <c r="O894" s="10" t="str">
        <f t="shared" si="126"/>
        <v/>
      </c>
      <c r="P894" s="39" t="str">
        <f t="shared" si="127"/>
        <v/>
      </c>
      <c r="Q894" s="13" t="str">
        <f t="shared" si="123"/>
        <v/>
      </c>
      <c r="R894" s="13" t="str">
        <f t="shared" si="128"/>
        <v/>
      </c>
      <c r="S894" s="13" t="str">
        <f t="shared" si="124"/>
        <v/>
      </c>
      <c r="T894" s="22" t="str">
        <f>IF(R894&lt;&gt;"",VLOOKUP(P894,Constants!$D$3:$E$10,2),"")</f>
        <v/>
      </c>
    </row>
    <row r="895" spans="12:20" x14ac:dyDescent="0.25">
      <c r="L895" s="10" t="str">
        <f t="shared" si="121"/>
        <v/>
      </c>
      <c r="M895" s="10" t="str">
        <f t="shared" si="122"/>
        <v/>
      </c>
      <c r="N895" s="11" t="str">
        <f t="shared" si="125"/>
        <v/>
      </c>
      <c r="O895" s="10" t="str">
        <f t="shared" si="126"/>
        <v/>
      </c>
      <c r="P895" s="39" t="str">
        <f t="shared" si="127"/>
        <v/>
      </c>
      <c r="Q895" s="13" t="str">
        <f t="shared" si="123"/>
        <v/>
      </c>
      <c r="R895" s="13" t="str">
        <f t="shared" si="128"/>
        <v/>
      </c>
      <c r="S895" s="13" t="str">
        <f t="shared" si="124"/>
        <v/>
      </c>
      <c r="T895" s="22" t="str">
        <f>IF(R895&lt;&gt;"",VLOOKUP(P895,Constants!$D$3:$E$10,2),"")</f>
        <v/>
      </c>
    </row>
    <row r="896" spans="12:20" x14ac:dyDescent="0.25">
      <c r="L896" s="10" t="str">
        <f t="shared" si="121"/>
        <v/>
      </c>
      <c r="M896" s="10" t="str">
        <f t="shared" si="122"/>
        <v/>
      </c>
      <c r="N896" s="11" t="str">
        <f t="shared" si="125"/>
        <v/>
      </c>
      <c r="O896" s="10" t="str">
        <f t="shared" si="126"/>
        <v/>
      </c>
      <c r="P896" s="39" t="str">
        <f t="shared" si="127"/>
        <v/>
      </c>
      <c r="Q896" s="13" t="str">
        <f t="shared" si="123"/>
        <v/>
      </c>
      <c r="R896" s="13" t="str">
        <f t="shared" si="128"/>
        <v/>
      </c>
      <c r="S896" s="13" t="str">
        <f t="shared" si="124"/>
        <v/>
      </c>
      <c r="T896" s="22" t="str">
        <f>IF(R896&lt;&gt;"",VLOOKUP(P896,Constants!$D$3:$E$10,2),"")</f>
        <v/>
      </c>
    </row>
    <row r="897" spans="12:20" x14ac:dyDescent="0.25">
      <c r="L897" s="10" t="str">
        <f t="shared" si="121"/>
        <v/>
      </c>
      <c r="M897" s="10" t="str">
        <f t="shared" si="122"/>
        <v/>
      </c>
      <c r="N897" s="11" t="str">
        <f t="shared" si="125"/>
        <v/>
      </c>
      <c r="O897" s="10" t="str">
        <f t="shared" si="126"/>
        <v/>
      </c>
      <c r="P897" s="39" t="str">
        <f t="shared" si="127"/>
        <v/>
      </c>
      <c r="Q897" s="13" t="str">
        <f t="shared" si="123"/>
        <v/>
      </c>
      <c r="R897" s="13" t="str">
        <f t="shared" si="128"/>
        <v/>
      </c>
      <c r="S897" s="13" t="str">
        <f t="shared" si="124"/>
        <v/>
      </c>
      <c r="T897" s="22" t="str">
        <f>IF(R897&lt;&gt;"",VLOOKUP(P897,Constants!$D$3:$E$10,2),"")</f>
        <v/>
      </c>
    </row>
    <row r="898" spans="12:20" x14ac:dyDescent="0.25">
      <c r="L898" s="10" t="str">
        <f t="shared" si="121"/>
        <v/>
      </c>
      <c r="M898" s="10" t="str">
        <f t="shared" si="122"/>
        <v/>
      </c>
      <c r="N898" s="11" t="str">
        <f t="shared" si="125"/>
        <v/>
      </c>
      <c r="O898" s="10" t="str">
        <f t="shared" si="126"/>
        <v/>
      </c>
      <c r="P898" s="39" t="str">
        <f t="shared" si="127"/>
        <v/>
      </c>
      <c r="Q898" s="13" t="str">
        <f t="shared" si="123"/>
        <v/>
      </c>
      <c r="R898" s="13" t="str">
        <f t="shared" si="128"/>
        <v/>
      </c>
      <c r="S898" s="13" t="str">
        <f t="shared" si="124"/>
        <v/>
      </c>
      <c r="T898" s="22" t="str">
        <f>IF(R898&lt;&gt;"",VLOOKUP(P898,Constants!$D$3:$E$10,2),"")</f>
        <v/>
      </c>
    </row>
    <row r="899" spans="12:20" x14ac:dyDescent="0.25">
      <c r="L899" s="10" t="str">
        <f t="shared" si="121"/>
        <v/>
      </c>
      <c r="M899" s="10" t="str">
        <f t="shared" si="122"/>
        <v/>
      </c>
      <c r="N899" s="11" t="str">
        <f t="shared" si="125"/>
        <v/>
      </c>
      <c r="O899" s="10" t="str">
        <f t="shared" si="126"/>
        <v/>
      </c>
      <c r="P899" s="39" t="str">
        <f t="shared" si="127"/>
        <v/>
      </c>
      <c r="Q899" s="13" t="str">
        <f t="shared" si="123"/>
        <v/>
      </c>
      <c r="R899" s="13" t="str">
        <f t="shared" si="128"/>
        <v/>
      </c>
      <c r="S899" s="13" t="str">
        <f t="shared" si="124"/>
        <v/>
      </c>
      <c r="T899" s="22" t="str">
        <f>IF(R899&lt;&gt;"",VLOOKUP(P899,Constants!$D$3:$E$10,2),"")</f>
        <v/>
      </c>
    </row>
    <row r="900" spans="12:20" x14ac:dyDescent="0.25">
      <c r="L900" s="10" t="str">
        <f t="shared" si="121"/>
        <v/>
      </c>
      <c r="M900" s="10" t="str">
        <f t="shared" si="122"/>
        <v/>
      </c>
      <c r="N900" s="11" t="str">
        <f t="shared" si="125"/>
        <v/>
      </c>
      <c r="O900" s="10" t="str">
        <f t="shared" si="126"/>
        <v/>
      </c>
      <c r="P900" s="39" t="str">
        <f t="shared" si="127"/>
        <v/>
      </c>
      <c r="Q900" s="13" t="str">
        <f t="shared" si="123"/>
        <v/>
      </c>
      <c r="R900" s="13" t="str">
        <f t="shared" si="128"/>
        <v/>
      </c>
      <c r="S900" s="13" t="str">
        <f t="shared" si="124"/>
        <v/>
      </c>
      <c r="T900" s="22" t="str">
        <f>IF(R900&lt;&gt;"",VLOOKUP(P900,Constants!$D$3:$E$10,2),"")</f>
        <v/>
      </c>
    </row>
    <row r="901" spans="12:20" x14ac:dyDescent="0.25">
      <c r="L901" s="10" t="str">
        <f t="shared" si="121"/>
        <v/>
      </c>
      <c r="M901" s="10" t="str">
        <f t="shared" si="122"/>
        <v/>
      </c>
      <c r="N901" s="11" t="str">
        <f t="shared" si="125"/>
        <v/>
      </c>
      <c r="O901" s="10" t="str">
        <f t="shared" si="126"/>
        <v/>
      </c>
      <c r="P901" s="39" t="str">
        <f t="shared" si="127"/>
        <v/>
      </c>
      <c r="Q901" s="13" t="str">
        <f t="shared" si="123"/>
        <v/>
      </c>
      <c r="R901" s="13" t="str">
        <f t="shared" si="128"/>
        <v/>
      </c>
      <c r="S901" s="13" t="str">
        <f t="shared" si="124"/>
        <v/>
      </c>
      <c r="T901" s="22" t="str">
        <f>IF(R901&lt;&gt;"",VLOOKUP(P901,Constants!$D$3:$E$10,2),"")</f>
        <v/>
      </c>
    </row>
    <row r="902" spans="12:20" x14ac:dyDescent="0.25">
      <c r="L902" s="10" t="str">
        <f t="shared" si="121"/>
        <v/>
      </c>
      <c r="M902" s="10" t="str">
        <f t="shared" si="122"/>
        <v/>
      </c>
      <c r="N902" s="11" t="str">
        <f t="shared" si="125"/>
        <v/>
      </c>
      <c r="O902" s="10" t="str">
        <f t="shared" si="126"/>
        <v/>
      </c>
      <c r="P902" s="39" t="str">
        <f t="shared" si="127"/>
        <v/>
      </c>
      <c r="Q902" s="13" t="str">
        <f t="shared" si="123"/>
        <v/>
      </c>
      <c r="R902" s="13" t="str">
        <f t="shared" si="128"/>
        <v/>
      </c>
      <c r="S902" s="13" t="str">
        <f t="shared" si="124"/>
        <v/>
      </c>
      <c r="T902" s="22" t="str">
        <f>IF(R902&lt;&gt;"",VLOOKUP(P902,Constants!$D$3:$E$10,2),"")</f>
        <v/>
      </c>
    </row>
    <row r="903" spans="12:20" x14ac:dyDescent="0.25">
      <c r="L903" s="10" t="str">
        <f t="shared" si="121"/>
        <v/>
      </c>
      <c r="M903" s="10" t="str">
        <f t="shared" si="122"/>
        <v/>
      </c>
      <c r="N903" s="11" t="str">
        <f t="shared" si="125"/>
        <v/>
      </c>
      <c r="O903" s="10" t="str">
        <f t="shared" si="126"/>
        <v/>
      </c>
      <c r="P903" s="39" t="str">
        <f t="shared" si="127"/>
        <v/>
      </c>
      <c r="Q903" s="13" t="str">
        <f t="shared" si="123"/>
        <v/>
      </c>
      <c r="R903" s="13" t="str">
        <f t="shared" si="128"/>
        <v/>
      </c>
      <c r="S903" s="13" t="str">
        <f t="shared" si="124"/>
        <v/>
      </c>
      <c r="T903" s="22" t="str">
        <f>IF(R903&lt;&gt;"",VLOOKUP(P903,Constants!$D$3:$E$10,2),"")</f>
        <v/>
      </c>
    </row>
    <row r="904" spans="12:20" x14ac:dyDescent="0.25">
      <c r="L904" s="10" t="str">
        <f t="shared" ref="L904:L967" si="129">IF($D904&lt;&gt;"",$D904*$E904/1000,"")</f>
        <v/>
      </c>
      <c r="M904" s="10" t="str">
        <f t="shared" ref="M904:M967" si="130">IF($D904&lt;&gt;"",$D904*$F904/1000,"")</f>
        <v/>
      </c>
      <c r="N904" s="11" t="str">
        <f t="shared" si="125"/>
        <v/>
      </c>
      <c r="O904" s="10" t="str">
        <f t="shared" si="126"/>
        <v/>
      </c>
      <c r="P904" s="39" t="str">
        <f t="shared" si="127"/>
        <v/>
      </c>
      <c r="Q904" s="13" t="str">
        <f t="shared" ref="Q904:Q967" si="131">IF(F904&lt;&gt;"",F904*E904/1000,"")</f>
        <v/>
      </c>
      <c r="R904" s="13" t="str">
        <f t="shared" si="128"/>
        <v/>
      </c>
      <c r="S904" s="13" t="str">
        <f t="shared" ref="S904:S967" si="132">IF(R904&lt;&gt;"",Q904/R904*1000,"")</f>
        <v/>
      </c>
      <c r="T904" s="22" t="str">
        <f>IF(R904&lt;&gt;"",VLOOKUP(P904,Constants!$D$3:$E$10,2),"")</f>
        <v/>
      </c>
    </row>
    <row r="905" spans="12:20" x14ac:dyDescent="0.25">
      <c r="L905" s="10" t="str">
        <f t="shared" si="129"/>
        <v/>
      </c>
      <c r="M905" s="10" t="str">
        <f t="shared" si="130"/>
        <v/>
      </c>
      <c r="N905" s="11" t="str">
        <f t="shared" si="125"/>
        <v/>
      </c>
      <c r="O905" s="10" t="str">
        <f t="shared" si="126"/>
        <v/>
      </c>
      <c r="P905" s="39" t="str">
        <f t="shared" si="127"/>
        <v/>
      </c>
      <c r="Q905" s="13" t="str">
        <f t="shared" si="131"/>
        <v/>
      </c>
      <c r="R905" s="13" t="str">
        <f t="shared" si="128"/>
        <v/>
      </c>
      <c r="S905" s="13" t="str">
        <f t="shared" si="132"/>
        <v/>
      </c>
      <c r="T905" s="22" t="str">
        <f>IF(R905&lt;&gt;"",VLOOKUP(P905,Constants!$D$3:$E$10,2),"")</f>
        <v/>
      </c>
    </row>
    <row r="906" spans="12:20" x14ac:dyDescent="0.25">
      <c r="L906" s="10" t="str">
        <f t="shared" si="129"/>
        <v/>
      </c>
      <c r="M906" s="10" t="str">
        <f t="shared" si="130"/>
        <v/>
      </c>
      <c r="N906" s="11" t="str">
        <f t="shared" si="125"/>
        <v/>
      </c>
      <c r="O906" s="10" t="str">
        <f t="shared" si="126"/>
        <v/>
      </c>
      <c r="P906" s="39" t="str">
        <f t="shared" si="127"/>
        <v/>
      </c>
      <c r="Q906" s="13" t="str">
        <f t="shared" si="131"/>
        <v/>
      </c>
      <c r="R906" s="13" t="str">
        <f t="shared" si="128"/>
        <v/>
      </c>
      <c r="S906" s="13" t="str">
        <f t="shared" si="132"/>
        <v/>
      </c>
      <c r="T906" s="22" t="str">
        <f>IF(R906&lt;&gt;"",VLOOKUP(P906,Constants!$D$3:$E$10,2),"")</f>
        <v/>
      </c>
    </row>
    <row r="907" spans="12:20" x14ac:dyDescent="0.25">
      <c r="L907" s="10" t="str">
        <f t="shared" si="129"/>
        <v/>
      </c>
      <c r="M907" s="10" t="str">
        <f t="shared" si="130"/>
        <v/>
      </c>
      <c r="N907" s="11" t="str">
        <f t="shared" si="125"/>
        <v/>
      </c>
      <c r="O907" s="10" t="str">
        <f t="shared" si="126"/>
        <v/>
      </c>
      <c r="P907" s="39" t="str">
        <f t="shared" si="127"/>
        <v/>
      </c>
      <c r="Q907" s="13" t="str">
        <f t="shared" si="131"/>
        <v/>
      </c>
      <c r="R907" s="13" t="str">
        <f t="shared" si="128"/>
        <v/>
      </c>
      <c r="S907" s="13" t="str">
        <f t="shared" si="132"/>
        <v/>
      </c>
      <c r="T907" s="22" t="str">
        <f>IF(R907&lt;&gt;"",VLOOKUP(P907,Constants!$D$3:$E$10,2),"")</f>
        <v/>
      </c>
    </row>
    <row r="908" spans="12:20" x14ac:dyDescent="0.25">
      <c r="L908" s="10" t="str">
        <f t="shared" si="129"/>
        <v/>
      </c>
      <c r="M908" s="10" t="str">
        <f t="shared" si="130"/>
        <v/>
      </c>
      <c r="N908" s="11" t="str">
        <f t="shared" si="125"/>
        <v/>
      </c>
      <c r="O908" s="10" t="str">
        <f t="shared" si="126"/>
        <v/>
      </c>
      <c r="P908" s="39" t="str">
        <f t="shared" si="127"/>
        <v/>
      </c>
      <c r="Q908" s="13" t="str">
        <f t="shared" si="131"/>
        <v/>
      </c>
      <c r="R908" s="13" t="str">
        <f t="shared" si="128"/>
        <v/>
      </c>
      <c r="S908" s="13" t="str">
        <f t="shared" si="132"/>
        <v/>
      </c>
      <c r="T908" s="22" t="str">
        <f>IF(R908&lt;&gt;"",VLOOKUP(P908,Constants!$D$3:$E$10,2),"")</f>
        <v/>
      </c>
    </row>
    <row r="909" spans="12:20" x14ac:dyDescent="0.25">
      <c r="L909" s="10" t="str">
        <f t="shared" si="129"/>
        <v/>
      </c>
      <c r="M909" s="10" t="str">
        <f t="shared" si="130"/>
        <v/>
      </c>
      <c r="N909" s="11" t="str">
        <f t="shared" si="125"/>
        <v/>
      </c>
      <c r="O909" s="10" t="str">
        <f t="shared" si="126"/>
        <v/>
      </c>
      <c r="P909" s="39" t="str">
        <f t="shared" si="127"/>
        <v/>
      </c>
      <c r="Q909" s="13" t="str">
        <f t="shared" si="131"/>
        <v/>
      </c>
      <c r="R909" s="13" t="str">
        <f t="shared" si="128"/>
        <v/>
      </c>
      <c r="S909" s="13" t="str">
        <f t="shared" si="132"/>
        <v/>
      </c>
      <c r="T909" s="22" t="str">
        <f>IF(R909&lt;&gt;"",VLOOKUP(P909,Constants!$D$3:$E$10,2),"")</f>
        <v/>
      </c>
    </row>
    <row r="910" spans="12:20" x14ac:dyDescent="0.25">
      <c r="L910" s="10" t="str">
        <f t="shared" si="129"/>
        <v/>
      </c>
      <c r="M910" s="10" t="str">
        <f t="shared" si="130"/>
        <v/>
      </c>
      <c r="N910" s="11" t="str">
        <f t="shared" si="125"/>
        <v/>
      </c>
      <c r="O910" s="10" t="str">
        <f t="shared" si="126"/>
        <v/>
      </c>
      <c r="P910" s="39" t="str">
        <f t="shared" si="127"/>
        <v/>
      </c>
      <c r="Q910" s="13" t="str">
        <f t="shared" si="131"/>
        <v/>
      </c>
      <c r="R910" s="13" t="str">
        <f t="shared" si="128"/>
        <v/>
      </c>
      <c r="S910" s="13" t="str">
        <f t="shared" si="132"/>
        <v/>
      </c>
      <c r="T910" s="22" t="str">
        <f>IF(R910&lt;&gt;"",VLOOKUP(P910,Constants!$D$3:$E$10,2),"")</f>
        <v/>
      </c>
    </row>
    <row r="911" spans="12:20" x14ac:dyDescent="0.25">
      <c r="L911" s="10" t="str">
        <f t="shared" si="129"/>
        <v/>
      </c>
      <c r="M911" s="10" t="str">
        <f t="shared" si="130"/>
        <v/>
      </c>
      <c r="N911" s="11" t="str">
        <f t="shared" si="125"/>
        <v/>
      </c>
      <c r="O911" s="10" t="str">
        <f t="shared" si="126"/>
        <v/>
      </c>
      <c r="P911" s="39" t="str">
        <f t="shared" si="127"/>
        <v/>
      </c>
      <c r="Q911" s="13" t="str">
        <f t="shared" si="131"/>
        <v/>
      </c>
      <c r="R911" s="13" t="str">
        <f t="shared" si="128"/>
        <v/>
      </c>
      <c r="S911" s="13" t="str">
        <f t="shared" si="132"/>
        <v/>
      </c>
      <c r="T911" s="22" t="str">
        <f>IF(R911&lt;&gt;"",VLOOKUP(P911,Constants!$D$3:$E$10,2),"")</f>
        <v/>
      </c>
    </row>
    <row r="912" spans="12:20" x14ac:dyDescent="0.25">
      <c r="L912" s="10" t="str">
        <f t="shared" si="129"/>
        <v/>
      </c>
      <c r="M912" s="10" t="str">
        <f t="shared" si="130"/>
        <v/>
      </c>
      <c r="N912" s="11" t="str">
        <f t="shared" ref="N912:N975" si="133">IF($L912&lt;&gt;"",SQRT($L912*$L912+$M912*$M912),"")</f>
        <v/>
      </c>
      <c r="O912" s="10" t="str">
        <f t="shared" si="126"/>
        <v/>
      </c>
      <c r="P912" s="39" t="str">
        <f t="shared" si="127"/>
        <v/>
      </c>
      <c r="Q912" s="13" t="str">
        <f t="shared" si="131"/>
        <v/>
      </c>
      <c r="R912" s="13" t="str">
        <f t="shared" si="128"/>
        <v/>
      </c>
      <c r="S912" s="13" t="str">
        <f t="shared" si="132"/>
        <v/>
      </c>
      <c r="T912" s="22" t="str">
        <f>IF(R912&lt;&gt;"",VLOOKUP(P912,Constants!$D$3:$E$10,2),"")</f>
        <v/>
      </c>
    </row>
    <row r="913" spans="12:20" x14ac:dyDescent="0.25">
      <c r="L913" s="10" t="str">
        <f t="shared" si="129"/>
        <v/>
      </c>
      <c r="M913" s="10" t="str">
        <f t="shared" si="130"/>
        <v/>
      </c>
      <c r="N913" s="11" t="str">
        <f t="shared" si="133"/>
        <v/>
      </c>
      <c r="O913" s="10" t="str">
        <f t="shared" si="126"/>
        <v/>
      </c>
      <c r="P913" s="39" t="str">
        <f t="shared" si="127"/>
        <v/>
      </c>
      <c r="Q913" s="13" t="str">
        <f t="shared" si="131"/>
        <v/>
      </c>
      <c r="R913" s="13" t="str">
        <f t="shared" si="128"/>
        <v/>
      </c>
      <c r="S913" s="13" t="str">
        <f t="shared" si="132"/>
        <v/>
      </c>
      <c r="T913" s="22" t="str">
        <f>IF(R913&lt;&gt;"",VLOOKUP(P913,Constants!$D$3:$E$10,2),"")</f>
        <v/>
      </c>
    </row>
    <row r="914" spans="12:20" x14ac:dyDescent="0.25">
      <c r="L914" s="10" t="str">
        <f t="shared" si="129"/>
        <v/>
      </c>
      <c r="M914" s="10" t="str">
        <f t="shared" si="130"/>
        <v/>
      </c>
      <c r="N914" s="11" t="str">
        <f t="shared" si="133"/>
        <v/>
      </c>
      <c r="O914" s="10" t="str">
        <f t="shared" si="126"/>
        <v/>
      </c>
      <c r="P914" s="39" t="str">
        <f t="shared" si="127"/>
        <v/>
      </c>
      <c r="Q914" s="13" t="str">
        <f t="shared" si="131"/>
        <v/>
      </c>
      <c r="R914" s="13" t="str">
        <f t="shared" si="128"/>
        <v/>
      </c>
      <c r="S914" s="13" t="str">
        <f t="shared" si="132"/>
        <v/>
      </c>
      <c r="T914" s="22" t="str">
        <f>IF(R914&lt;&gt;"",VLOOKUP(P914,Constants!$D$3:$E$10,2),"")</f>
        <v/>
      </c>
    </row>
    <row r="915" spans="12:20" x14ac:dyDescent="0.25">
      <c r="L915" s="10" t="str">
        <f t="shared" si="129"/>
        <v/>
      </c>
      <c r="M915" s="10" t="str">
        <f t="shared" si="130"/>
        <v/>
      </c>
      <c r="N915" s="11" t="str">
        <f t="shared" si="133"/>
        <v/>
      </c>
      <c r="O915" s="10" t="str">
        <f t="shared" si="126"/>
        <v/>
      </c>
      <c r="P915" s="39" t="str">
        <f t="shared" si="127"/>
        <v/>
      </c>
      <c r="Q915" s="13" t="str">
        <f t="shared" si="131"/>
        <v/>
      </c>
      <c r="R915" s="13" t="str">
        <f t="shared" si="128"/>
        <v/>
      </c>
      <c r="S915" s="13" t="str">
        <f t="shared" si="132"/>
        <v/>
      </c>
      <c r="T915" s="22" t="str">
        <f>IF(R915&lt;&gt;"",VLOOKUP(P915,Constants!$D$3:$E$10,2),"")</f>
        <v/>
      </c>
    </row>
    <row r="916" spans="12:20" x14ac:dyDescent="0.25">
      <c r="L916" s="10" t="str">
        <f t="shared" si="129"/>
        <v/>
      </c>
      <c r="M916" s="10" t="str">
        <f t="shared" si="130"/>
        <v/>
      </c>
      <c r="N916" s="11" t="str">
        <f t="shared" si="133"/>
        <v/>
      </c>
      <c r="O916" s="10" t="str">
        <f t="shared" si="126"/>
        <v/>
      </c>
      <c r="P916" s="39" t="str">
        <f t="shared" si="127"/>
        <v/>
      </c>
      <c r="Q916" s="13" t="str">
        <f t="shared" si="131"/>
        <v/>
      </c>
      <c r="R916" s="13" t="str">
        <f t="shared" si="128"/>
        <v/>
      </c>
      <c r="S916" s="13" t="str">
        <f t="shared" si="132"/>
        <v/>
      </c>
      <c r="T916" s="22" t="str">
        <f>IF(R916&lt;&gt;"",VLOOKUP(P916,Constants!$D$3:$E$10,2),"")</f>
        <v/>
      </c>
    </row>
    <row r="917" spans="12:20" x14ac:dyDescent="0.25">
      <c r="L917" s="10" t="str">
        <f t="shared" si="129"/>
        <v/>
      </c>
      <c r="M917" s="10" t="str">
        <f t="shared" si="130"/>
        <v/>
      </c>
      <c r="N917" s="11" t="str">
        <f t="shared" si="133"/>
        <v/>
      </c>
      <c r="O917" s="10" t="str">
        <f t="shared" si="126"/>
        <v/>
      </c>
      <c r="P917" s="39" t="str">
        <f t="shared" si="127"/>
        <v/>
      </c>
      <c r="Q917" s="13" t="str">
        <f t="shared" si="131"/>
        <v/>
      </c>
      <c r="R917" s="13" t="str">
        <f t="shared" si="128"/>
        <v/>
      </c>
      <c r="S917" s="13" t="str">
        <f t="shared" si="132"/>
        <v/>
      </c>
      <c r="T917" s="22" t="str">
        <f>IF(R917&lt;&gt;"",VLOOKUP(P917,Constants!$D$3:$E$10,2),"")</f>
        <v/>
      </c>
    </row>
    <row r="918" spans="12:20" x14ac:dyDescent="0.25">
      <c r="L918" s="10" t="str">
        <f t="shared" si="129"/>
        <v/>
      </c>
      <c r="M918" s="10" t="str">
        <f t="shared" si="130"/>
        <v/>
      </c>
      <c r="N918" s="11" t="str">
        <f t="shared" si="133"/>
        <v/>
      </c>
      <c r="O918" s="10" t="str">
        <f t="shared" si="126"/>
        <v/>
      </c>
      <c r="P918" s="39" t="str">
        <f t="shared" si="127"/>
        <v/>
      </c>
      <c r="Q918" s="13" t="str">
        <f t="shared" si="131"/>
        <v/>
      </c>
      <c r="R918" s="13" t="str">
        <f t="shared" si="128"/>
        <v/>
      </c>
      <c r="S918" s="13" t="str">
        <f t="shared" si="132"/>
        <v/>
      </c>
      <c r="T918" s="22" t="str">
        <f>IF(R918&lt;&gt;"",VLOOKUP(P918,Constants!$D$3:$E$10,2),"")</f>
        <v/>
      </c>
    </row>
    <row r="919" spans="12:20" x14ac:dyDescent="0.25">
      <c r="L919" s="10" t="str">
        <f t="shared" si="129"/>
        <v/>
      </c>
      <c r="M919" s="10" t="str">
        <f t="shared" si="130"/>
        <v/>
      </c>
      <c r="N919" s="11" t="str">
        <f t="shared" si="133"/>
        <v/>
      </c>
      <c r="O919" s="10" t="str">
        <f t="shared" ref="O919:O982" si="134">IF(D919&lt;&gt;"",1000/(2*D919),"")</f>
        <v/>
      </c>
      <c r="P919" s="39" t="str">
        <f t="shared" ref="P919:P982" si="135">IF($N919&lt;&gt;"",D919*SQRT(E919*E919+F919*F919)/16000,"")</f>
        <v/>
      </c>
      <c r="Q919" s="13" t="str">
        <f t="shared" si="131"/>
        <v/>
      </c>
      <c r="R919" s="13" t="str">
        <f t="shared" ref="R919:R982" si="136">IF(G919&lt;&gt;"",1000/G919,"")</f>
        <v/>
      </c>
      <c r="S919" s="13" t="str">
        <f t="shared" si="132"/>
        <v/>
      </c>
      <c r="T919" s="22" t="str">
        <f>IF(R919&lt;&gt;"",VLOOKUP(P919,Constants!$D$3:$E$10,2),"")</f>
        <v/>
      </c>
    </row>
    <row r="920" spans="12:20" x14ac:dyDescent="0.25">
      <c r="L920" s="10" t="str">
        <f t="shared" si="129"/>
        <v/>
      </c>
      <c r="M920" s="10" t="str">
        <f t="shared" si="130"/>
        <v/>
      </c>
      <c r="N920" s="11" t="str">
        <f t="shared" si="133"/>
        <v/>
      </c>
      <c r="O920" s="10" t="str">
        <f t="shared" si="134"/>
        <v/>
      </c>
      <c r="P920" s="39" t="str">
        <f t="shared" si="135"/>
        <v/>
      </c>
      <c r="Q920" s="13" t="str">
        <f t="shared" si="131"/>
        <v/>
      </c>
      <c r="R920" s="13" t="str">
        <f t="shared" si="136"/>
        <v/>
      </c>
      <c r="S920" s="13" t="str">
        <f t="shared" si="132"/>
        <v/>
      </c>
      <c r="T920" s="22" t="str">
        <f>IF(R920&lt;&gt;"",VLOOKUP(P920,Constants!$D$3:$E$10,2),"")</f>
        <v/>
      </c>
    </row>
    <row r="921" spans="12:20" x14ac:dyDescent="0.25">
      <c r="L921" s="10" t="str">
        <f t="shared" si="129"/>
        <v/>
      </c>
      <c r="M921" s="10" t="str">
        <f t="shared" si="130"/>
        <v/>
      </c>
      <c r="N921" s="11" t="str">
        <f t="shared" si="133"/>
        <v/>
      </c>
      <c r="O921" s="10" t="str">
        <f t="shared" si="134"/>
        <v/>
      </c>
      <c r="P921" s="39" t="str">
        <f t="shared" si="135"/>
        <v/>
      </c>
      <c r="Q921" s="13" t="str">
        <f t="shared" si="131"/>
        <v/>
      </c>
      <c r="R921" s="13" t="str">
        <f t="shared" si="136"/>
        <v/>
      </c>
      <c r="S921" s="13" t="str">
        <f t="shared" si="132"/>
        <v/>
      </c>
      <c r="T921" s="22" t="str">
        <f>IF(R921&lt;&gt;"",VLOOKUP(P921,Constants!$D$3:$E$10,2),"")</f>
        <v/>
      </c>
    </row>
    <row r="922" spans="12:20" x14ac:dyDescent="0.25">
      <c r="L922" s="10" t="str">
        <f t="shared" si="129"/>
        <v/>
      </c>
      <c r="M922" s="10" t="str">
        <f t="shared" si="130"/>
        <v/>
      </c>
      <c r="N922" s="11" t="str">
        <f t="shared" si="133"/>
        <v/>
      </c>
      <c r="O922" s="10" t="str">
        <f t="shared" si="134"/>
        <v/>
      </c>
      <c r="P922" s="39" t="str">
        <f t="shared" si="135"/>
        <v/>
      </c>
      <c r="Q922" s="13" t="str">
        <f t="shared" si="131"/>
        <v/>
      </c>
      <c r="R922" s="13" t="str">
        <f t="shared" si="136"/>
        <v/>
      </c>
      <c r="S922" s="13" t="str">
        <f t="shared" si="132"/>
        <v/>
      </c>
      <c r="T922" s="22" t="str">
        <f>IF(R922&lt;&gt;"",VLOOKUP(P922,Constants!$D$3:$E$10,2),"")</f>
        <v/>
      </c>
    </row>
    <row r="923" spans="12:20" x14ac:dyDescent="0.25">
      <c r="L923" s="10" t="str">
        <f t="shared" si="129"/>
        <v/>
      </c>
      <c r="M923" s="10" t="str">
        <f t="shared" si="130"/>
        <v/>
      </c>
      <c r="N923" s="11" t="str">
        <f t="shared" si="133"/>
        <v/>
      </c>
      <c r="O923" s="10" t="str">
        <f t="shared" si="134"/>
        <v/>
      </c>
      <c r="P923" s="39" t="str">
        <f t="shared" si="135"/>
        <v/>
      </c>
      <c r="Q923" s="13" t="str">
        <f t="shared" si="131"/>
        <v/>
      </c>
      <c r="R923" s="13" t="str">
        <f t="shared" si="136"/>
        <v/>
      </c>
      <c r="S923" s="13" t="str">
        <f t="shared" si="132"/>
        <v/>
      </c>
      <c r="T923" s="22" t="str">
        <f>IF(R923&lt;&gt;"",VLOOKUP(P923,Constants!$D$3:$E$10,2),"")</f>
        <v/>
      </c>
    </row>
    <row r="924" spans="12:20" x14ac:dyDescent="0.25">
      <c r="L924" s="10" t="str">
        <f t="shared" si="129"/>
        <v/>
      </c>
      <c r="M924" s="10" t="str">
        <f t="shared" si="130"/>
        <v/>
      </c>
      <c r="N924" s="11" t="str">
        <f t="shared" si="133"/>
        <v/>
      </c>
      <c r="O924" s="10" t="str">
        <f t="shared" si="134"/>
        <v/>
      </c>
      <c r="P924" s="39" t="str">
        <f t="shared" si="135"/>
        <v/>
      </c>
      <c r="Q924" s="13" t="str">
        <f t="shared" si="131"/>
        <v/>
      </c>
      <c r="R924" s="13" t="str">
        <f t="shared" si="136"/>
        <v/>
      </c>
      <c r="S924" s="13" t="str">
        <f t="shared" si="132"/>
        <v/>
      </c>
      <c r="T924" s="22" t="str">
        <f>IF(R924&lt;&gt;"",VLOOKUP(P924,Constants!$D$3:$E$10,2),"")</f>
        <v/>
      </c>
    </row>
    <row r="925" spans="12:20" x14ac:dyDescent="0.25">
      <c r="L925" s="10" t="str">
        <f t="shared" si="129"/>
        <v/>
      </c>
      <c r="M925" s="10" t="str">
        <f t="shared" si="130"/>
        <v/>
      </c>
      <c r="N925" s="11" t="str">
        <f t="shared" si="133"/>
        <v/>
      </c>
      <c r="O925" s="10" t="str">
        <f t="shared" si="134"/>
        <v/>
      </c>
      <c r="P925" s="39" t="str">
        <f t="shared" si="135"/>
        <v/>
      </c>
      <c r="Q925" s="13" t="str">
        <f t="shared" si="131"/>
        <v/>
      </c>
      <c r="R925" s="13" t="str">
        <f t="shared" si="136"/>
        <v/>
      </c>
      <c r="S925" s="13" t="str">
        <f t="shared" si="132"/>
        <v/>
      </c>
      <c r="T925" s="22" t="str">
        <f>IF(R925&lt;&gt;"",VLOOKUP(P925,Constants!$D$3:$E$10,2),"")</f>
        <v/>
      </c>
    </row>
    <row r="926" spans="12:20" x14ac:dyDescent="0.25">
      <c r="L926" s="10" t="str">
        <f t="shared" si="129"/>
        <v/>
      </c>
      <c r="M926" s="10" t="str">
        <f t="shared" si="130"/>
        <v/>
      </c>
      <c r="N926" s="11" t="str">
        <f t="shared" si="133"/>
        <v/>
      </c>
      <c r="O926" s="10" t="str">
        <f t="shared" si="134"/>
        <v/>
      </c>
      <c r="P926" s="39" t="str">
        <f t="shared" si="135"/>
        <v/>
      </c>
      <c r="Q926" s="13" t="str">
        <f t="shared" si="131"/>
        <v/>
      </c>
      <c r="R926" s="13" t="str">
        <f t="shared" si="136"/>
        <v/>
      </c>
      <c r="S926" s="13" t="str">
        <f t="shared" si="132"/>
        <v/>
      </c>
      <c r="T926" s="22" t="str">
        <f>IF(R926&lt;&gt;"",VLOOKUP(P926,Constants!$D$3:$E$10,2),"")</f>
        <v/>
      </c>
    </row>
    <row r="927" spans="12:20" x14ac:dyDescent="0.25">
      <c r="L927" s="10" t="str">
        <f t="shared" si="129"/>
        <v/>
      </c>
      <c r="M927" s="10" t="str">
        <f t="shared" si="130"/>
        <v/>
      </c>
      <c r="N927" s="11" t="str">
        <f t="shared" si="133"/>
        <v/>
      </c>
      <c r="O927" s="10" t="str">
        <f t="shared" si="134"/>
        <v/>
      </c>
      <c r="P927" s="39" t="str">
        <f t="shared" si="135"/>
        <v/>
      </c>
      <c r="Q927" s="13" t="str">
        <f t="shared" si="131"/>
        <v/>
      </c>
      <c r="R927" s="13" t="str">
        <f t="shared" si="136"/>
        <v/>
      </c>
      <c r="S927" s="13" t="str">
        <f t="shared" si="132"/>
        <v/>
      </c>
      <c r="T927" s="22" t="str">
        <f>IF(R927&lt;&gt;"",VLOOKUP(P927,Constants!$D$3:$E$10,2),"")</f>
        <v/>
      </c>
    </row>
    <row r="928" spans="12:20" x14ac:dyDescent="0.25">
      <c r="L928" s="10" t="str">
        <f t="shared" si="129"/>
        <v/>
      </c>
      <c r="M928" s="10" t="str">
        <f t="shared" si="130"/>
        <v/>
      </c>
      <c r="N928" s="11" t="str">
        <f t="shared" si="133"/>
        <v/>
      </c>
      <c r="O928" s="10" t="str">
        <f t="shared" si="134"/>
        <v/>
      </c>
      <c r="P928" s="39" t="str">
        <f t="shared" si="135"/>
        <v/>
      </c>
      <c r="Q928" s="13" t="str">
        <f t="shared" si="131"/>
        <v/>
      </c>
      <c r="R928" s="13" t="str">
        <f t="shared" si="136"/>
        <v/>
      </c>
      <c r="S928" s="13" t="str">
        <f t="shared" si="132"/>
        <v/>
      </c>
      <c r="T928" s="22" t="str">
        <f>IF(R928&lt;&gt;"",VLOOKUP(P928,Constants!$D$3:$E$10,2),"")</f>
        <v/>
      </c>
    </row>
    <row r="929" spans="12:20" x14ac:dyDescent="0.25">
      <c r="L929" s="10" t="str">
        <f t="shared" si="129"/>
        <v/>
      </c>
      <c r="M929" s="10" t="str">
        <f t="shared" si="130"/>
        <v/>
      </c>
      <c r="N929" s="11" t="str">
        <f t="shared" si="133"/>
        <v/>
      </c>
      <c r="O929" s="10" t="str">
        <f t="shared" si="134"/>
        <v/>
      </c>
      <c r="P929" s="39" t="str">
        <f t="shared" si="135"/>
        <v/>
      </c>
      <c r="Q929" s="13" t="str">
        <f t="shared" si="131"/>
        <v/>
      </c>
      <c r="R929" s="13" t="str">
        <f t="shared" si="136"/>
        <v/>
      </c>
      <c r="S929" s="13" t="str">
        <f t="shared" si="132"/>
        <v/>
      </c>
      <c r="T929" s="22" t="str">
        <f>IF(R929&lt;&gt;"",VLOOKUP(P929,Constants!$D$3:$E$10,2),"")</f>
        <v/>
      </c>
    </row>
    <row r="930" spans="12:20" x14ac:dyDescent="0.25">
      <c r="L930" s="10" t="str">
        <f t="shared" si="129"/>
        <v/>
      </c>
      <c r="M930" s="10" t="str">
        <f t="shared" si="130"/>
        <v/>
      </c>
      <c r="N930" s="11" t="str">
        <f t="shared" si="133"/>
        <v/>
      </c>
      <c r="O930" s="10" t="str">
        <f t="shared" si="134"/>
        <v/>
      </c>
      <c r="P930" s="39" t="str">
        <f t="shared" si="135"/>
        <v/>
      </c>
      <c r="Q930" s="13" t="str">
        <f t="shared" si="131"/>
        <v/>
      </c>
      <c r="R930" s="13" t="str">
        <f t="shared" si="136"/>
        <v/>
      </c>
      <c r="S930" s="13" t="str">
        <f t="shared" si="132"/>
        <v/>
      </c>
      <c r="T930" s="22" t="str">
        <f>IF(R930&lt;&gt;"",VLOOKUP(P930,Constants!$D$3:$E$10,2),"")</f>
        <v/>
      </c>
    </row>
    <row r="931" spans="12:20" x14ac:dyDescent="0.25">
      <c r="L931" s="10" t="str">
        <f t="shared" si="129"/>
        <v/>
      </c>
      <c r="M931" s="10" t="str">
        <f t="shared" si="130"/>
        <v/>
      </c>
      <c r="N931" s="11" t="str">
        <f t="shared" si="133"/>
        <v/>
      </c>
      <c r="O931" s="10" t="str">
        <f t="shared" si="134"/>
        <v/>
      </c>
      <c r="P931" s="39" t="str">
        <f t="shared" si="135"/>
        <v/>
      </c>
      <c r="Q931" s="13" t="str">
        <f t="shared" si="131"/>
        <v/>
      </c>
      <c r="R931" s="13" t="str">
        <f t="shared" si="136"/>
        <v/>
      </c>
      <c r="S931" s="13" t="str">
        <f t="shared" si="132"/>
        <v/>
      </c>
      <c r="T931" s="22" t="str">
        <f>IF(R931&lt;&gt;"",VLOOKUP(P931,Constants!$D$3:$E$10,2),"")</f>
        <v/>
      </c>
    </row>
    <row r="932" spans="12:20" x14ac:dyDescent="0.25">
      <c r="L932" s="10" t="str">
        <f t="shared" si="129"/>
        <v/>
      </c>
      <c r="M932" s="10" t="str">
        <f t="shared" si="130"/>
        <v/>
      </c>
      <c r="N932" s="11" t="str">
        <f t="shared" si="133"/>
        <v/>
      </c>
      <c r="O932" s="10" t="str">
        <f t="shared" si="134"/>
        <v/>
      </c>
      <c r="P932" s="39" t="str">
        <f t="shared" si="135"/>
        <v/>
      </c>
      <c r="Q932" s="13" t="str">
        <f t="shared" si="131"/>
        <v/>
      </c>
      <c r="R932" s="13" t="str">
        <f t="shared" si="136"/>
        <v/>
      </c>
      <c r="S932" s="13" t="str">
        <f t="shared" si="132"/>
        <v/>
      </c>
      <c r="T932" s="22" t="str">
        <f>IF(R932&lt;&gt;"",VLOOKUP(P932,Constants!$D$3:$E$10,2),"")</f>
        <v/>
      </c>
    </row>
    <row r="933" spans="12:20" x14ac:dyDescent="0.25">
      <c r="L933" s="10" t="str">
        <f t="shared" si="129"/>
        <v/>
      </c>
      <c r="M933" s="10" t="str">
        <f t="shared" si="130"/>
        <v/>
      </c>
      <c r="N933" s="11" t="str">
        <f t="shared" si="133"/>
        <v/>
      </c>
      <c r="O933" s="10" t="str">
        <f t="shared" si="134"/>
        <v/>
      </c>
      <c r="P933" s="39" t="str">
        <f t="shared" si="135"/>
        <v/>
      </c>
      <c r="Q933" s="13" t="str">
        <f t="shared" si="131"/>
        <v/>
      </c>
      <c r="R933" s="13" t="str">
        <f t="shared" si="136"/>
        <v/>
      </c>
      <c r="S933" s="13" t="str">
        <f t="shared" si="132"/>
        <v/>
      </c>
      <c r="T933" s="22" t="str">
        <f>IF(R933&lt;&gt;"",VLOOKUP(P933,Constants!$D$3:$E$10,2),"")</f>
        <v/>
      </c>
    </row>
    <row r="934" spans="12:20" x14ac:dyDescent="0.25">
      <c r="L934" s="10" t="str">
        <f t="shared" si="129"/>
        <v/>
      </c>
      <c r="M934" s="10" t="str">
        <f t="shared" si="130"/>
        <v/>
      </c>
      <c r="N934" s="11" t="str">
        <f t="shared" si="133"/>
        <v/>
      </c>
      <c r="O934" s="10" t="str">
        <f t="shared" si="134"/>
        <v/>
      </c>
      <c r="P934" s="39" t="str">
        <f t="shared" si="135"/>
        <v/>
      </c>
      <c r="Q934" s="13" t="str">
        <f t="shared" si="131"/>
        <v/>
      </c>
      <c r="R934" s="13" t="str">
        <f t="shared" si="136"/>
        <v/>
      </c>
      <c r="S934" s="13" t="str">
        <f t="shared" si="132"/>
        <v/>
      </c>
      <c r="T934" s="22" t="str">
        <f>IF(R934&lt;&gt;"",VLOOKUP(P934,Constants!$D$3:$E$10,2),"")</f>
        <v/>
      </c>
    </row>
    <row r="935" spans="12:20" x14ac:dyDescent="0.25">
      <c r="L935" s="10" t="str">
        <f t="shared" si="129"/>
        <v/>
      </c>
      <c r="M935" s="10" t="str">
        <f t="shared" si="130"/>
        <v/>
      </c>
      <c r="N935" s="11" t="str">
        <f t="shared" si="133"/>
        <v/>
      </c>
      <c r="O935" s="10" t="str">
        <f t="shared" si="134"/>
        <v/>
      </c>
      <c r="P935" s="39" t="str">
        <f t="shared" si="135"/>
        <v/>
      </c>
      <c r="Q935" s="13" t="str">
        <f t="shared" si="131"/>
        <v/>
      </c>
      <c r="R935" s="13" t="str">
        <f t="shared" si="136"/>
        <v/>
      </c>
      <c r="S935" s="13" t="str">
        <f t="shared" si="132"/>
        <v/>
      </c>
      <c r="T935" s="22" t="str">
        <f>IF(R935&lt;&gt;"",VLOOKUP(P935,Constants!$D$3:$E$10,2),"")</f>
        <v/>
      </c>
    </row>
    <row r="936" spans="12:20" x14ac:dyDescent="0.25">
      <c r="L936" s="10" t="str">
        <f t="shared" si="129"/>
        <v/>
      </c>
      <c r="M936" s="10" t="str">
        <f t="shared" si="130"/>
        <v/>
      </c>
      <c r="N936" s="11" t="str">
        <f t="shared" si="133"/>
        <v/>
      </c>
      <c r="O936" s="10" t="str">
        <f t="shared" si="134"/>
        <v/>
      </c>
      <c r="P936" s="39" t="str">
        <f t="shared" si="135"/>
        <v/>
      </c>
      <c r="Q936" s="13" t="str">
        <f t="shared" si="131"/>
        <v/>
      </c>
      <c r="R936" s="13" t="str">
        <f t="shared" si="136"/>
        <v/>
      </c>
      <c r="S936" s="13" t="str">
        <f t="shared" si="132"/>
        <v/>
      </c>
      <c r="T936" s="22" t="str">
        <f>IF(R936&lt;&gt;"",VLOOKUP(P936,Constants!$D$3:$E$10,2),"")</f>
        <v/>
      </c>
    </row>
    <row r="937" spans="12:20" x14ac:dyDescent="0.25">
      <c r="L937" s="10" t="str">
        <f t="shared" si="129"/>
        <v/>
      </c>
      <c r="M937" s="10" t="str">
        <f t="shared" si="130"/>
        <v/>
      </c>
      <c r="N937" s="11" t="str">
        <f t="shared" si="133"/>
        <v/>
      </c>
      <c r="O937" s="10" t="str">
        <f t="shared" si="134"/>
        <v/>
      </c>
      <c r="P937" s="39" t="str">
        <f t="shared" si="135"/>
        <v/>
      </c>
      <c r="Q937" s="13" t="str">
        <f t="shared" si="131"/>
        <v/>
      </c>
      <c r="R937" s="13" t="str">
        <f t="shared" si="136"/>
        <v/>
      </c>
      <c r="S937" s="13" t="str">
        <f t="shared" si="132"/>
        <v/>
      </c>
      <c r="T937" s="22" t="str">
        <f>IF(R937&lt;&gt;"",VLOOKUP(P937,Constants!$D$3:$E$10,2),"")</f>
        <v/>
      </c>
    </row>
    <row r="938" spans="12:20" x14ac:dyDescent="0.25">
      <c r="L938" s="10" t="str">
        <f t="shared" si="129"/>
        <v/>
      </c>
      <c r="M938" s="10" t="str">
        <f t="shared" si="130"/>
        <v/>
      </c>
      <c r="N938" s="11" t="str">
        <f t="shared" si="133"/>
        <v/>
      </c>
      <c r="O938" s="10" t="str">
        <f t="shared" si="134"/>
        <v/>
      </c>
      <c r="P938" s="39" t="str">
        <f t="shared" si="135"/>
        <v/>
      </c>
      <c r="Q938" s="13" t="str">
        <f t="shared" si="131"/>
        <v/>
      </c>
      <c r="R938" s="13" t="str">
        <f t="shared" si="136"/>
        <v/>
      </c>
      <c r="S938" s="13" t="str">
        <f t="shared" si="132"/>
        <v/>
      </c>
      <c r="T938" s="22" t="str">
        <f>IF(R938&lt;&gt;"",VLOOKUP(P938,Constants!$D$3:$E$10,2),"")</f>
        <v/>
      </c>
    </row>
    <row r="939" spans="12:20" x14ac:dyDescent="0.25">
      <c r="L939" s="10" t="str">
        <f t="shared" si="129"/>
        <v/>
      </c>
      <c r="M939" s="10" t="str">
        <f t="shared" si="130"/>
        <v/>
      </c>
      <c r="N939" s="11" t="str">
        <f t="shared" si="133"/>
        <v/>
      </c>
      <c r="O939" s="10" t="str">
        <f t="shared" si="134"/>
        <v/>
      </c>
      <c r="P939" s="39" t="str">
        <f t="shared" si="135"/>
        <v/>
      </c>
      <c r="Q939" s="13" t="str">
        <f t="shared" si="131"/>
        <v/>
      </c>
      <c r="R939" s="13" t="str">
        <f t="shared" si="136"/>
        <v/>
      </c>
      <c r="S939" s="13" t="str">
        <f t="shared" si="132"/>
        <v/>
      </c>
      <c r="T939" s="22" t="str">
        <f>IF(R939&lt;&gt;"",VLOOKUP(P939,Constants!$D$3:$E$10,2),"")</f>
        <v/>
      </c>
    </row>
    <row r="940" spans="12:20" x14ac:dyDescent="0.25">
      <c r="L940" s="10" t="str">
        <f t="shared" si="129"/>
        <v/>
      </c>
      <c r="M940" s="10" t="str">
        <f t="shared" si="130"/>
        <v/>
      </c>
      <c r="N940" s="11" t="str">
        <f t="shared" si="133"/>
        <v/>
      </c>
      <c r="O940" s="10" t="str">
        <f t="shared" si="134"/>
        <v/>
      </c>
      <c r="P940" s="39" t="str">
        <f t="shared" si="135"/>
        <v/>
      </c>
      <c r="Q940" s="13" t="str">
        <f t="shared" si="131"/>
        <v/>
      </c>
      <c r="R940" s="13" t="str">
        <f t="shared" si="136"/>
        <v/>
      </c>
      <c r="S940" s="13" t="str">
        <f t="shared" si="132"/>
        <v/>
      </c>
      <c r="T940" s="22" t="str">
        <f>IF(R940&lt;&gt;"",VLOOKUP(P940,Constants!$D$3:$E$10,2),"")</f>
        <v/>
      </c>
    </row>
    <row r="941" spans="12:20" x14ac:dyDescent="0.25">
      <c r="L941" s="10" t="str">
        <f t="shared" si="129"/>
        <v/>
      </c>
      <c r="M941" s="10" t="str">
        <f t="shared" si="130"/>
        <v/>
      </c>
      <c r="N941" s="11" t="str">
        <f t="shared" si="133"/>
        <v/>
      </c>
      <c r="O941" s="10" t="str">
        <f t="shared" si="134"/>
        <v/>
      </c>
      <c r="P941" s="39" t="str">
        <f t="shared" si="135"/>
        <v/>
      </c>
      <c r="Q941" s="13" t="str">
        <f t="shared" si="131"/>
        <v/>
      </c>
      <c r="R941" s="13" t="str">
        <f t="shared" si="136"/>
        <v/>
      </c>
      <c r="S941" s="13" t="str">
        <f t="shared" si="132"/>
        <v/>
      </c>
      <c r="T941" s="22" t="str">
        <f>IF(R941&lt;&gt;"",VLOOKUP(P941,Constants!$D$3:$E$10,2),"")</f>
        <v/>
      </c>
    </row>
    <row r="942" spans="12:20" x14ac:dyDescent="0.25">
      <c r="L942" s="10" t="str">
        <f t="shared" si="129"/>
        <v/>
      </c>
      <c r="M942" s="10" t="str">
        <f t="shared" si="130"/>
        <v/>
      </c>
      <c r="N942" s="11" t="str">
        <f t="shared" si="133"/>
        <v/>
      </c>
      <c r="O942" s="10" t="str">
        <f t="shared" si="134"/>
        <v/>
      </c>
      <c r="P942" s="39" t="str">
        <f t="shared" si="135"/>
        <v/>
      </c>
      <c r="Q942" s="13" t="str">
        <f t="shared" si="131"/>
        <v/>
      </c>
      <c r="R942" s="13" t="str">
        <f t="shared" si="136"/>
        <v/>
      </c>
      <c r="S942" s="13" t="str">
        <f t="shared" si="132"/>
        <v/>
      </c>
      <c r="T942" s="22" t="str">
        <f>IF(R942&lt;&gt;"",VLOOKUP(P942,Constants!$D$3:$E$10,2),"")</f>
        <v/>
      </c>
    </row>
    <row r="943" spans="12:20" x14ac:dyDescent="0.25">
      <c r="L943" s="10" t="str">
        <f t="shared" si="129"/>
        <v/>
      </c>
      <c r="M943" s="10" t="str">
        <f t="shared" si="130"/>
        <v/>
      </c>
      <c r="N943" s="11" t="str">
        <f t="shared" si="133"/>
        <v/>
      </c>
      <c r="O943" s="10" t="str">
        <f t="shared" si="134"/>
        <v/>
      </c>
      <c r="P943" s="39" t="str">
        <f t="shared" si="135"/>
        <v/>
      </c>
      <c r="Q943" s="13" t="str">
        <f t="shared" si="131"/>
        <v/>
      </c>
      <c r="R943" s="13" t="str">
        <f t="shared" si="136"/>
        <v/>
      </c>
      <c r="S943" s="13" t="str">
        <f t="shared" si="132"/>
        <v/>
      </c>
      <c r="T943" s="22" t="str">
        <f>IF(R943&lt;&gt;"",VLOOKUP(P943,Constants!$D$3:$E$10,2),"")</f>
        <v/>
      </c>
    </row>
    <row r="944" spans="12:20" x14ac:dyDescent="0.25">
      <c r="L944" s="10" t="str">
        <f t="shared" si="129"/>
        <v/>
      </c>
      <c r="M944" s="10" t="str">
        <f t="shared" si="130"/>
        <v/>
      </c>
      <c r="N944" s="11" t="str">
        <f t="shared" si="133"/>
        <v/>
      </c>
      <c r="O944" s="10" t="str">
        <f t="shared" si="134"/>
        <v/>
      </c>
      <c r="P944" s="39" t="str">
        <f t="shared" si="135"/>
        <v/>
      </c>
      <c r="Q944" s="13" t="str">
        <f t="shared" si="131"/>
        <v/>
      </c>
      <c r="R944" s="13" t="str">
        <f t="shared" si="136"/>
        <v/>
      </c>
      <c r="S944" s="13" t="str">
        <f t="shared" si="132"/>
        <v/>
      </c>
      <c r="T944" s="22" t="str">
        <f>IF(R944&lt;&gt;"",VLOOKUP(P944,Constants!$D$3:$E$10,2),"")</f>
        <v/>
      </c>
    </row>
    <row r="945" spans="12:20" x14ac:dyDescent="0.25">
      <c r="L945" s="10" t="str">
        <f t="shared" si="129"/>
        <v/>
      </c>
      <c r="M945" s="10" t="str">
        <f t="shared" si="130"/>
        <v/>
      </c>
      <c r="N945" s="11" t="str">
        <f t="shared" si="133"/>
        <v/>
      </c>
      <c r="O945" s="10" t="str">
        <f t="shared" si="134"/>
        <v/>
      </c>
      <c r="P945" s="39" t="str">
        <f t="shared" si="135"/>
        <v/>
      </c>
      <c r="Q945" s="13" t="str">
        <f t="shared" si="131"/>
        <v/>
      </c>
      <c r="R945" s="13" t="str">
        <f t="shared" si="136"/>
        <v/>
      </c>
      <c r="S945" s="13" t="str">
        <f t="shared" si="132"/>
        <v/>
      </c>
      <c r="T945" s="22" t="str">
        <f>IF(R945&lt;&gt;"",VLOOKUP(P945,Constants!$D$3:$E$10,2),"")</f>
        <v/>
      </c>
    </row>
    <row r="946" spans="12:20" x14ac:dyDescent="0.25">
      <c r="L946" s="10" t="str">
        <f t="shared" si="129"/>
        <v/>
      </c>
      <c r="M946" s="10" t="str">
        <f t="shared" si="130"/>
        <v/>
      </c>
      <c r="N946" s="11" t="str">
        <f t="shared" si="133"/>
        <v/>
      </c>
      <c r="O946" s="10" t="str">
        <f t="shared" si="134"/>
        <v/>
      </c>
      <c r="P946" s="39" t="str">
        <f t="shared" si="135"/>
        <v/>
      </c>
      <c r="Q946" s="13" t="str">
        <f t="shared" si="131"/>
        <v/>
      </c>
      <c r="R946" s="13" t="str">
        <f t="shared" si="136"/>
        <v/>
      </c>
      <c r="S946" s="13" t="str">
        <f t="shared" si="132"/>
        <v/>
      </c>
      <c r="T946" s="22" t="str">
        <f>IF(R946&lt;&gt;"",VLOOKUP(P946,Constants!$D$3:$E$10,2),"")</f>
        <v/>
      </c>
    </row>
    <row r="947" spans="12:20" x14ac:dyDescent="0.25">
      <c r="L947" s="10" t="str">
        <f t="shared" si="129"/>
        <v/>
      </c>
      <c r="M947" s="10" t="str">
        <f t="shared" si="130"/>
        <v/>
      </c>
      <c r="N947" s="11" t="str">
        <f t="shared" si="133"/>
        <v/>
      </c>
      <c r="O947" s="10" t="str">
        <f t="shared" si="134"/>
        <v/>
      </c>
      <c r="P947" s="39" t="str">
        <f t="shared" si="135"/>
        <v/>
      </c>
      <c r="Q947" s="13" t="str">
        <f t="shared" si="131"/>
        <v/>
      </c>
      <c r="R947" s="13" t="str">
        <f t="shared" si="136"/>
        <v/>
      </c>
      <c r="S947" s="13" t="str">
        <f t="shared" si="132"/>
        <v/>
      </c>
      <c r="T947" s="22" t="str">
        <f>IF(R947&lt;&gt;"",VLOOKUP(P947,Constants!$D$3:$E$10,2),"")</f>
        <v/>
      </c>
    </row>
    <row r="948" spans="12:20" x14ac:dyDescent="0.25">
      <c r="L948" s="10" t="str">
        <f t="shared" si="129"/>
        <v/>
      </c>
      <c r="M948" s="10" t="str">
        <f t="shared" si="130"/>
        <v/>
      </c>
      <c r="N948" s="11" t="str">
        <f t="shared" si="133"/>
        <v/>
      </c>
      <c r="O948" s="10" t="str">
        <f t="shared" si="134"/>
        <v/>
      </c>
      <c r="P948" s="39" t="str">
        <f t="shared" si="135"/>
        <v/>
      </c>
      <c r="Q948" s="13" t="str">
        <f t="shared" si="131"/>
        <v/>
      </c>
      <c r="R948" s="13" t="str">
        <f t="shared" si="136"/>
        <v/>
      </c>
      <c r="S948" s="13" t="str">
        <f t="shared" si="132"/>
        <v/>
      </c>
      <c r="T948" s="22" t="str">
        <f>IF(R948&lt;&gt;"",VLOOKUP(P948,Constants!$D$3:$E$10,2),"")</f>
        <v/>
      </c>
    </row>
    <row r="949" spans="12:20" x14ac:dyDescent="0.25">
      <c r="L949" s="10" t="str">
        <f t="shared" si="129"/>
        <v/>
      </c>
      <c r="M949" s="10" t="str">
        <f t="shared" si="130"/>
        <v/>
      </c>
      <c r="N949" s="11" t="str">
        <f t="shared" si="133"/>
        <v/>
      </c>
      <c r="O949" s="10" t="str">
        <f t="shared" si="134"/>
        <v/>
      </c>
      <c r="P949" s="39" t="str">
        <f t="shared" si="135"/>
        <v/>
      </c>
      <c r="Q949" s="13" t="str">
        <f t="shared" si="131"/>
        <v/>
      </c>
      <c r="R949" s="13" t="str">
        <f t="shared" si="136"/>
        <v/>
      </c>
      <c r="S949" s="13" t="str">
        <f t="shared" si="132"/>
        <v/>
      </c>
      <c r="T949" s="22" t="str">
        <f>IF(R949&lt;&gt;"",VLOOKUP(P949,Constants!$D$3:$E$10,2),"")</f>
        <v/>
      </c>
    </row>
    <row r="950" spans="12:20" x14ac:dyDescent="0.25">
      <c r="L950" s="10" t="str">
        <f t="shared" si="129"/>
        <v/>
      </c>
      <c r="M950" s="10" t="str">
        <f t="shared" si="130"/>
        <v/>
      </c>
      <c r="N950" s="11" t="str">
        <f t="shared" si="133"/>
        <v/>
      </c>
      <c r="O950" s="10" t="str">
        <f t="shared" si="134"/>
        <v/>
      </c>
      <c r="P950" s="39" t="str">
        <f t="shared" si="135"/>
        <v/>
      </c>
      <c r="Q950" s="13" t="str">
        <f t="shared" si="131"/>
        <v/>
      </c>
      <c r="R950" s="13" t="str">
        <f t="shared" si="136"/>
        <v/>
      </c>
      <c r="S950" s="13" t="str">
        <f t="shared" si="132"/>
        <v/>
      </c>
      <c r="T950" s="22" t="str">
        <f>IF(R950&lt;&gt;"",VLOOKUP(P950,Constants!$D$3:$E$10,2),"")</f>
        <v/>
      </c>
    </row>
    <row r="951" spans="12:20" x14ac:dyDescent="0.25">
      <c r="L951" s="10" t="str">
        <f t="shared" si="129"/>
        <v/>
      </c>
      <c r="M951" s="10" t="str">
        <f t="shared" si="130"/>
        <v/>
      </c>
      <c r="N951" s="11" t="str">
        <f t="shared" si="133"/>
        <v/>
      </c>
      <c r="O951" s="10" t="str">
        <f t="shared" si="134"/>
        <v/>
      </c>
      <c r="P951" s="39" t="str">
        <f t="shared" si="135"/>
        <v/>
      </c>
      <c r="Q951" s="13" t="str">
        <f t="shared" si="131"/>
        <v/>
      </c>
      <c r="R951" s="13" t="str">
        <f t="shared" si="136"/>
        <v/>
      </c>
      <c r="S951" s="13" t="str">
        <f t="shared" si="132"/>
        <v/>
      </c>
      <c r="T951" s="22" t="str">
        <f>IF(R951&lt;&gt;"",VLOOKUP(P951,Constants!$D$3:$E$10,2),"")</f>
        <v/>
      </c>
    </row>
    <row r="952" spans="12:20" x14ac:dyDescent="0.25">
      <c r="L952" s="10" t="str">
        <f t="shared" si="129"/>
        <v/>
      </c>
      <c r="M952" s="10" t="str">
        <f t="shared" si="130"/>
        <v/>
      </c>
      <c r="N952" s="11" t="str">
        <f t="shared" si="133"/>
        <v/>
      </c>
      <c r="O952" s="10" t="str">
        <f t="shared" si="134"/>
        <v/>
      </c>
      <c r="P952" s="39" t="str">
        <f t="shared" si="135"/>
        <v/>
      </c>
      <c r="Q952" s="13" t="str">
        <f t="shared" si="131"/>
        <v/>
      </c>
      <c r="R952" s="13" t="str">
        <f t="shared" si="136"/>
        <v/>
      </c>
      <c r="S952" s="13" t="str">
        <f t="shared" si="132"/>
        <v/>
      </c>
      <c r="T952" s="22" t="str">
        <f>IF(R952&lt;&gt;"",VLOOKUP(P952,Constants!$D$3:$E$10,2),"")</f>
        <v/>
      </c>
    </row>
    <row r="953" spans="12:20" x14ac:dyDescent="0.25">
      <c r="L953" s="10" t="str">
        <f t="shared" si="129"/>
        <v/>
      </c>
      <c r="M953" s="10" t="str">
        <f t="shared" si="130"/>
        <v/>
      </c>
      <c r="N953" s="11" t="str">
        <f t="shared" si="133"/>
        <v/>
      </c>
      <c r="O953" s="10" t="str">
        <f t="shared" si="134"/>
        <v/>
      </c>
      <c r="P953" s="39" t="str">
        <f t="shared" si="135"/>
        <v/>
      </c>
      <c r="Q953" s="13" t="str">
        <f t="shared" si="131"/>
        <v/>
      </c>
      <c r="R953" s="13" t="str">
        <f t="shared" si="136"/>
        <v/>
      </c>
      <c r="S953" s="13" t="str">
        <f t="shared" si="132"/>
        <v/>
      </c>
      <c r="T953" s="22" t="str">
        <f>IF(R953&lt;&gt;"",VLOOKUP(P953,Constants!$D$3:$E$10,2),"")</f>
        <v/>
      </c>
    </row>
    <row r="954" spans="12:20" x14ac:dyDescent="0.25">
      <c r="L954" s="10" t="str">
        <f t="shared" si="129"/>
        <v/>
      </c>
      <c r="M954" s="10" t="str">
        <f t="shared" si="130"/>
        <v/>
      </c>
      <c r="N954" s="11" t="str">
        <f t="shared" si="133"/>
        <v/>
      </c>
      <c r="O954" s="10" t="str">
        <f t="shared" si="134"/>
        <v/>
      </c>
      <c r="P954" s="39" t="str">
        <f t="shared" si="135"/>
        <v/>
      </c>
      <c r="Q954" s="13" t="str">
        <f t="shared" si="131"/>
        <v/>
      </c>
      <c r="R954" s="13" t="str">
        <f t="shared" si="136"/>
        <v/>
      </c>
      <c r="S954" s="13" t="str">
        <f t="shared" si="132"/>
        <v/>
      </c>
      <c r="T954" s="22" t="str">
        <f>IF(R954&lt;&gt;"",VLOOKUP(P954,Constants!$D$3:$E$10,2),"")</f>
        <v/>
      </c>
    </row>
    <row r="955" spans="12:20" x14ac:dyDescent="0.25">
      <c r="L955" s="10" t="str">
        <f t="shared" si="129"/>
        <v/>
      </c>
      <c r="M955" s="10" t="str">
        <f t="shared" si="130"/>
        <v/>
      </c>
      <c r="N955" s="11" t="str">
        <f t="shared" si="133"/>
        <v/>
      </c>
      <c r="O955" s="10" t="str">
        <f t="shared" si="134"/>
        <v/>
      </c>
      <c r="P955" s="39" t="str">
        <f t="shared" si="135"/>
        <v/>
      </c>
      <c r="Q955" s="13" t="str">
        <f t="shared" si="131"/>
        <v/>
      </c>
      <c r="R955" s="13" t="str">
        <f t="shared" si="136"/>
        <v/>
      </c>
      <c r="S955" s="13" t="str">
        <f t="shared" si="132"/>
        <v/>
      </c>
      <c r="T955" s="22" t="str">
        <f>IF(R955&lt;&gt;"",VLOOKUP(P955,Constants!$D$3:$E$10,2),"")</f>
        <v/>
      </c>
    </row>
    <row r="956" spans="12:20" x14ac:dyDescent="0.25">
      <c r="L956" s="10" t="str">
        <f t="shared" si="129"/>
        <v/>
      </c>
      <c r="M956" s="10" t="str">
        <f t="shared" si="130"/>
        <v/>
      </c>
      <c r="N956" s="11" t="str">
        <f t="shared" si="133"/>
        <v/>
      </c>
      <c r="O956" s="10" t="str">
        <f t="shared" si="134"/>
        <v/>
      </c>
      <c r="P956" s="39" t="str">
        <f t="shared" si="135"/>
        <v/>
      </c>
      <c r="Q956" s="13" t="str">
        <f t="shared" si="131"/>
        <v/>
      </c>
      <c r="R956" s="13" t="str">
        <f t="shared" si="136"/>
        <v/>
      </c>
      <c r="S956" s="13" t="str">
        <f t="shared" si="132"/>
        <v/>
      </c>
      <c r="T956" s="22" t="str">
        <f>IF(R956&lt;&gt;"",VLOOKUP(P956,Constants!$D$3:$E$10,2),"")</f>
        <v/>
      </c>
    </row>
    <row r="957" spans="12:20" x14ac:dyDescent="0.25">
      <c r="L957" s="10" t="str">
        <f t="shared" si="129"/>
        <v/>
      </c>
      <c r="M957" s="10" t="str">
        <f t="shared" si="130"/>
        <v/>
      </c>
      <c r="N957" s="11" t="str">
        <f t="shared" si="133"/>
        <v/>
      </c>
      <c r="O957" s="10" t="str">
        <f t="shared" si="134"/>
        <v/>
      </c>
      <c r="P957" s="39" t="str">
        <f t="shared" si="135"/>
        <v/>
      </c>
      <c r="Q957" s="13" t="str">
        <f t="shared" si="131"/>
        <v/>
      </c>
      <c r="R957" s="13" t="str">
        <f t="shared" si="136"/>
        <v/>
      </c>
      <c r="S957" s="13" t="str">
        <f t="shared" si="132"/>
        <v/>
      </c>
      <c r="T957" s="22" t="str">
        <f>IF(R957&lt;&gt;"",VLOOKUP(P957,Constants!$D$3:$E$10,2),"")</f>
        <v/>
      </c>
    </row>
    <row r="958" spans="12:20" x14ac:dyDescent="0.25">
      <c r="L958" s="10" t="str">
        <f t="shared" si="129"/>
        <v/>
      </c>
      <c r="M958" s="10" t="str">
        <f t="shared" si="130"/>
        <v/>
      </c>
      <c r="N958" s="11" t="str">
        <f t="shared" si="133"/>
        <v/>
      </c>
      <c r="O958" s="10" t="str">
        <f t="shared" si="134"/>
        <v/>
      </c>
      <c r="P958" s="39" t="str">
        <f t="shared" si="135"/>
        <v/>
      </c>
      <c r="Q958" s="13" t="str">
        <f t="shared" si="131"/>
        <v/>
      </c>
      <c r="R958" s="13" t="str">
        <f t="shared" si="136"/>
        <v/>
      </c>
      <c r="S958" s="13" t="str">
        <f t="shared" si="132"/>
        <v/>
      </c>
      <c r="T958" s="22" t="str">
        <f>IF(R958&lt;&gt;"",VLOOKUP(P958,Constants!$D$3:$E$10,2),"")</f>
        <v/>
      </c>
    </row>
    <row r="959" spans="12:20" x14ac:dyDescent="0.25">
      <c r="L959" s="10" t="str">
        <f t="shared" si="129"/>
        <v/>
      </c>
      <c r="M959" s="10" t="str">
        <f t="shared" si="130"/>
        <v/>
      </c>
      <c r="N959" s="11" t="str">
        <f t="shared" si="133"/>
        <v/>
      </c>
      <c r="O959" s="10" t="str">
        <f t="shared" si="134"/>
        <v/>
      </c>
      <c r="P959" s="39" t="str">
        <f t="shared" si="135"/>
        <v/>
      </c>
      <c r="Q959" s="13" t="str">
        <f t="shared" si="131"/>
        <v/>
      </c>
      <c r="R959" s="13" t="str">
        <f t="shared" si="136"/>
        <v/>
      </c>
      <c r="S959" s="13" t="str">
        <f t="shared" si="132"/>
        <v/>
      </c>
      <c r="T959" s="22" t="str">
        <f>IF(R959&lt;&gt;"",VLOOKUP(P959,Constants!$D$3:$E$10,2),"")</f>
        <v/>
      </c>
    </row>
    <row r="960" spans="12:20" x14ac:dyDescent="0.25">
      <c r="L960" s="10" t="str">
        <f t="shared" si="129"/>
        <v/>
      </c>
      <c r="M960" s="10" t="str">
        <f t="shared" si="130"/>
        <v/>
      </c>
      <c r="N960" s="11" t="str">
        <f t="shared" si="133"/>
        <v/>
      </c>
      <c r="O960" s="10" t="str">
        <f t="shared" si="134"/>
        <v/>
      </c>
      <c r="P960" s="39" t="str">
        <f t="shared" si="135"/>
        <v/>
      </c>
      <c r="Q960" s="13" t="str">
        <f t="shared" si="131"/>
        <v/>
      </c>
      <c r="R960" s="13" t="str">
        <f t="shared" si="136"/>
        <v/>
      </c>
      <c r="S960" s="13" t="str">
        <f t="shared" si="132"/>
        <v/>
      </c>
      <c r="T960" s="22" t="str">
        <f>IF(R960&lt;&gt;"",VLOOKUP(P960,Constants!$D$3:$E$10,2),"")</f>
        <v/>
      </c>
    </row>
    <row r="961" spans="12:20" x14ac:dyDescent="0.25">
      <c r="L961" s="10" t="str">
        <f t="shared" si="129"/>
        <v/>
      </c>
      <c r="M961" s="10" t="str">
        <f t="shared" si="130"/>
        <v/>
      </c>
      <c r="N961" s="11" t="str">
        <f t="shared" si="133"/>
        <v/>
      </c>
      <c r="O961" s="10" t="str">
        <f t="shared" si="134"/>
        <v/>
      </c>
      <c r="P961" s="39" t="str">
        <f t="shared" si="135"/>
        <v/>
      </c>
      <c r="Q961" s="13" t="str">
        <f t="shared" si="131"/>
        <v/>
      </c>
      <c r="R961" s="13" t="str">
        <f t="shared" si="136"/>
        <v/>
      </c>
      <c r="S961" s="13" t="str">
        <f t="shared" si="132"/>
        <v/>
      </c>
      <c r="T961" s="22" t="str">
        <f>IF(R961&lt;&gt;"",VLOOKUP(P961,Constants!$D$3:$E$10,2),"")</f>
        <v/>
      </c>
    </row>
    <row r="962" spans="12:20" x14ac:dyDescent="0.25">
      <c r="L962" s="10" t="str">
        <f t="shared" si="129"/>
        <v/>
      </c>
      <c r="M962" s="10" t="str">
        <f t="shared" si="130"/>
        <v/>
      </c>
      <c r="N962" s="11" t="str">
        <f t="shared" si="133"/>
        <v/>
      </c>
      <c r="O962" s="10" t="str">
        <f t="shared" si="134"/>
        <v/>
      </c>
      <c r="P962" s="39" t="str">
        <f t="shared" si="135"/>
        <v/>
      </c>
      <c r="Q962" s="13" t="str">
        <f t="shared" si="131"/>
        <v/>
      </c>
      <c r="R962" s="13" t="str">
        <f t="shared" si="136"/>
        <v/>
      </c>
      <c r="S962" s="13" t="str">
        <f t="shared" si="132"/>
        <v/>
      </c>
      <c r="T962" s="22" t="str">
        <f>IF(R962&lt;&gt;"",VLOOKUP(P962,Constants!$D$3:$E$10,2),"")</f>
        <v/>
      </c>
    </row>
    <row r="963" spans="12:20" x14ac:dyDescent="0.25">
      <c r="L963" s="10" t="str">
        <f t="shared" si="129"/>
        <v/>
      </c>
      <c r="M963" s="10" t="str">
        <f t="shared" si="130"/>
        <v/>
      </c>
      <c r="N963" s="11" t="str">
        <f t="shared" si="133"/>
        <v/>
      </c>
      <c r="O963" s="10" t="str">
        <f t="shared" si="134"/>
        <v/>
      </c>
      <c r="P963" s="39" t="str">
        <f t="shared" si="135"/>
        <v/>
      </c>
      <c r="Q963" s="13" t="str">
        <f t="shared" si="131"/>
        <v/>
      </c>
      <c r="R963" s="13" t="str">
        <f t="shared" si="136"/>
        <v/>
      </c>
      <c r="S963" s="13" t="str">
        <f t="shared" si="132"/>
        <v/>
      </c>
      <c r="T963" s="22" t="str">
        <f>IF(R963&lt;&gt;"",VLOOKUP(P963,Constants!$D$3:$E$10,2),"")</f>
        <v/>
      </c>
    </row>
    <row r="964" spans="12:20" x14ac:dyDescent="0.25">
      <c r="L964" s="10" t="str">
        <f t="shared" si="129"/>
        <v/>
      </c>
      <c r="M964" s="10" t="str">
        <f t="shared" si="130"/>
        <v/>
      </c>
      <c r="N964" s="11" t="str">
        <f t="shared" si="133"/>
        <v/>
      </c>
      <c r="O964" s="10" t="str">
        <f t="shared" si="134"/>
        <v/>
      </c>
      <c r="P964" s="39" t="str">
        <f t="shared" si="135"/>
        <v/>
      </c>
      <c r="Q964" s="13" t="str">
        <f t="shared" si="131"/>
        <v/>
      </c>
      <c r="R964" s="13" t="str">
        <f t="shared" si="136"/>
        <v/>
      </c>
      <c r="S964" s="13" t="str">
        <f t="shared" si="132"/>
        <v/>
      </c>
      <c r="T964" s="22" t="str">
        <f>IF(R964&lt;&gt;"",VLOOKUP(P964,Constants!$D$3:$E$10,2),"")</f>
        <v/>
      </c>
    </row>
    <row r="965" spans="12:20" x14ac:dyDescent="0.25">
      <c r="L965" s="10" t="str">
        <f t="shared" si="129"/>
        <v/>
      </c>
      <c r="M965" s="10" t="str">
        <f t="shared" si="130"/>
        <v/>
      </c>
      <c r="N965" s="11" t="str">
        <f t="shared" si="133"/>
        <v/>
      </c>
      <c r="O965" s="10" t="str">
        <f t="shared" si="134"/>
        <v/>
      </c>
      <c r="P965" s="39" t="str">
        <f t="shared" si="135"/>
        <v/>
      </c>
      <c r="Q965" s="13" t="str">
        <f t="shared" si="131"/>
        <v/>
      </c>
      <c r="R965" s="13" t="str">
        <f t="shared" si="136"/>
        <v/>
      </c>
      <c r="S965" s="13" t="str">
        <f t="shared" si="132"/>
        <v/>
      </c>
      <c r="T965" s="22" t="str">
        <f>IF(R965&lt;&gt;"",VLOOKUP(P965,Constants!$D$3:$E$10,2),"")</f>
        <v/>
      </c>
    </row>
    <row r="966" spans="12:20" x14ac:dyDescent="0.25">
      <c r="L966" s="10" t="str">
        <f t="shared" si="129"/>
        <v/>
      </c>
      <c r="M966" s="10" t="str">
        <f t="shared" si="130"/>
        <v/>
      </c>
      <c r="N966" s="11" t="str">
        <f t="shared" si="133"/>
        <v/>
      </c>
      <c r="O966" s="10" t="str">
        <f t="shared" si="134"/>
        <v/>
      </c>
      <c r="P966" s="39" t="str">
        <f t="shared" si="135"/>
        <v/>
      </c>
      <c r="Q966" s="13" t="str">
        <f t="shared" si="131"/>
        <v/>
      </c>
      <c r="R966" s="13" t="str">
        <f t="shared" si="136"/>
        <v/>
      </c>
      <c r="S966" s="13" t="str">
        <f t="shared" si="132"/>
        <v/>
      </c>
      <c r="T966" s="22" t="str">
        <f>IF(R966&lt;&gt;"",VLOOKUP(P966,Constants!$D$3:$E$10,2),"")</f>
        <v/>
      </c>
    </row>
    <row r="967" spans="12:20" x14ac:dyDescent="0.25">
      <c r="L967" s="10" t="str">
        <f t="shared" si="129"/>
        <v/>
      </c>
      <c r="M967" s="10" t="str">
        <f t="shared" si="130"/>
        <v/>
      </c>
      <c r="N967" s="11" t="str">
        <f t="shared" si="133"/>
        <v/>
      </c>
      <c r="O967" s="10" t="str">
        <f t="shared" si="134"/>
        <v/>
      </c>
      <c r="P967" s="39" t="str">
        <f t="shared" si="135"/>
        <v/>
      </c>
      <c r="Q967" s="13" t="str">
        <f t="shared" si="131"/>
        <v/>
      </c>
      <c r="R967" s="13" t="str">
        <f t="shared" si="136"/>
        <v/>
      </c>
      <c r="S967" s="13" t="str">
        <f t="shared" si="132"/>
        <v/>
      </c>
      <c r="T967" s="22" t="str">
        <f>IF(R967&lt;&gt;"",VLOOKUP(P967,Constants!$D$3:$E$10,2),"")</f>
        <v/>
      </c>
    </row>
    <row r="968" spans="12:20" x14ac:dyDescent="0.25">
      <c r="L968" s="10" t="str">
        <f t="shared" ref="L968:L1031" si="137">IF($D968&lt;&gt;"",$D968*$E968/1000,"")</f>
        <v/>
      </c>
      <c r="M968" s="10" t="str">
        <f t="shared" ref="M968:M1031" si="138">IF($D968&lt;&gt;"",$D968*$F968/1000,"")</f>
        <v/>
      </c>
      <c r="N968" s="11" t="str">
        <f t="shared" si="133"/>
        <v/>
      </c>
      <c r="O968" s="10" t="str">
        <f t="shared" si="134"/>
        <v/>
      </c>
      <c r="P968" s="39" t="str">
        <f t="shared" si="135"/>
        <v/>
      </c>
      <c r="Q968" s="13" t="str">
        <f t="shared" ref="Q968:Q1031" si="139">IF(F968&lt;&gt;"",F968*E968/1000,"")</f>
        <v/>
      </c>
      <c r="R968" s="13" t="str">
        <f t="shared" si="136"/>
        <v/>
      </c>
      <c r="S968" s="13" t="str">
        <f t="shared" ref="S968:S1031" si="140">IF(R968&lt;&gt;"",Q968/R968*1000,"")</f>
        <v/>
      </c>
      <c r="T968" s="22" t="str">
        <f>IF(R968&lt;&gt;"",VLOOKUP(P968,Constants!$D$3:$E$10,2),"")</f>
        <v/>
      </c>
    </row>
    <row r="969" spans="12:20" x14ac:dyDescent="0.25">
      <c r="L969" s="10" t="str">
        <f t="shared" si="137"/>
        <v/>
      </c>
      <c r="M969" s="10" t="str">
        <f t="shared" si="138"/>
        <v/>
      </c>
      <c r="N969" s="11" t="str">
        <f t="shared" si="133"/>
        <v/>
      </c>
      <c r="O969" s="10" t="str">
        <f t="shared" si="134"/>
        <v/>
      </c>
      <c r="P969" s="39" t="str">
        <f t="shared" si="135"/>
        <v/>
      </c>
      <c r="Q969" s="13" t="str">
        <f t="shared" si="139"/>
        <v/>
      </c>
      <c r="R969" s="13" t="str">
        <f t="shared" si="136"/>
        <v/>
      </c>
      <c r="S969" s="13" t="str">
        <f t="shared" si="140"/>
        <v/>
      </c>
      <c r="T969" s="22" t="str">
        <f>IF(R969&lt;&gt;"",VLOOKUP(P969,Constants!$D$3:$E$10,2),"")</f>
        <v/>
      </c>
    </row>
    <row r="970" spans="12:20" x14ac:dyDescent="0.25">
      <c r="L970" s="10" t="str">
        <f t="shared" si="137"/>
        <v/>
      </c>
      <c r="M970" s="10" t="str">
        <f t="shared" si="138"/>
        <v/>
      </c>
      <c r="N970" s="11" t="str">
        <f t="shared" si="133"/>
        <v/>
      </c>
      <c r="O970" s="10" t="str">
        <f t="shared" si="134"/>
        <v/>
      </c>
      <c r="P970" s="39" t="str">
        <f t="shared" si="135"/>
        <v/>
      </c>
      <c r="Q970" s="13" t="str">
        <f t="shared" si="139"/>
        <v/>
      </c>
      <c r="R970" s="13" t="str">
        <f t="shared" si="136"/>
        <v/>
      </c>
      <c r="S970" s="13" t="str">
        <f t="shared" si="140"/>
        <v/>
      </c>
      <c r="T970" s="22" t="str">
        <f>IF(R970&lt;&gt;"",VLOOKUP(P970,Constants!$D$3:$E$10,2),"")</f>
        <v/>
      </c>
    </row>
    <row r="971" spans="12:20" x14ac:dyDescent="0.25">
      <c r="L971" s="10" t="str">
        <f t="shared" si="137"/>
        <v/>
      </c>
      <c r="M971" s="10" t="str">
        <f t="shared" si="138"/>
        <v/>
      </c>
      <c r="N971" s="11" t="str">
        <f t="shared" si="133"/>
        <v/>
      </c>
      <c r="O971" s="10" t="str">
        <f t="shared" si="134"/>
        <v/>
      </c>
      <c r="P971" s="39" t="str">
        <f t="shared" si="135"/>
        <v/>
      </c>
      <c r="Q971" s="13" t="str">
        <f t="shared" si="139"/>
        <v/>
      </c>
      <c r="R971" s="13" t="str">
        <f t="shared" si="136"/>
        <v/>
      </c>
      <c r="S971" s="13" t="str">
        <f t="shared" si="140"/>
        <v/>
      </c>
      <c r="T971" s="22" t="str">
        <f>IF(R971&lt;&gt;"",VLOOKUP(P971,Constants!$D$3:$E$10,2),"")</f>
        <v/>
      </c>
    </row>
    <row r="972" spans="12:20" x14ac:dyDescent="0.25">
      <c r="L972" s="10" t="str">
        <f t="shared" si="137"/>
        <v/>
      </c>
      <c r="M972" s="10" t="str">
        <f t="shared" si="138"/>
        <v/>
      </c>
      <c r="N972" s="11" t="str">
        <f t="shared" si="133"/>
        <v/>
      </c>
      <c r="O972" s="10" t="str">
        <f t="shared" si="134"/>
        <v/>
      </c>
      <c r="P972" s="39" t="str">
        <f t="shared" si="135"/>
        <v/>
      </c>
      <c r="Q972" s="13" t="str">
        <f t="shared" si="139"/>
        <v/>
      </c>
      <c r="R972" s="13" t="str">
        <f t="shared" si="136"/>
        <v/>
      </c>
      <c r="S972" s="13" t="str">
        <f t="shared" si="140"/>
        <v/>
      </c>
      <c r="T972" s="22" t="str">
        <f>IF(R972&lt;&gt;"",VLOOKUP(P972,Constants!$D$3:$E$10,2),"")</f>
        <v/>
      </c>
    </row>
    <row r="973" spans="12:20" x14ac:dyDescent="0.25">
      <c r="L973" s="10" t="str">
        <f t="shared" si="137"/>
        <v/>
      </c>
      <c r="M973" s="10" t="str">
        <f t="shared" si="138"/>
        <v/>
      </c>
      <c r="N973" s="11" t="str">
        <f t="shared" si="133"/>
        <v/>
      </c>
      <c r="O973" s="10" t="str">
        <f t="shared" si="134"/>
        <v/>
      </c>
      <c r="P973" s="39" t="str">
        <f t="shared" si="135"/>
        <v/>
      </c>
      <c r="Q973" s="13" t="str">
        <f t="shared" si="139"/>
        <v/>
      </c>
      <c r="R973" s="13" t="str">
        <f t="shared" si="136"/>
        <v/>
      </c>
      <c r="S973" s="13" t="str">
        <f t="shared" si="140"/>
        <v/>
      </c>
      <c r="T973" s="22" t="str">
        <f>IF(R973&lt;&gt;"",VLOOKUP(P973,Constants!$D$3:$E$10,2),"")</f>
        <v/>
      </c>
    </row>
    <row r="974" spans="12:20" x14ac:dyDescent="0.25">
      <c r="L974" s="10" t="str">
        <f t="shared" si="137"/>
        <v/>
      </c>
      <c r="M974" s="10" t="str">
        <f t="shared" si="138"/>
        <v/>
      </c>
      <c r="N974" s="11" t="str">
        <f t="shared" si="133"/>
        <v/>
      </c>
      <c r="O974" s="10" t="str">
        <f t="shared" si="134"/>
        <v/>
      </c>
      <c r="P974" s="39" t="str">
        <f t="shared" si="135"/>
        <v/>
      </c>
      <c r="Q974" s="13" t="str">
        <f t="shared" si="139"/>
        <v/>
      </c>
      <c r="R974" s="13" t="str">
        <f t="shared" si="136"/>
        <v/>
      </c>
      <c r="S974" s="13" t="str">
        <f t="shared" si="140"/>
        <v/>
      </c>
      <c r="T974" s="22" t="str">
        <f>IF(R974&lt;&gt;"",VLOOKUP(P974,Constants!$D$3:$E$10,2),"")</f>
        <v/>
      </c>
    </row>
    <row r="975" spans="12:20" x14ac:dyDescent="0.25">
      <c r="L975" s="10" t="str">
        <f t="shared" si="137"/>
        <v/>
      </c>
      <c r="M975" s="10" t="str">
        <f t="shared" si="138"/>
        <v/>
      </c>
      <c r="N975" s="11" t="str">
        <f t="shared" si="133"/>
        <v/>
      </c>
      <c r="O975" s="10" t="str">
        <f t="shared" si="134"/>
        <v/>
      </c>
      <c r="P975" s="39" t="str">
        <f t="shared" si="135"/>
        <v/>
      </c>
      <c r="Q975" s="13" t="str">
        <f t="shared" si="139"/>
        <v/>
      </c>
      <c r="R975" s="13" t="str">
        <f t="shared" si="136"/>
        <v/>
      </c>
      <c r="S975" s="13" t="str">
        <f t="shared" si="140"/>
        <v/>
      </c>
      <c r="T975" s="22" t="str">
        <f>IF(R975&lt;&gt;"",VLOOKUP(P975,Constants!$D$3:$E$10,2),"")</f>
        <v/>
      </c>
    </row>
    <row r="976" spans="12:20" x14ac:dyDescent="0.25">
      <c r="L976" s="10" t="str">
        <f t="shared" si="137"/>
        <v/>
      </c>
      <c r="M976" s="10" t="str">
        <f t="shared" si="138"/>
        <v/>
      </c>
      <c r="N976" s="11" t="str">
        <f t="shared" ref="N976:N1039" si="141">IF($L976&lt;&gt;"",SQRT($L976*$L976+$M976*$M976),"")</f>
        <v/>
      </c>
      <c r="O976" s="10" t="str">
        <f t="shared" si="134"/>
        <v/>
      </c>
      <c r="P976" s="39" t="str">
        <f t="shared" si="135"/>
        <v/>
      </c>
      <c r="Q976" s="13" t="str">
        <f t="shared" si="139"/>
        <v/>
      </c>
      <c r="R976" s="13" t="str">
        <f t="shared" si="136"/>
        <v/>
      </c>
      <c r="S976" s="13" t="str">
        <f t="shared" si="140"/>
        <v/>
      </c>
      <c r="T976" s="22" t="str">
        <f>IF(R976&lt;&gt;"",VLOOKUP(P976,Constants!$D$3:$E$10,2),"")</f>
        <v/>
      </c>
    </row>
    <row r="977" spans="12:20" x14ac:dyDescent="0.25">
      <c r="L977" s="10" t="str">
        <f t="shared" si="137"/>
        <v/>
      </c>
      <c r="M977" s="10" t="str">
        <f t="shared" si="138"/>
        <v/>
      </c>
      <c r="N977" s="11" t="str">
        <f t="shared" si="141"/>
        <v/>
      </c>
      <c r="O977" s="10" t="str">
        <f t="shared" si="134"/>
        <v/>
      </c>
      <c r="P977" s="39" t="str">
        <f t="shared" si="135"/>
        <v/>
      </c>
      <c r="Q977" s="13" t="str">
        <f t="shared" si="139"/>
        <v/>
      </c>
      <c r="R977" s="13" t="str">
        <f t="shared" si="136"/>
        <v/>
      </c>
      <c r="S977" s="13" t="str">
        <f t="shared" si="140"/>
        <v/>
      </c>
      <c r="T977" s="22" t="str">
        <f>IF(R977&lt;&gt;"",VLOOKUP(P977,Constants!$D$3:$E$10,2),"")</f>
        <v/>
      </c>
    </row>
    <row r="978" spans="12:20" x14ac:dyDescent="0.25">
      <c r="L978" s="10" t="str">
        <f t="shared" si="137"/>
        <v/>
      </c>
      <c r="M978" s="10" t="str">
        <f t="shared" si="138"/>
        <v/>
      </c>
      <c r="N978" s="11" t="str">
        <f t="shared" si="141"/>
        <v/>
      </c>
      <c r="O978" s="10" t="str">
        <f t="shared" si="134"/>
        <v/>
      </c>
      <c r="P978" s="39" t="str">
        <f t="shared" si="135"/>
        <v/>
      </c>
      <c r="Q978" s="13" t="str">
        <f t="shared" si="139"/>
        <v/>
      </c>
      <c r="R978" s="13" t="str">
        <f t="shared" si="136"/>
        <v/>
      </c>
      <c r="S978" s="13" t="str">
        <f t="shared" si="140"/>
        <v/>
      </c>
      <c r="T978" s="22" t="str">
        <f>IF(R978&lt;&gt;"",VLOOKUP(P978,Constants!$D$3:$E$10,2),"")</f>
        <v/>
      </c>
    </row>
    <row r="979" spans="12:20" x14ac:dyDescent="0.25">
      <c r="L979" s="10" t="str">
        <f t="shared" si="137"/>
        <v/>
      </c>
      <c r="M979" s="10" t="str">
        <f t="shared" si="138"/>
        <v/>
      </c>
      <c r="N979" s="11" t="str">
        <f t="shared" si="141"/>
        <v/>
      </c>
      <c r="O979" s="10" t="str">
        <f t="shared" si="134"/>
        <v/>
      </c>
      <c r="P979" s="39" t="str">
        <f t="shared" si="135"/>
        <v/>
      </c>
      <c r="Q979" s="13" t="str">
        <f t="shared" si="139"/>
        <v/>
      </c>
      <c r="R979" s="13" t="str">
        <f t="shared" si="136"/>
        <v/>
      </c>
      <c r="S979" s="13" t="str">
        <f t="shared" si="140"/>
        <v/>
      </c>
      <c r="T979" s="22" t="str">
        <f>IF(R979&lt;&gt;"",VLOOKUP(P979,Constants!$D$3:$E$10,2),"")</f>
        <v/>
      </c>
    </row>
    <row r="980" spans="12:20" x14ac:dyDescent="0.25">
      <c r="L980" s="10" t="str">
        <f t="shared" si="137"/>
        <v/>
      </c>
      <c r="M980" s="10" t="str">
        <f t="shared" si="138"/>
        <v/>
      </c>
      <c r="N980" s="11" t="str">
        <f t="shared" si="141"/>
        <v/>
      </c>
      <c r="O980" s="10" t="str">
        <f t="shared" si="134"/>
        <v/>
      </c>
      <c r="P980" s="39" t="str">
        <f t="shared" si="135"/>
        <v/>
      </c>
      <c r="Q980" s="13" t="str">
        <f t="shared" si="139"/>
        <v/>
      </c>
      <c r="R980" s="13" t="str">
        <f t="shared" si="136"/>
        <v/>
      </c>
      <c r="S980" s="13" t="str">
        <f t="shared" si="140"/>
        <v/>
      </c>
      <c r="T980" s="22" t="str">
        <f>IF(R980&lt;&gt;"",VLOOKUP(P980,Constants!$D$3:$E$10,2),"")</f>
        <v/>
      </c>
    </row>
    <row r="981" spans="12:20" x14ac:dyDescent="0.25">
      <c r="L981" s="10" t="str">
        <f t="shared" si="137"/>
        <v/>
      </c>
      <c r="M981" s="10" t="str">
        <f t="shared" si="138"/>
        <v/>
      </c>
      <c r="N981" s="11" t="str">
        <f t="shared" si="141"/>
        <v/>
      </c>
      <c r="O981" s="10" t="str">
        <f t="shared" si="134"/>
        <v/>
      </c>
      <c r="P981" s="39" t="str">
        <f t="shared" si="135"/>
        <v/>
      </c>
      <c r="Q981" s="13" t="str">
        <f t="shared" si="139"/>
        <v/>
      </c>
      <c r="R981" s="13" t="str">
        <f t="shared" si="136"/>
        <v/>
      </c>
      <c r="S981" s="13" t="str">
        <f t="shared" si="140"/>
        <v/>
      </c>
      <c r="T981" s="22" t="str">
        <f>IF(R981&lt;&gt;"",VLOOKUP(P981,Constants!$D$3:$E$10,2),"")</f>
        <v/>
      </c>
    </row>
    <row r="982" spans="12:20" x14ac:dyDescent="0.25">
      <c r="L982" s="10" t="str">
        <f t="shared" si="137"/>
        <v/>
      </c>
      <c r="M982" s="10" t="str">
        <f t="shared" si="138"/>
        <v/>
      </c>
      <c r="N982" s="11" t="str">
        <f t="shared" si="141"/>
        <v/>
      </c>
      <c r="O982" s="10" t="str">
        <f t="shared" si="134"/>
        <v/>
      </c>
      <c r="P982" s="39" t="str">
        <f t="shared" si="135"/>
        <v/>
      </c>
      <c r="Q982" s="13" t="str">
        <f t="shared" si="139"/>
        <v/>
      </c>
      <c r="R982" s="13" t="str">
        <f t="shared" si="136"/>
        <v/>
      </c>
      <c r="S982" s="13" t="str">
        <f t="shared" si="140"/>
        <v/>
      </c>
      <c r="T982" s="22" t="str">
        <f>IF(R982&lt;&gt;"",VLOOKUP(P982,Constants!$D$3:$E$10,2),"")</f>
        <v/>
      </c>
    </row>
    <row r="983" spans="12:20" x14ac:dyDescent="0.25">
      <c r="L983" s="10" t="str">
        <f t="shared" si="137"/>
        <v/>
      </c>
      <c r="M983" s="10" t="str">
        <f t="shared" si="138"/>
        <v/>
      </c>
      <c r="N983" s="11" t="str">
        <f t="shared" si="141"/>
        <v/>
      </c>
      <c r="O983" s="10" t="str">
        <f t="shared" ref="O983:O1046" si="142">IF(D983&lt;&gt;"",1000/(2*D983),"")</f>
        <v/>
      </c>
      <c r="P983" s="39" t="str">
        <f t="shared" ref="P983:P1046" si="143">IF($N983&lt;&gt;"",D983*SQRT(E983*E983+F983*F983)/16000,"")</f>
        <v/>
      </c>
      <c r="Q983" s="13" t="str">
        <f t="shared" si="139"/>
        <v/>
      </c>
      <c r="R983" s="13" t="str">
        <f t="shared" ref="R983:R1046" si="144">IF(G983&lt;&gt;"",1000/G983,"")</f>
        <v/>
      </c>
      <c r="S983" s="13" t="str">
        <f t="shared" si="140"/>
        <v/>
      </c>
      <c r="T983" s="22" t="str">
        <f>IF(R983&lt;&gt;"",VLOOKUP(P983,Constants!$D$3:$E$10,2),"")</f>
        <v/>
      </c>
    </row>
    <row r="984" spans="12:20" x14ac:dyDescent="0.25">
      <c r="L984" s="10" t="str">
        <f t="shared" si="137"/>
        <v/>
      </c>
      <c r="M984" s="10" t="str">
        <f t="shared" si="138"/>
        <v/>
      </c>
      <c r="N984" s="11" t="str">
        <f t="shared" si="141"/>
        <v/>
      </c>
      <c r="O984" s="10" t="str">
        <f t="shared" si="142"/>
        <v/>
      </c>
      <c r="P984" s="39" t="str">
        <f t="shared" si="143"/>
        <v/>
      </c>
      <c r="Q984" s="13" t="str">
        <f t="shared" si="139"/>
        <v/>
      </c>
      <c r="R984" s="13" t="str">
        <f t="shared" si="144"/>
        <v/>
      </c>
      <c r="S984" s="13" t="str">
        <f t="shared" si="140"/>
        <v/>
      </c>
      <c r="T984" s="22" t="str">
        <f>IF(R984&lt;&gt;"",VLOOKUP(P984,Constants!$D$3:$E$10,2),"")</f>
        <v/>
      </c>
    </row>
    <row r="985" spans="12:20" x14ac:dyDescent="0.25">
      <c r="L985" s="10" t="str">
        <f t="shared" si="137"/>
        <v/>
      </c>
      <c r="M985" s="10" t="str">
        <f t="shared" si="138"/>
        <v/>
      </c>
      <c r="N985" s="11" t="str">
        <f t="shared" si="141"/>
        <v/>
      </c>
      <c r="O985" s="10" t="str">
        <f t="shared" si="142"/>
        <v/>
      </c>
      <c r="P985" s="39" t="str">
        <f t="shared" si="143"/>
        <v/>
      </c>
      <c r="Q985" s="13" t="str">
        <f t="shared" si="139"/>
        <v/>
      </c>
      <c r="R985" s="13" t="str">
        <f t="shared" si="144"/>
        <v/>
      </c>
      <c r="S985" s="13" t="str">
        <f t="shared" si="140"/>
        <v/>
      </c>
      <c r="T985" s="22" t="str">
        <f>IF(R985&lt;&gt;"",VLOOKUP(P985,Constants!$D$3:$E$10,2),"")</f>
        <v/>
      </c>
    </row>
    <row r="986" spans="12:20" x14ac:dyDescent="0.25">
      <c r="L986" s="10" t="str">
        <f t="shared" si="137"/>
        <v/>
      </c>
      <c r="M986" s="10" t="str">
        <f t="shared" si="138"/>
        <v/>
      </c>
      <c r="N986" s="11" t="str">
        <f t="shared" si="141"/>
        <v/>
      </c>
      <c r="O986" s="10" t="str">
        <f t="shared" si="142"/>
        <v/>
      </c>
      <c r="P986" s="39" t="str">
        <f t="shared" si="143"/>
        <v/>
      </c>
      <c r="Q986" s="13" t="str">
        <f t="shared" si="139"/>
        <v/>
      </c>
      <c r="R986" s="13" t="str">
        <f t="shared" si="144"/>
        <v/>
      </c>
      <c r="S986" s="13" t="str">
        <f t="shared" si="140"/>
        <v/>
      </c>
      <c r="T986" s="22" t="str">
        <f>IF(R986&lt;&gt;"",VLOOKUP(P986,Constants!$D$3:$E$10,2),"")</f>
        <v/>
      </c>
    </row>
    <row r="987" spans="12:20" x14ac:dyDescent="0.25">
      <c r="L987" s="10" t="str">
        <f t="shared" si="137"/>
        <v/>
      </c>
      <c r="M987" s="10" t="str">
        <f t="shared" si="138"/>
        <v/>
      </c>
      <c r="N987" s="11" t="str">
        <f t="shared" si="141"/>
        <v/>
      </c>
      <c r="O987" s="10" t="str">
        <f t="shared" si="142"/>
        <v/>
      </c>
      <c r="P987" s="39" t="str">
        <f t="shared" si="143"/>
        <v/>
      </c>
      <c r="Q987" s="13" t="str">
        <f t="shared" si="139"/>
        <v/>
      </c>
      <c r="R987" s="13" t="str">
        <f t="shared" si="144"/>
        <v/>
      </c>
      <c r="S987" s="13" t="str">
        <f t="shared" si="140"/>
        <v/>
      </c>
      <c r="T987" s="22" t="str">
        <f>IF(R987&lt;&gt;"",VLOOKUP(P987,Constants!$D$3:$E$10,2),"")</f>
        <v/>
      </c>
    </row>
    <row r="988" spans="12:20" x14ac:dyDescent="0.25">
      <c r="L988" s="10" t="str">
        <f t="shared" si="137"/>
        <v/>
      </c>
      <c r="M988" s="10" t="str">
        <f t="shared" si="138"/>
        <v/>
      </c>
      <c r="N988" s="11" t="str">
        <f t="shared" si="141"/>
        <v/>
      </c>
      <c r="O988" s="10" t="str">
        <f t="shared" si="142"/>
        <v/>
      </c>
      <c r="P988" s="39" t="str">
        <f t="shared" si="143"/>
        <v/>
      </c>
      <c r="Q988" s="13" t="str">
        <f t="shared" si="139"/>
        <v/>
      </c>
      <c r="R988" s="13" t="str">
        <f t="shared" si="144"/>
        <v/>
      </c>
      <c r="S988" s="13" t="str">
        <f t="shared" si="140"/>
        <v/>
      </c>
      <c r="T988" s="22" t="str">
        <f>IF(R988&lt;&gt;"",VLOOKUP(P988,Constants!$D$3:$E$10,2),"")</f>
        <v/>
      </c>
    </row>
    <row r="989" spans="12:20" x14ac:dyDescent="0.25">
      <c r="L989" s="10" t="str">
        <f t="shared" si="137"/>
        <v/>
      </c>
      <c r="M989" s="10" t="str">
        <f t="shared" si="138"/>
        <v/>
      </c>
      <c r="N989" s="11" t="str">
        <f t="shared" si="141"/>
        <v/>
      </c>
      <c r="O989" s="10" t="str">
        <f t="shared" si="142"/>
        <v/>
      </c>
      <c r="P989" s="39" t="str">
        <f t="shared" si="143"/>
        <v/>
      </c>
      <c r="Q989" s="13" t="str">
        <f t="shared" si="139"/>
        <v/>
      </c>
      <c r="R989" s="13" t="str">
        <f t="shared" si="144"/>
        <v/>
      </c>
      <c r="S989" s="13" t="str">
        <f t="shared" si="140"/>
        <v/>
      </c>
      <c r="T989" s="22" t="str">
        <f>IF(R989&lt;&gt;"",VLOOKUP(P989,Constants!$D$3:$E$10,2),"")</f>
        <v/>
      </c>
    </row>
    <row r="990" spans="12:20" x14ac:dyDescent="0.25">
      <c r="L990" s="10" t="str">
        <f t="shared" si="137"/>
        <v/>
      </c>
      <c r="M990" s="10" t="str">
        <f t="shared" si="138"/>
        <v/>
      </c>
      <c r="N990" s="11" t="str">
        <f t="shared" si="141"/>
        <v/>
      </c>
      <c r="O990" s="10" t="str">
        <f t="shared" si="142"/>
        <v/>
      </c>
      <c r="P990" s="39" t="str">
        <f t="shared" si="143"/>
        <v/>
      </c>
      <c r="Q990" s="13" t="str">
        <f t="shared" si="139"/>
        <v/>
      </c>
      <c r="R990" s="13" t="str">
        <f t="shared" si="144"/>
        <v/>
      </c>
      <c r="S990" s="13" t="str">
        <f t="shared" si="140"/>
        <v/>
      </c>
      <c r="T990" s="22" t="str">
        <f>IF(R990&lt;&gt;"",VLOOKUP(P990,Constants!$D$3:$E$10,2),"")</f>
        <v/>
      </c>
    </row>
    <row r="991" spans="12:20" x14ac:dyDescent="0.25">
      <c r="L991" s="10" t="str">
        <f t="shared" si="137"/>
        <v/>
      </c>
      <c r="M991" s="10" t="str">
        <f t="shared" si="138"/>
        <v/>
      </c>
      <c r="N991" s="11" t="str">
        <f t="shared" si="141"/>
        <v/>
      </c>
      <c r="O991" s="10" t="str">
        <f t="shared" si="142"/>
        <v/>
      </c>
      <c r="P991" s="39" t="str">
        <f t="shared" si="143"/>
        <v/>
      </c>
      <c r="Q991" s="13" t="str">
        <f t="shared" si="139"/>
        <v/>
      </c>
      <c r="R991" s="13" t="str">
        <f t="shared" si="144"/>
        <v/>
      </c>
      <c r="S991" s="13" t="str">
        <f t="shared" si="140"/>
        <v/>
      </c>
      <c r="T991" s="22" t="str">
        <f>IF(R991&lt;&gt;"",VLOOKUP(P991,Constants!$D$3:$E$10,2),"")</f>
        <v/>
      </c>
    </row>
    <row r="992" spans="12:20" x14ac:dyDescent="0.25">
      <c r="L992" s="10" t="str">
        <f t="shared" si="137"/>
        <v/>
      </c>
      <c r="M992" s="10" t="str">
        <f t="shared" si="138"/>
        <v/>
      </c>
      <c r="N992" s="11" t="str">
        <f t="shared" si="141"/>
        <v/>
      </c>
      <c r="O992" s="10" t="str">
        <f t="shared" si="142"/>
        <v/>
      </c>
      <c r="P992" s="39" t="str">
        <f t="shared" si="143"/>
        <v/>
      </c>
      <c r="Q992" s="13" t="str">
        <f t="shared" si="139"/>
        <v/>
      </c>
      <c r="R992" s="13" t="str">
        <f t="shared" si="144"/>
        <v/>
      </c>
      <c r="S992" s="13" t="str">
        <f t="shared" si="140"/>
        <v/>
      </c>
      <c r="T992" s="22" t="str">
        <f>IF(R992&lt;&gt;"",VLOOKUP(P992,Constants!$D$3:$E$10,2),"")</f>
        <v/>
      </c>
    </row>
    <row r="993" spans="12:20" x14ac:dyDescent="0.25">
      <c r="L993" s="10" t="str">
        <f t="shared" si="137"/>
        <v/>
      </c>
      <c r="M993" s="10" t="str">
        <f t="shared" si="138"/>
        <v/>
      </c>
      <c r="N993" s="11" t="str">
        <f t="shared" si="141"/>
        <v/>
      </c>
      <c r="O993" s="10" t="str">
        <f t="shared" si="142"/>
        <v/>
      </c>
      <c r="P993" s="39" t="str">
        <f t="shared" si="143"/>
        <v/>
      </c>
      <c r="Q993" s="13" t="str">
        <f t="shared" si="139"/>
        <v/>
      </c>
      <c r="R993" s="13" t="str">
        <f t="shared" si="144"/>
        <v/>
      </c>
      <c r="S993" s="13" t="str">
        <f t="shared" si="140"/>
        <v/>
      </c>
      <c r="T993" s="22" t="str">
        <f>IF(R993&lt;&gt;"",VLOOKUP(P993,Constants!$D$3:$E$10,2),"")</f>
        <v/>
      </c>
    </row>
    <row r="994" spans="12:20" x14ac:dyDescent="0.25">
      <c r="L994" s="10" t="str">
        <f t="shared" si="137"/>
        <v/>
      </c>
      <c r="M994" s="10" t="str">
        <f t="shared" si="138"/>
        <v/>
      </c>
      <c r="N994" s="11" t="str">
        <f t="shared" si="141"/>
        <v/>
      </c>
      <c r="O994" s="10" t="str">
        <f t="shared" si="142"/>
        <v/>
      </c>
      <c r="P994" s="39" t="str">
        <f t="shared" si="143"/>
        <v/>
      </c>
      <c r="Q994" s="13" t="str">
        <f t="shared" si="139"/>
        <v/>
      </c>
      <c r="R994" s="13" t="str">
        <f t="shared" si="144"/>
        <v/>
      </c>
      <c r="S994" s="13" t="str">
        <f t="shared" si="140"/>
        <v/>
      </c>
      <c r="T994" s="22" t="str">
        <f>IF(R994&lt;&gt;"",VLOOKUP(P994,Constants!$D$3:$E$10,2),"")</f>
        <v/>
      </c>
    </row>
    <row r="995" spans="12:20" x14ac:dyDescent="0.25">
      <c r="L995" s="10" t="str">
        <f t="shared" si="137"/>
        <v/>
      </c>
      <c r="M995" s="10" t="str">
        <f t="shared" si="138"/>
        <v/>
      </c>
      <c r="N995" s="11" t="str">
        <f t="shared" si="141"/>
        <v/>
      </c>
      <c r="O995" s="10" t="str">
        <f t="shared" si="142"/>
        <v/>
      </c>
      <c r="P995" s="39" t="str">
        <f t="shared" si="143"/>
        <v/>
      </c>
      <c r="Q995" s="13" t="str">
        <f t="shared" si="139"/>
        <v/>
      </c>
      <c r="R995" s="13" t="str">
        <f t="shared" si="144"/>
        <v/>
      </c>
      <c r="S995" s="13" t="str">
        <f t="shared" si="140"/>
        <v/>
      </c>
      <c r="T995" s="22" t="str">
        <f>IF(R995&lt;&gt;"",VLOOKUP(P995,Constants!$D$3:$E$10,2),"")</f>
        <v/>
      </c>
    </row>
    <row r="996" spans="12:20" x14ac:dyDescent="0.25">
      <c r="L996" s="10" t="str">
        <f t="shared" si="137"/>
        <v/>
      </c>
      <c r="M996" s="10" t="str">
        <f t="shared" si="138"/>
        <v/>
      </c>
      <c r="N996" s="11" t="str">
        <f t="shared" si="141"/>
        <v/>
      </c>
      <c r="O996" s="10" t="str">
        <f t="shared" si="142"/>
        <v/>
      </c>
      <c r="P996" s="39" t="str">
        <f t="shared" si="143"/>
        <v/>
      </c>
      <c r="Q996" s="13" t="str">
        <f t="shared" si="139"/>
        <v/>
      </c>
      <c r="R996" s="13" t="str">
        <f t="shared" si="144"/>
        <v/>
      </c>
      <c r="S996" s="13" t="str">
        <f t="shared" si="140"/>
        <v/>
      </c>
      <c r="T996" s="22" t="str">
        <f>IF(R996&lt;&gt;"",VLOOKUP(P996,Constants!$D$3:$E$10,2),"")</f>
        <v/>
      </c>
    </row>
    <row r="997" spans="12:20" x14ac:dyDescent="0.25">
      <c r="L997" s="10" t="str">
        <f t="shared" si="137"/>
        <v/>
      </c>
      <c r="M997" s="10" t="str">
        <f t="shared" si="138"/>
        <v/>
      </c>
      <c r="N997" s="11" t="str">
        <f t="shared" si="141"/>
        <v/>
      </c>
      <c r="O997" s="10" t="str">
        <f t="shared" si="142"/>
        <v/>
      </c>
      <c r="P997" s="39" t="str">
        <f t="shared" si="143"/>
        <v/>
      </c>
      <c r="Q997" s="13" t="str">
        <f t="shared" si="139"/>
        <v/>
      </c>
      <c r="R997" s="13" t="str">
        <f t="shared" si="144"/>
        <v/>
      </c>
      <c r="S997" s="13" t="str">
        <f t="shared" si="140"/>
        <v/>
      </c>
      <c r="T997" s="22" t="str">
        <f>IF(R997&lt;&gt;"",VLOOKUP(P997,Constants!$D$3:$E$10,2),"")</f>
        <v/>
      </c>
    </row>
    <row r="998" spans="12:20" x14ac:dyDescent="0.25">
      <c r="L998" s="10" t="str">
        <f t="shared" si="137"/>
        <v/>
      </c>
      <c r="M998" s="10" t="str">
        <f t="shared" si="138"/>
        <v/>
      </c>
      <c r="N998" s="11" t="str">
        <f t="shared" si="141"/>
        <v/>
      </c>
      <c r="O998" s="10" t="str">
        <f t="shared" si="142"/>
        <v/>
      </c>
      <c r="P998" s="39" t="str">
        <f t="shared" si="143"/>
        <v/>
      </c>
      <c r="Q998" s="13" t="str">
        <f t="shared" si="139"/>
        <v/>
      </c>
      <c r="R998" s="13" t="str">
        <f t="shared" si="144"/>
        <v/>
      </c>
      <c r="S998" s="13" t="str">
        <f t="shared" si="140"/>
        <v/>
      </c>
      <c r="T998" s="22" t="str">
        <f>IF(R998&lt;&gt;"",VLOOKUP(P998,Constants!$D$3:$E$10,2),"")</f>
        <v/>
      </c>
    </row>
    <row r="999" spans="12:20" x14ac:dyDescent="0.25">
      <c r="L999" s="10" t="str">
        <f t="shared" si="137"/>
        <v/>
      </c>
      <c r="M999" s="10" t="str">
        <f t="shared" si="138"/>
        <v/>
      </c>
      <c r="N999" s="11" t="str">
        <f t="shared" si="141"/>
        <v/>
      </c>
      <c r="O999" s="10" t="str">
        <f t="shared" si="142"/>
        <v/>
      </c>
      <c r="P999" s="39" t="str">
        <f t="shared" si="143"/>
        <v/>
      </c>
      <c r="Q999" s="13" t="str">
        <f t="shared" si="139"/>
        <v/>
      </c>
      <c r="R999" s="13" t="str">
        <f t="shared" si="144"/>
        <v/>
      </c>
      <c r="S999" s="13" t="str">
        <f t="shared" si="140"/>
        <v/>
      </c>
      <c r="T999" s="22" t="str">
        <f>IF(R999&lt;&gt;"",VLOOKUP(P999,Constants!$D$3:$E$10,2),"")</f>
        <v/>
      </c>
    </row>
    <row r="1000" spans="12:20" x14ac:dyDescent="0.25">
      <c r="L1000" s="10" t="str">
        <f t="shared" si="137"/>
        <v/>
      </c>
      <c r="M1000" s="10" t="str">
        <f t="shared" si="138"/>
        <v/>
      </c>
      <c r="N1000" s="11" t="str">
        <f t="shared" si="141"/>
        <v/>
      </c>
      <c r="O1000" s="10" t="str">
        <f t="shared" si="142"/>
        <v/>
      </c>
      <c r="P1000" s="39" t="str">
        <f t="shared" si="143"/>
        <v/>
      </c>
      <c r="Q1000" s="13" t="str">
        <f t="shared" si="139"/>
        <v/>
      </c>
      <c r="R1000" s="13" t="str">
        <f t="shared" si="144"/>
        <v/>
      </c>
      <c r="S1000" s="13" t="str">
        <f t="shared" si="140"/>
        <v/>
      </c>
      <c r="T1000" s="22" t="str">
        <f>IF(R1000&lt;&gt;"",VLOOKUP(P1000,Constants!$D$3:$E$10,2),"")</f>
        <v/>
      </c>
    </row>
    <row r="1001" spans="12:20" x14ac:dyDescent="0.25">
      <c r="L1001" s="10" t="str">
        <f t="shared" si="137"/>
        <v/>
      </c>
      <c r="M1001" s="10" t="str">
        <f t="shared" si="138"/>
        <v/>
      </c>
      <c r="N1001" s="11" t="str">
        <f t="shared" si="141"/>
        <v/>
      </c>
      <c r="O1001" s="10" t="str">
        <f t="shared" si="142"/>
        <v/>
      </c>
      <c r="P1001" s="39" t="str">
        <f t="shared" si="143"/>
        <v/>
      </c>
      <c r="Q1001" s="13" t="str">
        <f t="shared" si="139"/>
        <v/>
      </c>
      <c r="R1001" s="13" t="str">
        <f t="shared" si="144"/>
        <v/>
      </c>
      <c r="S1001" s="13" t="str">
        <f t="shared" si="140"/>
        <v/>
      </c>
      <c r="T1001" s="22" t="str">
        <f>IF(R1001&lt;&gt;"",VLOOKUP(P1001,Constants!$D$3:$E$10,2),"")</f>
        <v/>
      </c>
    </row>
    <row r="1002" spans="12:20" x14ac:dyDescent="0.25">
      <c r="L1002" s="10" t="str">
        <f t="shared" si="137"/>
        <v/>
      </c>
      <c r="M1002" s="10" t="str">
        <f t="shared" si="138"/>
        <v/>
      </c>
      <c r="N1002" s="11" t="str">
        <f t="shared" si="141"/>
        <v/>
      </c>
      <c r="O1002" s="10" t="str">
        <f t="shared" si="142"/>
        <v/>
      </c>
      <c r="P1002" s="39" t="str">
        <f t="shared" si="143"/>
        <v/>
      </c>
      <c r="Q1002" s="13" t="str">
        <f t="shared" si="139"/>
        <v/>
      </c>
      <c r="R1002" s="13" t="str">
        <f t="shared" si="144"/>
        <v/>
      </c>
      <c r="S1002" s="13" t="str">
        <f t="shared" si="140"/>
        <v/>
      </c>
      <c r="T1002" s="22" t="str">
        <f>IF(R1002&lt;&gt;"",VLOOKUP(P1002,Constants!$D$3:$E$10,2),"")</f>
        <v/>
      </c>
    </row>
    <row r="1003" spans="12:20" x14ac:dyDescent="0.25">
      <c r="L1003" s="10" t="str">
        <f t="shared" si="137"/>
        <v/>
      </c>
      <c r="M1003" s="10" t="str">
        <f t="shared" si="138"/>
        <v/>
      </c>
      <c r="N1003" s="11" t="str">
        <f t="shared" si="141"/>
        <v/>
      </c>
      <c r="O1003" s="10" t="str">
        <f t="shared" si="142"/>
        <v/>
      </c>
      <c r="P1003" s="39" t="str">
        <f t="shared" si="143"/>
        <v/>
      </c>
      <c r="Q1003" s="13" t="str">
        <f t="shared" si="139"/>
        <v/>
      </c>
      <c r="R1003" s="13" t="str">
        <f t="shared" si="144"/>
        <v/>
      </c>
      <c r="S1003" s="13" t="str">
        <f t="shared" si="140"/>
        <v/>
      </c>
      <c r="T1003" s="22" t="str">
        <f>IF(R1003&lt;&gt;"",VLOOKUP(P1003,Constants!$D$3:$E$10,2),"")</f>
        <v/>
      </c>
    </row>
    <row r="1004" spans="12:20" x14ac:dyDescent="0.25">
      <c r="L1004" s="10" t="str">
        <f t="shared" si="137"/>
        <v/>
      </c>
      <c r="M1004" s="10" t="str">
        <f t="shared" si="138"/>
        <v/>
      </c>
      <c r="N1004" s="11" t="str">
        <f t="shared" si="141"/>
        <v/>
      </c>
      <c r="O1004" s="10" t="str">
        <f t="shared" si="142"/>
        <v/>
      </c>
      <c r="P1004" s="39" t="str">
        <f t="shared" si="143"/>
        <v/>
      </c>
      <c r="Q1004" s="13" t="str">
        <f t="shared" si="139"/>
        <v/>
      </c>
      <c r="R1004" s="13" t="str">
        <f t="shared" si="144"/>
        <v/>
      </c>
      <c r="S1004" s="13" t="str">
        <f t="shared" si="140"/>
        <v/>
      </c>
      <c r="T1004" s="22" t="str">
        <f>IF(R1004&lt;&gt;"",VLOOKUP(P1004,Constants!$D$3:$E$10,2),"")</f>
        <v/>
      </c>
    </row>
    <row r="1005" spans="12:20" x14ac:dyDescent="0.25">
      <c r="L1005" s="10" t="str">
        <f t="shared" si="137"/>
        <v/>
      </c>
      <c r="M1005" s="10" t="str">
        <f t="shared" si="138"/>
        <v/>
      </c>
      <c r="N1005" s="11" t="str">
        <f t="shared" si="141"/>
        <v/>
      </c>
      <c r="O1005" s="10" t="str">
        <f t="shared" si="142"/>
        <v/>
      </c>
      <c r="P1005" s="39" t="str">
        <f t="shared" si="143"/>
        <v/>
      </c>
      <c r="Q1005" s="13" t="str">
        <f t="shared" si="139"/>
        <v/>
      </c>
      <c r="R1005" s="13" t="str">
        <f t="shared" si="144"/>
        <v/>
      </c>
      <c r="S1005" s="13" t="str">
        <f t="shared" si="140"/>
        <v/>
      </c>
      <c r="T1005" s="22" t="str">
        <f>IF(R1005&lt;&gt;"",VLOOKUP(P1005,Constants!$D$3:$E$10,2),"")</f>
        <v/>
      </c>
    </row>
    <row r="1006" spans="12:20" x14ac:dyDescent="0.25">
      <c r="L1006" s="10" t="str">
        <f t="shared" si="137"/>
        <v/>
      </c>
      <c r="M1006" s="10" t="str">
        <f t="shared" si="138"/>
        <v/>
      </c>
      <c r="N1006" s="11" t="str">
        <f t="shared" si="141"/>
        <v/>
      </c>
      <c r="O1006" s="10" t="str">
        <f t="shared" si="142"/>
        <v/>
      </c>
      <c r="P1006" s="39" t="str">
        <f t="shared" si="143"/>
        <v/>
      </c>
      <c r="Q1006" s="13" t="str">
        <f t="shared" si="139"/>
        <v/>
      </c>
      <c r="R1006" s="13" t="str">
        <f t="shared" si="144"/>
        <v/>
      </c>
      <c r="S1006" s="13" t="str">
        <f t="shared" si="140"/>
        <v/>
      </c>
      <c r="T1006" s="22" t="str">
        <f>IF(R1006&lt;&gt;"",VLOOKUP(P1006,Constants!$D$3:$E$10,2),"")</f>
        <v/>
      </c>
    </row>
    <row r="1007" spans="12:20" x14ac:dyDescent="0.25">
      <c r="L1007" s="10" t="str">
        <f t="shared" si="137"/>
        <v/>
      </c>
      <c r="M1007" s="10" t="str">
        <f t="shared" si="138"/>
        <v/>
      </c>
      <c r="N1007" s="11" t="str">
        <f t="shared" si="141"/>
        <v/>
      </c>
      <c r="O1007" s="10" t="str">
        <f t="shared" si="142"/>
        <v/>
      </c>
      <c r="P1007" s="39" t="str">
        <f t="shared" si="143"/>
        <v/>
      </c>
      <c r="Q1007" s="13" t="str">
        <f t="shared" si="139"/>
        <v/>
      </c>
      <c r="R1007" s="13" t="str">
        <f t="shared" si="144"/>
        <v/>
      </c>
      <c r="S1007" s="13" t="str">
        <f t="shared" si="140"/>
        <v/>
      </c>
      <c r="T1007" s="22" t="str">
        <f>IF(R1007&lt;&gt;"",VLOOKUP(P1007,Constants!$D$3:$E$10,2),"")</f>
        <v/>
      </c>
    </row>
    <row r="1008" spans="12:20" x14ac:dyDescent="0.25">
      <c r="L1008" s="10" t="str">
        <f t="shared" si="137"/>
        <v/>
      </c>
      <c r="M1008" s="10" t="str">
        <f t="shared" si="138"/>
        <v/>
      </c>
      <c r="N1008" s="11" t="str">
        <f t="shared" si="141"/>
        <v/>
      </c>
      <c r="O1008" s="10" t="str">
        <f t="shared" si="142"/>
        <v/>
      </c>
      <c r="P1008" s="39" t="str">
        <f t="shared" si="143"/>
        <v/>
      </c>
      <c r="Q1008" s="13" t="str">
        <f t="shared" si="139"/>
        <v/>
      </c>
      <c r="R1008" s="13" t="str">
        <f t="shared" si="144"/>
        <v/>
      </c>
      <c r="S1008" s="13" t="str">
        <f t="shared" si="140"/>
        <v/>
      </c>
      <c r="T1008" s="22" t="str">
        <f>IF(R1008&lt;&gt;"",VLOOKUP(P1008,Constants!$D$3:$E$10,2),"")</f>
        <v/>
      </c>
    </row>
    <row r="1009" spans="12:20" x14ac:dyDescent="0.25">
      <c r="L1009" s="10" t="str">
        <f t="shared" si="137"/>
        <v/>
      </c>
      <c r="M1009" s="10" t="str">
        <f t="shared" si="138"/>
        <v/>
      </c>
      <c r="N1009" s="11" t="str">
        <f t="shared" si="141"/>
        <v/>
      </c>
      <c r="O1009" s="10" t="str">
        <f t="shared" si="142"/>
        <v/>
      </c>
      <c r="P1009" s="39" t="str">
        <f t="shared" si="143"/>
        <v/>
      </c>
      <c r="Q1009" s="13" t="str">
        <f t="shared" si="139"/>
        <v/>
      </c>
      <c r="R1009" s="13" t="str">
        <f t="shared" si="144"/>
        <v/>
      </c>
      <c r="S1009" s="13" t="str">
        <f t="shared" si="140"/>
        <v/>
      </c>
      <c r="T1009" s="22" t="str">
        <f>IF(R1009&lt;&gt;"",VLOOKUP(P1009,Constants!$D$3:$E$10,2),"")</f>
        <v/>
      </c>
    </row>
    <row r="1010" spans="12:20" x14ac:dyDescent="0.25">
      <c r="L1010" s="10" t="str">
        <f t="shared" si="137"/>
        <v/>
      </c>
      <c r="M1010" s="10" t="str">
        <f t="shared" si="138"/>
        <v/>
      </c>
      <c r="N1010" s="11" t="str">
        <f t="shared" si="141"/>
        <v/>
      </c>
      <c r="O1010" s="10" t="str">
        <f t="shared" si="142"/>
        <v/>
      </c>
      <c r="P1010" s="39" t="str">
        <f t="shared" si="143"/>
        <v/>
      </c>
      <c r="Q1010" s="13" t="str">
        <f t="shared" si="139"/>
        <v/>
      </c>
      <c r="R1010" s="13" t="str">
        <f t="shared" si="144"/>
        <v/>
      </c>
      <c r="S1010" s="13" t="str">
        <f t="shared" si="140"/>
        <v/>
      </c>
      <c r="T1010" s="22" t="str">
        <f>IF(R1010&lt;&gt;"",VLOOKUP(P1010,Constants!$D$3:$E$10,2),"")</f>
        <v/>
      </c>
    </row>
    <row r="1011" spans="12:20" x14ac:dyDescent="0.25">
      <c r="L1011" s="10" t="str">
        <f t="shared" si="137"/>
        <v/>
      </c>
      <c r="M1011" s="10" t="str">
        <f t="shared" si="138"/>
        <v/>
      </c>
      <c r="N1011" s="11" t="str">
        <f t="shared" si="141"/>
        <v/>
      </c>
      <c r="O1011" s="10" t="str">
        <f t="shared" si="142"/>
        <v/>
      </c>
      <c r="P1011" s="39" t="str">
        <f t="shared" si="143"/>
        <v/>
      </c>
      <c r="Q1011" s="13" t="str">
        <f t="shared" si="139"/>
        <v/>
      </c>
      <c r="R1011" s="13" t="str">
        <f t="shared" si="144"/>
        <v/>
      </c>
      <c r="S1011" s="13" t="str">
        <f t="shared" si="140"/>
        <v/>
      </c>
      <c r="T1011" s="22" t="str">
        <f>IF(R1011&lt;&gt;"",VLOOKUP(P1011,Constants!$D$3:$E$10,2),"")</f>
        <v/>
      </c>
    </row>
    <row r="1012" spans="12:20" x14ac:dyDescent="0.25">
      <c r="L1012" s="10" t="str">
        <f t="shared" si="137"/>
        <v/>
      </c>
      <c r="M1012" s="10" t="str">
        <f t="shared" si="138"/>
        <v/>
      </c>
      <c r="N1012" s="11" t="str">
        <f t="shared" si="141"/>
        <v/>
      </c>
      <c r="O1012" s="10" t="str">
        <f t="shared" si="142"/>
        <v/>
      </c>
      <c r="P1012" s="39" t="str">
        <f t="shared" si="143"/>
        <v/>
      </c>
      <c r="Q1012" s="13" t="str">
        <f t="shared" si="139"/>
        <v/>
      </c>
      <c r="R1012" s="13" t="str">
        <f t="shared" si="144"/>
        <v/>
      </c>
      <c r="S1012" s="13" t="str">
        <f t="shared" si="140"/>
        <v/>
      </c>
      <c r="T1012" s="22" t="str">
        <f>IF(R1012&lt;&gt;"",VLOOKUP(P1012,Constants!$D$3:$E$10,2),"")</f>
        <v/>
      </c>
    </row>
    <row r="1013" spans="12:20" x14ac:dyDescent="0.25">
      <c r="L1013" s="10" t="str">
        <f t="shared" si="137"/>
        <v/>
      </c>
      <c r="M1013" s="10" t="str">
        <f t="shared" si="138"/>
        <v/>
      </c>
      <c r="N1013" s="11" t="str">
        <f t="shared" si="141"/>
        <v/>
      </c>
      <c r="O1013" s="10" t="str">
        <f t="shared" si="142"/>
        <v/>
      </c>
      <c r="P1013" s="39" t="str">
        <f t="shared" si="143"/>
        <v/>
      </c>
      <c r="Q1013" s="13" t="str">
        <f t="shared" si="139"/>
        <v/>
      </c>
      <c r="R1013" s="13" t="str">
        <f t="shared" si="144"/>
        <v/>
      </c>
      <c r="S1013" s="13" t="str">
        <f t="shared" si="140"/>
        <v/>
      </c>
      <c r="T1013" s="22" t="str">
        <f>IF(R1013&lt;&gt;"",VLOOKUP(P1013,Constants!$D$3:$E$10,2),"")</f>
        <v/>
      </c>
    </row>
    <row r="1014" spans="12:20" x14ac:dyDescent="0.25">
      <c r="L1014" s="10" t="str">
        <f t="shared" si="137"/>
        <v/>
      </c>
      <c r="M1014" s="10" t="str">
        <f t="shared" si="138"/>
        <v/>
      </c>
      <c r="N1014" s="11" t="str">
        <f t="shared" si="141"/>
        <v/>
      </c>
      <c r="O1014" s="10" t="str">
        <f t="shared" si="142"/>
        <v/>
      </c>
      <c r="P1014" s="39" t="str">
        <f t="shared" si="143"/>
        <v/>
      </c>
      <c r="Q1014" s="13" t="str">
        <f t="shared" si="139"/>
        <v/>
      </c>
      <c r="R1014" s="13" t="str">
        <f t="shared" si="144"/>
        <v/>
      </c>
      <c r="S1014" s="13" t="str">
        <f t="shared" si="140"/>
        <v/>
      </c>
      <c r="T1014" s="22" t="str">
        <f>IF(R1014&lt;&gt;"",VLOOKUP(P1014,Constants!$D$3:$E$10,2),"")</f>
        <v/>
      </c>
    </row>
    <row r="1015" spans="12:20" x14ac:dyDescent="0.25">
      <c r="L1015" s="10" t="str">
        <f t="shared" si="137"/>
        <v/>
      </c>
      <c r="M1015" s="10" t="str">
        <f t="shared" si="138"/>
        <v/>
      </c>
      <c r="N1015" s="11" t="str">
        <f t="shared" si="141"/>
        <v/>
      </c>
      <c r="O1015" s="10" t="str">
        <f t="shared" si="142"/>
        <v/>
      </c>
      <c r="P1015" s="39" t="str">
        <f t="shared" si="143"/>
        <v/>
      </c>
      <c r="Q1015" s="13" t="str">
        <f t="shared" si="139"/>
        <v/>
      </c>
      <c r="R1015" s="13" t="str">
        <f t="shared" si="144"/>
        <v/>
      </c>
      <c r="S1015" s="13" t="str">
        <f t="shared" si="140"/>
        <v/>
      </c>
      <c r="T1015" s="22" t="str">
        <f>IF(R1015&lt;&gt;"",VLOOKUP(P1015,Constants!$D$3:$E$10,2),"")</f>
        <v/>
      </c>
    </row>
    <row r="1016" spans="12:20" x14ac:dyDescent="0.25">
      <c r="L1016" s="10" t="str">
        <f t="shared" si="137"/>
        <v/>
      </c>
      <c r="M1016" s="10" t="str">
        <f t="shared" si="138"/>
        <v/>
      </c>
      <c r="N1016" s="11" t="str">
        <f t="shared" si="141"/>
        <v/>
      </c>
      <c r="O1016" s="10" t="str">
        <f t="shared" si="142"/>
        <v/>
      </c>
      <c r="P1016" s="39" t="str">
        <f t="shared" si="143"/>
        <v/>
      </c>
      <c r="Q1016" s="13" t="str">
        <f t="shared" si="139"/>
        <v/>
      </c>
      <c r="R1016" s="13" t="str">
        <f t="shared" si="144"/>
        <v/>
      </c>
      <c r="S1016" s="13" t="str">
        <f t="shared" si="140"/>
        <v/>
      </c>
      <c r="T1016" s="22" t="str">
        <f>IF(R1016&lt;&gt;"",VLOOKUP(P1016,Constants!$D$3:$E$10,2),"")</f>
        <v/>
      </c>
    </row>
    <row r="1017" spans="12:20" x14ac:dyDescent="0.25">
      <c r="L1017" s="10" t="str">
        <f t="shared" si="137"/>
        <v/>
      </c>
      <c r="M1017" s="10" t="str">
        <f t="shared" si="138"/>
        <v/>
      </c>
      <c r="N1017" s="11" t="str">
        <f t="shared" si="141"/>
        <v/>
      </c>
      <c r="O1017" s="10" t="str">
        <f t="shared" si="142"/>
        <v/>
      </c>
      <c r="P1017" s="39" t="str">
        <f t="shared" si="143"/>
        <v/>
      </c>
      <c r="Q1017" s="13" t="str">
        <f t="shared" si="139"/>
        <v/>
      </c>
      <c r="R1017" s="13" t="str">
        <f t="shared" si="144"/>
        <v/>
      </c>
      <c r="S1017" s="13" t="str">
        <f t="shared" si="140"/>
        <v/>
      </c>
      <c r="T1017" s="22" t="str">
        <f>IF(R1017&lt;&gt;"",VLOOKUP(P1017,Constants!$D$3:$E$10,2),"")</f>
        <v/>
      </c>
    </row>
    <row r="1018" spans="12:20" x14ac:dyDescent="0.25">
      <c r="L1018" s="10" t="str">
        <f t="shared" si="137"/>
        <v/>
      </c>
      <c r="M1018" s="10" t="str">
        <f t="shared" si="138"/>
        <v/>
      </c>
      <c r="N1018" s="11" t="str">
        <f t="shared" si="141"/>
        <v/>
      </c>
      <c r="O1018" s="10" t="str">
        <f t="shared" si="142"/>
        <v/>
      </c>
      <c r="P1018" s="39" t="str">
        <f t="shared" si="143"/>
        <v/>
      </c>
      <c r="Q1018" s="13" t="str">
        <f t="shared" si="139"/>
        <v/>
      </c>
      <c r="R1018" s="13" t="str">
        <f t="shared" si="144"/>
        <v/>
      </c>
      <c r="S1018" s="13" t="str">
        <f t="shared" si="140"/>
        <v/>
      </c>
      <c r="T1018" s="22" t="str">
        <f>IF(R1018&lt;&gt;"",VLOOKUP(P1018,Constants!$D$3:$E$10,2),"")</f>
        <v/>
      </c>
    </row>
    <row r="1019" spans="12:20" x14ac:dyDescent="0.25">
      <c r="L1019" s="10" t="str">
        <f t="shared" si="137"/>
        <v/>
      </c>
      <c r="M1019" s="10" t="str">
        <f t="shared" si="138"/>
        <v/>
      </c>
      <c r="N1019" s="11" t="str">
        <f t="shared" si="141"/>
        <v/>
      </c>
      <c r="O1019" s="10" t="str">
        <f t="shared" si="142"/>
        <v/>
      </c>
      <c r="P1019" s="39" t="str">
        <f t="shared" si="143"/>
        <v/>
      </c>
      <c r="Q1019" s="13" t="str">
        <f t="shared" si="139"/>
        <v/>
      </c>
      <c r="R1019" s="13" t="str">
        <f t="shared" si="144"/>
        <v/>
      </c>
      <c r="S1019" s="13" t="str">
        <f t="shared" si="140"/>
        <v/>
      </c>
      <c r="T1019" s="22" t="str">
        <f>IF(R1019&lt;&gt;"",VLOOKUP(P1019,Constants!$D$3:$E$10,2),"")</f>
        <v/>
      </c>
    </row>
    <row r="1020" spans="12:20" x14ac:dyDescent="0.25">
      <c r="L1020" s="10" t="str">
        <f t="shared" si="137"/>
        <v/>
      </c>
      <c r="M1020" s="10" t="str">
        <f t="shared" si="138"/>
        <v/>
      </c>
      <c r="N1020" s="11" t="str">
        <f t="shared" si="141"/>
        <v/>
      </c>
      <c r="O1020" s="10" t="str">
        <f t="shared" si="142"/>
        <v/>
      </c>
      <c r="P1020" s="39" t="str">
        <f t="shared" si="143"/>
        <v/>
      </c>
      <c r="Q1020" s="13" t="str">
        <f t="shared" si="139"/>
        <v/>
      </c>
      <c r="R1020" s="13" t="str">
        <f t="shared" si="144"/>
        <v/>
      </c>
      <c r="S1020" s="13" t="str">
        <f t="shared" si="140"/>
        <v/>
      </c>
      <c r="T1020" s="22" t="str">
        <f>IF(R1020&lt;&gt;"",VLOOKUP(P1020,Constants!$D$3:$E$10,2),"")</f>
        <v/>
      </c>
    </row>
    <row r="1021" spans="12:20" x14ac:dyDescent="0.25">
      <c r="L1021" s="10" t="str">
        <f t="shared" si="137"/>
        <v/>
      </c>
      <c r="M1021" s="10" t="str">
        <f t="shared" si="138"/>
        <v/>
      </c>
      <c r="N1021" s="11" t="str">
        <f t="shared" si="141"/>
        <v/>
      </c>
      <c r="O1021" s="10" t="str">
        <f t="shared" si="142"/>
        <v/>
      </c>
      <c r="P1021" s="39" t="str">
        <f t="shared" si="143"/>
        <v/>
      </c>
      <c r="Q1021" s="13" t="str">
        <f t="shared" si="139"/>
        <v/>
      </c>
      <c r="R1021" s="13" t="str">
        <f t="shared" si="144"/>
        <v/>
      </c>
      <c r="S1021" s="13" t="str">
        <f t="shared" si="140"/>
        <v/>
      </c>
      <c r="T1021" s="22" t="str">
        <f>IF(R1021&lt;&gt;"",VLOOKUP(P1021,Constants!$D$3:$E$10,2),"")</f>
        <v/>
      </c>
    </row>
    <row r="1022" spans="12:20" x14ac:dyDescent="0.25">
      <c r="L1022" s="10" t="str">
        <f t="shared" si="137"/>
        <v/>
      </c>
      <c r="M1022" s="10" t="str">
        <f t="shared" si="138"/>
        <v/>
      </c>
      <c r="N1022" s="11" t="str">
        <f t="shared" si="141"/>
        <v/>
      </c>
      <c r="O1022" s="10" t="str">
        <f t="shared" si="142"/>
        <v/>
      </c>
      <c r="P1022" s="39" t="str">
        <f t="shared" si="143"/>
        <v/>
      </c>
      <c r="Q1022" s="13" t="str">
        <f t="shared" si="139"/>
        <v/>
      </c>
      <c r="R1022" s="13" t="str">
        <f t="shared" si="144"/>
        <v/>
      </c>
      <c r="S1022" s="13" t="str">
        <f t="shared" si="140"/>
        <v/>
      </c>
      <c r="T1022" s="22" t="str">
        <f>IF(R1022&lt;&gt;"",VLOOKUP(P1022,Constants!$D$3:$E$10,2),"")</f>
        <v/>
      </c>
    </row>
    <row r="1023" spans="12:20" x14ac:dyDescent="0.25">
      <c r="L1023" s="10" t="str">
        <f t="shared" si="137"/>
        <v/>
      </c>
      <c r="M1023" s="10" t="str">
        <f t="shared" si="138"/>
        <v/>
      </c>
      <c r="N1023" s="11" t="str">
        <f t="shared" si="141"/>
        <v/>
      </c>
      <c r="O1023" s="10" t="str">
        <f t="shared" si="142"/>
        <v/>
      </c>
      <c r="P1023" s="39" t="str">
        <f t="shared" si="143"/>
        <v/>
      </c>
      <c r="Q1023" s="13" t="str">
        <f t="shared" si="139"/>
        <v/>
      </c>
      <c r="R1023" s="13" t="str">
        <f t="shared" si="144"/>
        <v/>
      </c>
      <c r="S1023" s="13" t="str">
        <f t="shared" si="140"/>
        <v/>
      </c>
      <c r="T1023" s="22" t="str">
        <f>IF(R1023&lt;&gt;"",VLOOKUP(P1023,Constants!$D$3:$E$10,2),"")</f>
        <v/>
      </c>
    </row>
    <row r="1024" spans="12:20" x14ac:dyDescent="0.25">
      <c r="L1024" s="10" t="str">
        <f t="shared" si="137"/>
        <v/>
      </c>
      <c r="M1024" s="10" t="str">
        <f t="shared" si="138"/>
        <v/>
      </c>
      <c r="N1024" s="11" t="str">
        <f t="shared" si="141"/>
        <v/>
      </c>
      <c r="O1024" s="10" t="str">
        <f t="shared" si="142"/>
        <v/>
      </c>
      <c r="P1024" s="39" t="str">
        <f t="shared" si="143"/>
        <v/>
      </c>
      <c r="Q1024" s="13" t="str">
        <f t="shared" si="139"/>
        <v/>
      </c>
      <c r="R1024" s="13" t="str">
        <f t="shared" si="144"/>
        <v/>
      </c>
      <c r="S1024" s="13" t="str">
        <f t="shared" si="140"/>
        <v/>
      </c>
      <c r="T1024" s="22" t="str">
        <f>IF(R1024&lt;&gt;"",VLOOKUP(P1024,Constants!$D$3:$E$10,2),"")</f>
        <v/>
      </c>
    </row>
    <row r="1025" spans="12:20" x14ac:dyDescent="0.25">
      <c r="L1025" s="10" t="str">
        <f t="shared" si="137"/>
        <v/>
      </c>
      <c r="M1025" s="10" t="str">
        <f t="shared" si="138"/>
        <v/>
      </c>
      <c r="N1025" s="11" t="str">
        <f t="shared" si="141"/>
        <v/>
      </c>
      <c r="O1025" s="10" t="str">
        <f t="shared" si="142"/>
        <v/>
      </c>
      <c r="P1025" s="39" t="str">
        <f t="shared" si="143"/>
        <v/>
      </c>
      <c r="Q1025" s="13" t="str">
        <f t="shared" si="139"/>
        <v/>
      </c>
      <c r="R1025" s="13" t="str">
        <f t="shared" si="144"/>
        <v/>
      </c>
      <c r="S1025" s="13" t="str">
        <f t="shared" si="140"/>
        <v/>
      </c>
      <c r="T1025" s="22" t="str">
        <f>IF(R1025&lt;&gt;"",VLOOKUP(P1025,Constants!$D$3:$E$10,2),"")</f>
        <v/>
      </c>
    </row>
    <row r="1026" spans="12:20" x14ac:dyDescent="0.25">
      <c r="L1026" s="10" t="str">
        <f t="shared" si="137"/>
        <v/>
      </c>
      <c r="M1026" s="10" t="str">
        <f t="shared" si="138"/>
        <v/>
      </c>
      <c r="N1026" s="11" t="str">
        <f t="shared" si="141"/>
        <v/>
      </c>
      <c r="O1026" s="10" t="str">
        <f t="shared" si="142"/>
        <v/>
      </c>
      <c r="P1026" s="39" t="str">
        <f t="shared" si="143"/>
        <v/>
      </c>
      <c r="Q1026" s="13" t="str">
        <f t="shared" si="139"/>
        <v/>
      </c>
      <c r="R1026" s="13" t="str">
        <f t="shared" si="144"/>
        <v/>
      </c>
      <c r="S1026" s="13" t="str">
        <f t="shared" si="140"/>
        <v/>
      </c>
      <c r="T1026" s="22" t="str">
        <f>IF(R1026&lt;&gt;"",VLOOKUP(P1026,Constants!$D$3:$E$10,2),"")</f>
        <v/>
      </c>
    </row>
    <row r="1027" spans="12:20" x14ac:dyDescent="0.25">
      <c r="L1027" s="10" t="str">
        <f t="shared" si="137"/>
        <v/>
      </c>
      <c r="M1027" s="10" t="str">
        <f t="shared" si="138"/>
        <v/>
      </c>
      <c r="N1027" s="11" t="str">
        <f t="shared" si="141"/>
        <v/>
      </c>
      <c r="O1027" s="10" t="str">
        <f t="shared" si="142"/>
        <v/>
      </c>
      <c r="P1027" s="39" t="str">
        <f t="shared" si="143"/>
        <v/>
      </c>
      <c r="Q1027" s="13" t="str">
        <f t="shared" si="139"/>
        <v/>
      </c>
      <c r="R1027" s="13" t="str">
        <f t="shared" si="144"/>
        <v/>
      </c>
      <c r="S1027" s="13" t="str">
        <f t="shared" si="140"/>
        <v/>
      </c>
      <c r="T1027" s="22" t="str">
        <f>IF(R1027&lt;&gt;"",VLOOKUP(P1027,Constants!$D$3:$E$10,2),"")</f>
        <v/>
      </c>
    </row>
    <row r="1028" spans="12:20" x14ac:dyDescent="0.25">
      <c r="L1028" s="10" t="str">
        <f t="shared" si="137"/>
        <v/>
      </c>
      <c r="M1028" s="10" t="str">
        <f t="shared" si="138"/>
        <v/>
      </c>
      <c r="N1028" s="11" t="str">
        <f t="shared" si="141"/>
        <v/>
      </c>
      <c r="O1028" s="10" t="str">
        <f t="shared" si="142"/>
        <v/>
      </c>
      <c r="P1028" s="39" t="str">
        <f t="shared" si="143"/>
        <v/>
      </c>
      <c r="Q1028" s="13" t="str">
        <f t="shared" si="139"/>
        <v/>
      </c>
      <c r="R1028" s="13" t="str">
        <f t="shared" si="144"/>
        <v/>
      </c>
      <c r="S1028" s="13" t="str">
        <f t="shared" si="140"/>
        <v/>
      </c>
      <c r="T1028" s="22" t="str">
        <f>IF(R1028&lt;&gt;"",VLOOKUP(P1028,Constants!$D$3:$E$10,2),"")</f>
        <v/>
      </c>
    </row>
    <row r="1029" spans="12:20" x14ac:dyDescent="0.25">
      <c r="L1029" s="10" t="str">
        <f t="shared" si="137"/>
        <v/>
      </c>
      <c r="M1029" s="10" t="str">
        <f t="shared" si="138"/>
        <v/>
      </c>
      <c r="N1029" s="11" t="str">
        <f t="shared" si="141"/>
        <v/>
      </c>
      <c r="O1029" s="10" t="str">
        <f t="shared" si="142"/>
        <v/>
      </c>
      <c r="P1029" s="39" t="str">
        <f t="shared" si="143"/>
        <v/>
      </c>
      <c r="Q1029" s="13" t="str">
        <f t="shared" si="139"/>
        <v/>
      </c>
      <c r="R1029" s="13" t="str">
        <f t="shared" si="144"/>
        <v/>
      </c>
      <c r="S1029" s="13" t="str">
        <f t="shared" si="140"/>
        <v/>
      </c>
      <c r="T1029" s="22" t="str">
        <f>IF(R1029&lt;&gt;"",VLOOKUP(P1029,Constants!$D$3:$E$10,2),"")</f>
        <v/>
      </c>
    </row>
    <row r="1030" spans="12:20" x14ac:dyDescent="0.25">
      <c r="L1030" s="10" t="str">
        <f t="shared" si="137"/>
        <v/>
      </c>
      <c r="M1030" s="10" t="str">
        <f t="shared" si="138"/>
        <v/>
      </c>
      <c r="N1030" s="11" t="str">
        <f t="shared" si="141"/>
        <v/>
      </c>
      <c r="O1030" s="10" t="str">
        <f t="shared" si="142"/>
        <v/>
      </c>
      <c r="P1030" s="39" t="str">
        <f t="shared" si="143"/>
        <v/>
      </c>
      <c r="Q1030" s="13" t="str">
        <f t="shared" si="139"/>
        <v/>
      </c>
      <c r="R1030" s="13" t="str">
        <f t="shared" si="144"/>
        <v/>
      </c>
      <c r="S1030" s="13" t="str">
        <f t="shared" si="140"/>
        <v/>
      </c>
      <c r="T1030" s="22" t="str">
        <f>IF(R1030&lt;&gt;"",VLOOKUP(P1030,Constants!$D$3:$E$10,2),"")</f>
        <v/>
      </c>
    </row>
    <row r="1031" spans="12:20" x14ac:dyDescent="0.25">
      <c r="L1031" s="10" t="str">
        <f t="shared" si="137"/>
        <v/>
      </c>
      <c r="M1031" s="10" t="str">
        <f t="shared" si="138"/>
        <v/>
      </c>
      <c r="N1031" s="11" t="str">
        <f t="shared" si="141"/>
        <v/>
      </c>
      <c r="O1031" s="10" t="str">
        <f t="shared" si="142"/>
        <v/>
      </c>
      <c r="P1031" s="39" t="str">
        <f t="shared" si="143"/>
        <v/>
      </c>
      <c r="Q1031" s="13" t="str">
        <f t="shared" si="139"/>
        <v/>
      </c>
      <c r="R1031" s="13" t="str">
        <f t="shared" si="144"/>
        <v/>
      </c>
      <c r="S1031" s="13" t="str">
        <f t="shared" si="140"/>
        <v/>
      </c>
      <c r="T1031" s="22" t="str">
        <f>IF(R1031&lt;&gt;"",VLOOKUP(P1031,Constants!$D$3:$E$10,2),"")</f>
        <v/>
      </c>
    </row>
    <row r="1032" spans="12:20" x14ac:dyDescent="0.25">
      <c r="L1032" s="10" t="str">
        <f t="shared" ref="L1032:L1095" si="145">IF($D1032&lt;&gt;"",$D1032*$E1032/1000,"")</f>
        <v/>
      </c>
      <c r="M1032" s="10" t="str">
        <f t="shared" ref="M1032:M1095" si="146">IF($D1032&lt;&gt;"",$D1032*$F1032/1000,"")</f>
        <v/>
      </c>
      <c r="N1032" s="11" t="str">
        <f t="shared" si="141"/>
        <v/>
      </c>
      <c r="O1032" s="10" t="str">
        <f t="shared" si="142"/>
        <v/>
      </c>
      <c r="P1032" s="39" t="str">
        <f t="shared" si="143"/>
        <v/>
      </c>
      <c r="Q1032" s="13" t="str">
        <f t="shared" ref="Q1032:Q1095" si="147">IF(F1032&lt;&gt;"",F1032*E1032/1000,"")</f>
        <v/>
      </c>
      <c r="R1032" s="13" t="str">
        <f t="shared" si="144"/>
        <v/>
      </c>
      <c r="S1032" s="13" t="str">
        <f t="shared" ref="S1032:S1095" si="148">IF(R1032&lt;&gt;"",Q1032/R1032*1000,"")</f>
        <v/>
      </c>
      <c r="T1032" s="22" t="str">
        <f>IF(R1032&lt;&gt;"",VLOOKUP(P1032,Constants!$D$3:$E$10,2),"")</f>
        <v/>
      </c>
    </row>
    <row r="1033" spans="12:20" x14ac:dyDescent="0.25">
      <c r="L1033" s="10" t="str">
        <f t="shared" si="145"/>
        <v/>
      </c>
      <c r="M1033" s="10" t="str">
        <f t="shared" si="146"/>
        <v/>
      </c>
      <c r="N1033" s="11" t="str">
        <f t="shared" si="141"/>
        <v/>
      </c>
      <c r="O1033" s="10" t="str">
        <f t="shared" si="142"/>
        <v/>
      </c>
      <c r="P1033" s="39" t="str">
        <f t="shared" si="143"/>
        <v/>
      </c>
      <c r="Q1033" s="13" t="str">
        <f t="shared" si="147"/>
        <v/>
      </c>
      <c r="R1033" s="13" t="str">
        <f t="shared" si="144"/>
        <v/>
      </c>
      <c r="S1033" s="13" t="str">
        <f t="shared" si="148"/>
        <v/>
      </c>
      <c r="T1033" s="22" t="str">
        <f>IF(R1033&lt;&gt;"",VLOOKUP(P1033,Constants!$D$3:$E$10,2),"")</f>
        <v/>
      </c>
    </row>
    <row r="1034" spans="12:20" x14ac:dyDescent="0.25">
      <c r="L1034" s="10" t="str">
        <f t="shared" si="145"/>
        <v/>
      </c>
      <c r="M1034" s="10" t="str">
        <f t="shared" si="146"/>
        <v/>
      </c>
      <c r="N1034" s="11" t="str">
        <f t="shared" si="141"/>
        <v/>
      </c>
      <c r="O1034" s="10" t="str">
        <f t="shared" si="142"/>
        <v/>
      </c>
      <c r="P1034" s="39" t="str">
        <f t="shared" si="143"/>
        <v/>
      </c>
      <c r="Q1034" s="13" t="str">
        <f t="shared" si="147"/>
        <v/>
      </c>
      <c r="R1034" s="13" t="str">
        <f t="shared" si="144"/>
        <v/>
      </c>
      <c r="S1034" s="13" t="str">
        <f t="shared" si="148"/>
        <v/>
      </c>
      <c r="T1034" s="22" t="str">
        <f>IF(R1034&lt;&gt;"",VLOOKUP(P1034,Constants!$D$3:$E$10,2),"")</f>
        <v/>
      </c>
    </row>
    <row r="1035" spans="12:20" x14ac:dyDescent="0.25">
      <c r="L1035" s="10" t="str">
        <f t="shared" si="145"/>
        <v/>
      </c>
      <c r="M1035" s="10" t="str">
        <f t="shared" si="146"/>
        <v/>
      </c>
      <c r="N1035" s="11" t="str">
        <f t="shared" si="141"/>
        <v/>
      </c>
      <c r="O1035" s="10" t="str">
        <f t="shared" si="142"/>
        <v/>
      </c>
      <c r="P1035" s="39" t="str">
        <f t="shared" si="143"/>
        <v/>
      </c>
      <c r="Q1035" s="13" t="str">
        <f t="shared" si="147"/>
        <v/>
      </c>
      <c r="R1035" s="13" t="str">
        <f t="shared" si="144"/>
        <v/>
      </c>
      <c r="S1035" s="13" t="str">
        <f t="shared" si="148"/>
        <v/>
      </c>
      <c r="T1035" s="22" t="str">
        <f>IF(R1035&lt;&gt;"",VLOOKUP(P1035,Constants!$D$3:$E$10,2),"")</f>
        <v/>
      </c>
    </row>
    <row r="1036" spans="12:20" x14ac:dyDescent="0.25">
      <c r="L1036" s="10" t="str">
        <f t="shared" si="145"/>
        <v/>
      </c>
      <c r="M1036" s="10" t="str">
        <f t="shared" si="146"/>
        <v/>
      </c>
      <c r="N1036" s="11" t="str">
        <f t="shared" si="141"/>
        <v/>
      </c>
      <c r="O1036" s="10" t="str">
        <f t="shared" si="142"/>
        <v/>
      </c>
      <c r="P1036" s="39" t="str">
        <f t="shared" si="143"/>
        <v/>
      </c>
      <c r="Q1036" s="13" t="str">
        <f t="shared" si="147"/>
        <v/>
      </c>
      <c r="R1036" s="13" t="str">
        <f t="shared" si="144"/>
        <v/>
      </c>
      <c r="S1036" s="13" t="str">
        <f t="shared" si="148"/>
        <v/>
      </c>
      <c r="T1036" s="22" t="str">
        <f>IF(R1036&lt;&gt;"",VLOOKUP(P1036,Constants!$D$3:$E$10,2),"")</f>
        <v/>
      </c>
    </row>
    <row r="1037" spans="12:20" x14ac:dyDescent="0.25">
      <c r="L1037" s="10" t="str">
        <f t="shared" si="145"/>
        <v/>
      </c>
      <c r="M1037" s="10" t="str">
        <f t="shared" si="146"/>
        <v/>
      </c>
      <c r="N1037" s="11" t="str">
        <f t="shared" si="141"/>
        <v/>
      </c>
      <c r="O1037" s="10" t="str">
        <f t="shared" si="142"/>
        <v/>
      </c>
      <c r="P1037" s="39" t="str">
        <f t="shared" si="143"/>
        <v/>
      </c>
      <c r="Q1037" s="13" t="str">
        <f t="shared" si="147"/>
        <v/>
      </c>
      <c r="R1037" s="13" t="str">
        <f t="shared" si="144"/>
        <v/>
      </c>
      <c r="S1037" s="13" t="str">
        <f t="shared" si="148"/>
        <v/>
      </c>
      <c r="T1037" s="22" t="str">
        <f>IF(R1037&lt;&gt;"",VLOOKUP(P1037,Constants!$D$3:$E$10,2),"")</f>
        <v/>
      </c>
    </row>
    <row r="1038" spans="12:20" x14ac:dyDescent="0.25">
      <c r="L1038" s="10" t="str">
        <f t="shared" si="145"/>
        <v/>
      </c>
      <c r="M1038" s="10" t="str">
        <f t="shared" si="146"/>
        <v/>
      </c>
      <c r="N1038" s="11" t="str">
        <f t="shared" si="141"/>
        <v/>
      </c>
      <c r="O1038" s="10" t="str">
        <f t="shared" si="142"/>
        <v/>
      </c>
      <c r="P1038" s="39" t="str">
        <f t="shared" si="143"/>
        <v/>
      </c>
      <c r="Q1038" s="13" t="str">
        <f t="shared" si="147"/>
        <v/>
      </c>
      <c r="R1038" s="13" t="str">
        <f t="shared" si="144"/>
        <v/>
      </c>
      <c r="S1038" s="13" t="str">
        <f t="shared" si="148"/>
        <v/>
      </c>
      <c r="T1038" s="22" t="str">
        <f>IF(R1038&lt;&gt;"",VLOOKUP(P1038,Constants!$D$3:$E$10,2),"")</f>
        <v/>
      </c>
    </row>
    <row r="1039" spans="12:20" x14ac:dyDescent="0.25">
      <c r="L1039" s="10" t="str">
        <f t="shared" si="145"/>
        <v/>
      </c>
      <c r="M1039" s="10" t="str">
        <f t="shared" si="146"/>
        <v/>
      </c>
      <c r="N1039" s="11" t="str">
        <f t="shared" si="141"/>
        <v/>
      </c>
      <c r="O1039" s="10" t="str">
        <f t="shared" si="142"/>
        <v/>
      </c>
      <c r="P1039" s="39" t="str">
        <f t="shared" si="143"/>
        <v/>
      </c>
      <c r="Q1039" s="13" t="str">
        <f t="shared" si="147"/>
        <v/>
      </c>
      <c r="R1039" s="13" t="str">
        <f t="shared" si="144"/>
        <v/>
      </c>
      <c r="S1039" s="13" t="str">
        <f t="shared" si="148"/>
        <v/>
      </c>
      <c r="T1039" s="22" t="str">
        <f>IF(R1039&lt;&gt;"",VLOOKUP(P1039,Constants!$D$3:$E$10,2),"")</f>
        <v/>
      </c>
    </row>
    <row r="1040" spans="12:20" x14ac:dyDescent="0.25">
      <c r="L1040" s="10" t="str">
        <f t="shared" si="145"/>
        <v/>
      </c>
      <c r="M1040" s="10" t="str">
        <f t="shared" si="146"/>
        <v/>
      </c>
      <c r="N1040" s="11" t="str">
        <f t="shared" ref="N1040:N1103" si="149">IF($L1040&lt;&gt;"",SQRT($L1040*$L1040+$M1040*$M1040),"")</f>
        <v/>
      </c>
      <c r="O1040" s="10" t="str">
        <f t="shared" si="142"/>
        <v/>
      </c>
      <c r="P1040" s="39" t="str">
        <f t="shared" si="143"/>
        <v/>
      </c>
      <c r="Q1040" s="13" t="str">
        <f t="shared" si="147"/>
        <v/>
      </c>
      <c r="R1040" s="13" t="str">
        <f t="shared" si="144"/>
        <v/>
      </c>
      <c r="S1040" s="13" t="str">
        <f t="shared" si="148"/>
        <v/>
      </c>
      <c r="T1040" s="22" t="str">
        <f>IF(R1040&lt;&gt;"",VLOOKUP(P1040,Constants!$D$3:$E$10,2),"")</f>
        <v/>
      </c>
    </row>
    <row r="1041" spans="12:20" x14ac:dyDescent="0.25">
      <c r="L1041" s="10" t="str">
        <f t="shared" si="145"/>
        <v/>
      </c>
      <c r="M1041" s="10" t="str">
        <f t="shared" si="146"/>
        <v/>
      </c>
      <c r="N1041" s="11" t="str">
        <f t="shared" si="149"/>
        <v/>
      </c>
      <c r="O1041" s="10" t="str">
        <f t="shared" si="142"/>
        <v/>
      </c>
      <c r="P1041" s="39" t="str">
        <f t="shared" si="143"/>
        <v/>
      </c>
      <c r="Q1041" s="13" t="str">
        <f t="shared" si="147"/>
        <v/>
      </c>
      <c r="R1041" s="13" t="str">
        <f t="shared" si="144"/>
        <v/>
      </c>
      <c r="S1041" s="13" t="str">
        <f t="shared" si="148"/>
        <v/>
      </c>
      <c r="T1041" s="22" t="str">
        <f>IF(R1041&lt;&gt;"",VLOOKUP(P1041,Constants!$D$3:$E$10,2),"")</f>
        <v/>
      </c>
    </row>
    <row r="1042" spans="12:20" x14ac:dyDescent="0.25">
      <c r="L1042" s="10" t="str">
        <f t="shared" si="145"/>
        <v/>
      </c>
      <c r="M1042" s="10" t="str">
        <f t="shared" si="146"/>
        <v/>
      </c>
      <c r="N1042" s="11" t="str">
        <f t="shared" si="149"/>
        <v/>
      </c>
      <c r="O1042" s="10" t="str">
        <f t="shared" si="142"/>
        <v/>
      </c>
      <c r="P1042" s="39" t="str">
        <f t="shared" si="143"/>
        <v/>
      </c>
      <c r="Q1042" s="13" t="str">
        <f t="shared" si="147"/>
        <v/>
      </c>
      <c r="R1042" s="13" t="str">
        <f t="shared" si="144"/>
        <v/>
      </c>
      <c r="S1042" s="13" t="str">
        <f t="shared" si="148"/>
        <v/>
      </c>
      <c r="T1042" s="22" t="str">
        <f>IF(R1042&lt;&gt;"",VLOOKUP(P1042,Constants!$D$3:$E$10,2),"")</f>
        <v/>
      </c>
    </row>
    <row r="1043" spans="12:20" x14ac:dyDescent="0.25">
      <c r="L1043" s="10" t="str">
        <f t="shared" si="145"/>
        <v/>
      </c>
      <c r="M1043" s="10" t="str">
        <f t="shared" si="146"/>
        <v/>
      </c>
      <c r="N1043" s="11" t="str">
        <f t="shared" si="149"/>
        <v/>
      </c>
      <c r="O1043" s="10" t="str">
        <f t="shared" si="142"/>
        <v/>
      </c>
      <c r="P1043" s="39" t="str">
        <f t="shared" si="143"/>
        <v/>
      </c>
      <c r="Q1043" s="13" t="str">
        <f t="shared" si="147"/>
        <v/>
      </c>
      <c r="R1043" s="13" t="str">
        <f t="shared" si="144"/>
        <v/>
      </c>
      <c r="S1043" s="13" t="str">
        <f t="shared" si="148"/>
        <v/>
      </c>
      <c r="T1043" s="22" t="str">
        <f>IF(R1043&lt;&gt;"",VLOOKUP(P1043,Constants!$D$3:$E$10,2),"")</f>
        <v/>
      </c>
    </row>
    <row r="1044" spans="12:20" x14ac:dyDescent="0.25">
      <c r="L1044" s="10" t="str">
        <f t="shared" si="145"/>
        <v/>
      </c>
      <c r="M1044" s="10" t="str">
        <f t="shared" si="146"/>
        <v/>
      </c>
      <c r="N1044" s="11" t="str">
        <f t="shared" si="149"/>
        <v/>
      </c>
      <c r="O1044" s="10" t="str">
        <f t="shared" si="142"/>
        <v/>
      </c>
      <c r="P1044" s="39" t="str">
        <f t="shared" si="143"/>
        <v/>
      </c>
      <c r="Q1044" s="13" t="str">
        <f t="shared" si="147"/>
        <v/>
      </c>
      <c r="R1044" s="13" t="str">
        <f t="shared" si="144"/>
        <v/>
      </c>
      <c r="S1044" s="13" t="str">
        <f t="shared" si="148"/>
        <v/>
      </c>
      <c r="T1044" s="22" t="str">
        <f>IF(R1044&lt;&gt;"",VLOOKUP(P1044,Constants!$D$3:$E$10,2),"")</f>
        <v/>
      </c>
    </row>
    <row r="1045" spans="12:20" x14ac:dyDescent="0.25">
      <c r="L1045" s="10" t="str">
        <f t="shared" si="145"/>
        <v/>
      </c>
      <c r="M1045" s="10" t="str">
        <f t="shared" si="146"/>
        <v/>
      </c>
      <c r="N1045" s="11" t="str">
        <f t="shared" si="149"/>
        <v/>
      </c>
      <c r="O1045" s="10" t="str">
        <f t="shared" si="142"/>
        <v/>
      </c>
      <c r="P1045" s="39" t="str">
        <f t="shared" si="143"/>
        <v/>
      </c>
      <c r="Q1045" s="13" t="str">
        <f t="shared" si="147"/>
        <v/>
      </c>
      <c r="R1045" s="13" t="str">
        <f t="shared" si="144"/>
        <v/>
      </c>
      <c r="S1045" s="13" t="str">
        <f t="shared" si="148"/>
        <v/>
      </c>
      <c r="T1045" s="22" t="str">
        <f>IF(R1045&lt;&gt;"",VLOOKUP(P1045,Constants!$D$3:$E$10,2),"")</f>
        <v/>
      </c>
    </row>
    <row r="1046" spans="12:20" x14ac:dyDescent="0.25">
      <c r="L1046" s="10" t="str">
        <f t="shared" si="145"/>
        <v/>
      </c>
      <c r="M1046" s="10" t="str">
        <f t="shared" si="146"/>
        <v/>
      </c>
      <c r="N1046" s="11" t="str">
        <f t="shared" si="149"/>
        <v/>
      </c>
      <c r="O1046" s="10" t="str">
        <f t="shared" si="142"/>
        <v/>
      </c>
      <c r="P1046" s="39" t="str">
        <f t="shared" si="143"/>
        <v/>
      </c>
      <c r="Q1046" s="13" t="str">
        <f t="shared" si="147"/>
        <v/>
      </c>
      <c r="R1046" s="13" t="str">
        <f t="shared" si="144"/>
        <v/>
      </c>
      <c r="S1046" s="13" t="str">
        <f t="shared" si="148"/>
        <v/>
      </c>
      <c r="T1046" s="22" t="str">
        <f>IF(R1046&lt;&gt;"",VLOOKUP(P1046,Constants!$D$3:$E$10,2),"")</f>
        <v/>
      </c>
    </row>
    <row r="1047" spans="12:20" x14ac:dyDescent="0.25">
      <c r="L1047" s="10" t="str">
        <f t="shared" si="145"/>
        <v/>
      </c>
      <c r="M1047" s="10" t="str">
        <f t="shared" si="146"/>
        <v/>
      </c>
      <c r="N1047" s="11" t="str">
        <f t="shared" si="149"/>
        <v/>
      </c>
      <c r="O1047" s="10" t="str">
        <f t="shared" ref="O1047:O1110" si="150">IF(D1047&lt;&gt;"",1000/(2*D1047),"")</f>
        <v/>
      </c>
      <c r="P1047" s="39" t="str">
        <f t="shared" ref="P1047:P1110" si="151">IF($N1047&lt;&gt;"",D1047*SQRT(E1047*E1047+F1047*F1047)/16000,"")</f>
        <v/>
      </c>
      <c r="Q1047" s="13" t="str">
        <f t="shared" si="147"/>
        <v/>
      </c>
      <c r="R1047" s="13" t="str">
        <f t="shared" ref="R1047:R1110" si="152">IF(G1047&lt;&gt;"",1000/G1047,"")</f>
        <v/>
      </c>
      <c r="S1047" s="13" t="str">
        <f t="shared" si="148"/>
        <v/>
      </c>
      <c r="T1047" s="22" t="str">
        <f>IF(R1047&lt;&gt;"",VLOOKUP(P1047,Constants!$D$3:$E$10,2),"")</f>
        <v/>
      </c>
    </row>
    <row r="1048" spans="12:20" x14ac:dyDescent="0.25">
      <c r="L1048" s="10" t="str">
        <f t="shared" si="145"/>
        <v/>
      </c>
      <c r="M1048" s="10" t="str">
        <f t="shared" si="146"/>
        <v/>
      </c>
      <c r="N1048" s="11" t="str">
        <f t="shared" si="149"/>
        <v/>
      </c>
      <c r="O1048" s="10" t="str">
        <f t="shared" si="150"/>
        <v/>
      </c>
      <c r="P1048" s="39" t="str">
        <f t="shared" si="151"/>
        <v/>
      </c>
      <c r="Q1048" s="13" t="str">
        <f t="shared" si="147"/>
        <v/>
      </c>
      <c r="R1048" s="13" t="str">
        <f t="shared" si="152"/>
        <v/>
      </c>
      <c r="S1048" s="13" t="str">
        <f t="shared" si="148"/>
        <v/>
      </c>
      <c r="T1048" s="22" t="str">
        <f>IF(R1048&lt;&gt;"",VLOOKUP(P1048,Constants!$D$3:$E$10,2),"")</f>
        <v/>
      </c>
    </row>
    <row r="1049" spans="12:20" x14ac:dyDescent="0.25">
      <c r="L1049" s="10" t="str">
        <f t="shared" si="145"/>
        <v/>
      </c>
      <c r="M1049" s="10" t="str">
        <f t="shared" si="146"/>
        <v/>
      </c>
      <c r="N1049" s="11" t="str">
        <f t="shared" si="149"/>
        <v/>
      </c>
      <c r="O1049" s="10" t="str">
        <f t="shared" si="150"/>
        <v/>
      </c>
      <c r="P1049" s="39" t="str">
        <f t="shared" si="151"/>
        <v/>
      </c>
      <c r="Q1049" s="13" t="str">
        <f t="shared" si="147"/>
        <v/>
      </c>
      <c r="R1049" s="13" t="str">
        <f t="shared" si="152"/>
        <v/>
      </c>
      <c r="S1049" s="13" t="str">
        <f t="shared" si="148"/>
        <v/>
      </c>
      <c r="T1049" s="22" t="str">
        <f>IF(R1049&lt;&gt;"",VLOOKUP(P1049,Constants!$D$3:$E$10,2),"")</f>
        <v/>
      </c>
    </row>
    <row r="1050" spans="12:20" x14ac:dyDescent="0.25">
      <c r="L1050" s="10" t="str">
        <f t="shared" si="145"/>
        <v/>
      </c>
      <c r="M1050" s="10" t="str">
        <f t="shared" si="146"/>
        <v/>
      </c>
      <c r="N1050" s="11" t="str">
        <f t="shared" si="149"/>
        <v/>
      </c>
      <c r="O1050" s="10" t="str">
        <f t="shared" si="150"/>
        <v/>
      </c>
      <c r="P1050" s="39" t="str">
        <f t="shared" si="151"/>
        <v/>
      </c>
      <c r="Q1050" s="13" t="str">
        <f t="shared" si="147"/>
        <v/>
      </c>
      <c r="R1050" s="13" t="str">
        <f t="shared" si="152"/>
        <v/>
      </c>
      <c r="S1050" s="13" t="str">
        <f t="shared" si="148"/>
        <v/>
      </c>
      <c r="T1050" s="22" t="str">
        <f>IF(R1050&lt;&gt;"",VLOOKUP(P1050,Constants!$D$3:$E$10,2),"")</f>
        <v/>
      </c>
    </row>
    <row r="1051" spans="12:20" x14ac:dyDescent="0.25">
      <c r="L1051" s="10" t="str">
        <f t="shared" si="145"/>
        <v/>
      </c>
      <c r="M1051" s="10" t="str">
        <f t="shared" si="146"/>
        <v/>
      </c>
      <c r="N1051" s="11" t="str">
        <f t="shared" si="149"/>
        <v/>
      </c>
      <c r="O1051" s="10" t="str">
        <f t="shared" si="150"/>
        <v/>
      </c>
      <c r="P1051" s="39" t="str">
        <f t="shared" si="151"/>
        <v/>
      </c>
      <c r="Q1051" s="13" t="str">
        <f t="shared" si="147"/>
        <v/>
      </c>
      <c r="R1051" s="13" t="str">
        <f t="shared" si="152"/>
        <v/>
      </c>
      <c r="S1051" s="13" t="str">
        <f t="shared" si="148"/>
        <v/>
      </c>
      <c r="T1051" s="22" t="str">
        <f>IF(R1051&lt;&gt;"",VLOOKUP(P1051,Constants!$D$3:$E$10,2),"")</f>
        <v/>
      </c>
    </row>
    <row r="1052" spans="12:20" x14ac:dyDescent="0.25">
      <c r="L1052" s="10" t="str">
        <f t="shared" si="145"/>
        <v/>
      </c>
      <c r="M1052" s="10" t="str">
        <f t="shared" si="146"/>
        <v/>
      </c>
      <c r="N1052" s="11" t="str">
        <f t="shared" si="149"/>
        <v/>
      </c>
      <c r="O1052" s="10" t="str">
        <f t="shared" si="150"/>
        <v/>
      </c>
      <c r="P1052" s="39" t="str">
        <f t="shared" si="151"/>
        <v/>
      </c>
      <c r="Q1052" s="13" t="str">
        <f t="shared" si="147"/>
        <v/>
      </c>
      <c r="R1052" s="13" t="str">
        <f t="shared" si="152"/>
        <v/>
      </c>
      <c r="S1052" s="13" t="str">
        <f t="shared" si="148"/>
        <v/>
      </c>
      <c r="T1052" s="22" t="str">
        <f>IF(R1052&lt;&gt;"",VLOOKUP(P1052,Constants!$D$3:$E$10,2),"")</f>
        <v/>
      </c>
    </row>
    <row r="1053" spans="12:20" x14ac:dyDescent="0.25">
      <c r="L1053" s="10" t="str">
        <f t="shared" si="145"/>
        <v/>
      </c>
      <c r="M1053" s="10" t="str">
        <f t="shared" si="146"/>
        <v/>
      </c>
      <c r="N1053" s="11" t="str">
        <f t="shared" si="149"/>
        <v/>
      </c>
      <c r="O1053" s="10" t="str">
        <f t="shared" si="150"/>
        <v/>
      </c>
      <c r="P1053" s="39" t="str">
        <f t="shared" si="151"/>
        <v/>
      </c>
      <c r="Q1053" s="13" t="str">
        <f t="shared" si="147"/>
        <v/>
      </c>
      <c r="R1053" s="13" t="str">
        <f t="shared" si="152"/>
        <v/>
      </c>
      <c r="S1053" s="13" t="str">
        <f t="shared" si="148"/>
        <v/>
      </c>
      <c r="T1053" s="22" t="str">
        <f>IF(R1053&lt;&gt;"",VLOOKUP(P1053,Constants!$D$3:$E$10,2),"")</f>
        <v/>
      </c>
    </row>
    <row r="1054" spans="12:20" x14ac:dyDescent="0.25">
      <c r="L1054" s="10" t="str">
        <f t="shared" si="145"/>
        <v/>
      </c>
      <c r="M1054" s="10" t="str">
        <f t="shared" si="146"/>
        <v/>
      </c>
      <c r="N1054" s="11" t="str">
        <f t="shared" si="149"/>
        <v/>
      </c>
      <c r="O1054" s="10" t="str">
        <f t="shared" si="150"/>
        <v/>
      </c>
      <c r="P1054" s="39" t="str">
        <f t="shared" si="151"/>
        <v/>
      </c>
      <c r="Q1054" s="13" t="str">
        <f t="shared" si="147"/>
        <v/>
      </c>
      <c r="R1054" s="13" t="str">
        <f t="shared" si="152"/>
        <v/>
      </c>
      <c r="S1054" s="13" t="str">
        <f t="shared" si="148"/>
        <v/>
      </c>
      <c r="T1054" s="22" t="str">
        <f>IF(R1054&lt;&gt;"",VLOOKUP(P1054,Constants!$D$3:$E$10,2),"")</f>
        <v/>
      </c>
    </row>
    <row r="1055" spans="12:20" x14ac:dyDescent="0.25">
      <c r="L1055" s="10" t="str">
        <f t="shared" si="145"/>
        <v/>
      </c>
      <c r="M1055" s="10" t="str">
        <f t="shared" si="146"/>
        <v/>
      </c>
      <c r="N1055" s="11" t="str">
        <f t="shared" si="149"/>
        <v/>
      </c>
      <c r="O1055" s="10" t="str">
        <f t="shared" si="150"/>
        <v/>
      </c>
      <c r="P1055" s="39" t="str">
        <f t="shared" si="151"/>
        <v/>
      </c>
      <c r="Q1055" s="13" t="str">
        <f t="shared" si="147"/>
        <v/>
      </c>
      <c r="R1055" s="13" t="str">
        <f t="shared" si="152"/>
        <v/>
      </c>
      <c r="S1055" s="13" t="str">
        <f t="shared" si="148"/>
        <v/>
      </c>
      <c r="T1055" s="22" t="str">
        <f>IF(R1055&lt;&gt;"",VLOOKUP(P1055,Constants!$D$3:$E$10,2),"")</f>
        <v/>
      </c>
    </row>
    <row r="1056" spans="12:20" x14ac:dyDescent="0.25">
      <c r="L1056" s="10" t="str">
        <f t="shared" si="145"/>
        <v/>
      </c>
      <c r="M1056" s="10" t="str">
        <f t="shared" si="146"/>
        <v/>
      </c>
      <c r="N1056" s="11" t="str">
        <f t="shared" si="149"/>
        <v/>
      </c>
      <c r="O1056" s="10" t="str">
        <f t="shared" si="150"/>
        <v/>
      </c>
      <c r="P1056" s="39" t="str">
        <f t="shared" si="151"/>
        <v/>
      </c>
      <c r="Q1056" s="13" t="str">
        <f t="shared" si="147"/>
        <v/>
      </c>
      <c r="R1056" s="13" t="str">
        <f t="shared" si="152"/>
        <v/>
      </c>
      <c r="S1056" s="13" t="str">
        <f t="shared" si="148"/>
        <v/>
      </c>
      <c r="T1056" s="22" t="str">
        <f>IF(R1056&lt;&gt;"",VLOOKUP(P1056,Constants!$D$3:$E$10,2),"")</f>
        <v/>
      </c>
    </row>
    <row r="1057" spans="12:20" x14ac:dyDescent="0.25">
      <c r="L1057" s="10" t="str">
        <f t="shared" si="145"/>
        <v/>
      </c>
      <c r="M1057" s="10" t="str">
        <f t="shared" si="146"/>
        <v/>
      </c>
      <c r="N1057" s="11" t="str">
        <f t="shared" si="149"/>
        <v/>
      </c>
      <c r="O1057" s="10" t="str">
        <f t="shared" si="150"/>
        <v/>
      </c>
      <c r="P1057" s="39" t="str">
        <f t="shared" si="151"/>
        <v/>
      </c>
      <c r="Q1057" s="13" t="str">
        <f t="shared" si="147"/>
        <v/>
      </c>
      <c r="R1057" s="13" t="str">
        <f t="shared" si="152"/>
        <v/>
      </c>
      <c r="S1057" s="13" t="str">
        <f t="shared" si="148"/>
        <v/>
      </c>
      <c r="T1057" s="22" t="str">
        <f>IF(R1057&lt;&gt;"",VLOOKUP(P1057,Constants!$D$3:$E$10,2),"")</f>
        <v/>
      </c>
    </row>
    <row r="1058" spans="12:20" x14ac:dyDescent="0.25">
      <c r="L1058" s="10" t="str">
        <f t="shared" si="145"/>
        <v/>
      </c>
      <c r="M1058" s="10" t="str">
        <f t="shared" si="146"/>
        <v/>
      </c>
      <c r="N1058" s="11" t="str">
        <f t="shared" si="149"/>
        <v/>
      </c>
      <c r="O1058" s="10" t="str">
        <f t="shared" si="150"/>
        <v/>
      </c>
      <c r="P1058" s="39" t="str">
        <f t="shared" si="151"/>
        <v/>
      </c>
      <c r="Q1058" s="13" t="str">
        <f t="shared" si="147"/>
        <v/>
      </c>
      <c r="R1058" s="13" t="str">
        <f t="shared" si="152"/>
        <v/>
      </c>
      <c r="S1058" s="13" t="str">
        <f t="shared" si="148"/>
        <v/>
      </c>
      <c r="T1058" s="22" t="str">
        <f>IF(R1058&lt;&gt;"",VLOOKUP(P1058,Constants!$D$3:$E$10,2),"")</f>
        <v/>
      </c>
    </row>
    <row r="1059" spans="12:20" x14ac:dyDescent="0.25">
      <c r="L1059" s="10" t="str">
        <f t="shared" si="145"/>
        <v/>
      </c>
      <c r="M1059" s="10" t="str">
        <f t="shared" si="146"/>
        <v/>
      </c>
      <c r="N1059" s="11" t="str">
        <f t="shared" si="149"/>
        <v/>
      </c>
      <c r="O1059" s="10" t="str">
        <f t="shared" si="150"/>
        <v/>
      </c>
      <c r="P1059" s="39" t="str">
        <f t="shared" si="151"/>
        <v/>
      </c>
      <c r="Q1059" s="13" t="str">
        <f t="shared" si="147"/>
        <v/>
      </c>
      <c r="R1059" s="13" t="str">
        <f t="shared" si="152"/>
        <v/>
      </c>
      <c r="S1059" s="13" t="str">
        <f t="shared" si="148"/>
        <v/>
      </c>
      <c r="T1059" s="22" t="str">
        <f>IF(R1059&lt;&gt;"",VLOOKUP(P1059,Constants!$D$3:$E$10,2),"")</f>
        <v/>
      </c>
    </row>
    <row r="1060" spans="12:20" x14ac:dyDescent="0.25">
      <c r="L1060" s="10" t="str">
        <f t="shared" si="145"/>
        <v/>
      </c>
      <c r="M1060" s="10" t="str">
        <f t="shared" si="146"/>
        <v/>
      </c>
      <c r="N1060" s="11" t="str">
        <f t="shared" si="149"/>
        <v/>
      </c>
      <c r="O1060" s="10" t="str">
        <f t="shared" si="150"/>
        <v/>
      </c>
      <c r="P1060" s="39" t="str">
        <f t="shared" si="151"/>
        <v/>
      </c>
      <c r="Q1060" s="13" t="str">
        <f t="shared" si="147"/>
        <v/>
      </c>
      <c r="R1060" s="13" t="str">
        <f t="shared" si="152"/>
        <v/>
      </c>
      <c r="S1060" s="13" t="str">
        <f t="shared" si="148"/>
        <v/>
      </c>
      <c r="T1060" s="22" t="str">
        <f>IF(R1060&lt;&gt;"",VLOOKUP(P1060,Constants!$D$3:$E$10,2),"")</f>
        <v/>
      </c>
    </row>
    <row r="1061" spans="12:20" x14ac:dyDescent="0.25">
      <c r="L1061" s="10" t="str">
        <f t="shared" si="145"/>
        <v/>
      </c>
      <c r="M1061" s="10" t="str">
        <f t="shared" si="146"/>
        <v/>
      </c>
      <c r="N1061" s="11" t="str">
        <f t="shared" si="149"/>
        <v/>
      </c>
      <c r="O1061" s="10" t="str">
        <f t="shared" si="150"/>
        <v/>
      </c>
      <c r="P1061" s="39" t="str">
        <f t="shared" si="151"/>
        <v/>
      </c>
      <c r="Q1061" s="13" t="str">
        <f t="shared" si="147"/>
        <v/>
      </c>
      <c r="R1061" s="13" t="str">
        <f t="shared" si="152"/>
        <v/>
      </c>
      <c r="S1061" s="13" t="str">
        <f t="shared" si="148"/>
        <v/>
      </c>
      <c r="T1061" s="22" t="str">
        <f>IF(R1061&lt;&gt;"",VLOOKUP(P1061,Constants!$D$3:$E$10,2),"")</f>
        <v/>
      </c>
    </row>
    <row r="1062" spans="12:20" x14ac:dyDescent="0.25">
      <c r="L1062" s="10" t="str">
        <f t="shared" si="145"/>
        <v/>
      </c>
      <c r="M1062" s="10" t="str">
        <f t="shared" si="146"/>
        <v/>
      </c>
      <c r="N1062" s="11" t="str">
        <f t="shared" si="149"/>
        <v/>
      </c>
      <c r="O1062" s="10" t="str">
        <f t="shared" si="150"/>
        <v/>
      </c>
      <c r="P1062" s="39" t="str">
        <f t="shared" si="151"/>
        <v/>
      </c>
      <c r="Q1062" s="13" t="str">
        <f t="shared" si="147"/>
        <v/>
      </c>
      <c r="R1062" s="13" t="str">
        <f t="shared" si="152"/>
        <v/>
      </c>
      <c r="S1062" s="13" t="str">
        <f t="shared" si="148"/>
        <v/>
      </c>
      <c r="T1062" s="22" t="str">
        <f>IF(R1062&lt;&gt;"",VLOOKUP(P1062,Constants!$D$3:$E$10,2),"")</f>
        <v/>
      </c>
    </row>
    <row r="1063" spans="12:20" x14ac:dyDescent="0.25">
      <c r="L1063" s="10" t="str">
        <f t="shared" si="145"/>
        <v/>
      </c>
      <c r="M1063" s="10" t="str">
        <f t="shared" si="146"/>
        <v/>
      </c>
      <c r="N1063" s="11" t="str">
        <f t="shared" si="149"/>
        <v/>
      </c>
      <c r="O1063" s="10" t="str">
        <f t="shared" si="150"/>
        <v/>
      </c>
      <c r="P1063" s="39" t="str">
        <f t="shared" si="151"/>
        <v/>
      </c>
      <c r="Q1063" s="13" t="str">
        <f t="shared" si="147"/>
        <v/>
      </c>
      <c r="R1063" s="13" t="str">
        <f t="shared" si="152"/>
        <v/>
      </c>
      <c r="S1063" s="13" t="str">
        <f t="shared" si="148"/>
        <v/>
      </c>
      <c r="T1063" s="22" t="str">
        <f>IF(R1063&lt;&gt;"",VLOOKUP(P1063,Constants!$D$3:$E$10,2),"")</f>
        <v/>
      </c>
    </row>
    <row r="1064" spans="12:20" x14ac:dyDescent="0.25">
      <c r="L1064" s="10" t="str">
        <f t="shared" si="145"/>
        <v/>
      </c>
      <c r="M1064" s="10" t="str">
        <f t="shared" si="146"/>
        <v/>
      </c>
      <c r="N1064" s="11" t="str">
        <f t="shared" si="149"/>
        <v/>
      </c>
      <c r="O1064" s="10" t="str">
        <f t="shared" si="150"/>
        <v/>
      </c>
      <c r="P1064" s="39" t="str">
        <f t="shared" si="151"/>
        <v/>
      </c>
      <c r="Q1064" s="13" t="str">
        <f t="shared" si="147"/>
        <v/>
      </c>
      <c r="R1064" s="13" t="str">
        <f t="shared" si="152"/>
        <v/>
      </c>
      <c r="S1064" s="13" t="str">
        <f t="shared" si="148"/>
        <v/>
      </c>
      <c r="T1064" s="22" t="str">
        <f>IF(R1064&lt;&gt;"",VLOOKUP(P1064,Constants!$D$3:$E$10,2),"")</f>
        <v/>
      </c>
    </row>
    <row r="1065" spans="12:20" x14ac:dyDescent="0.25">
      <c r="L1065" s="10" t="str">
        <f t="shared" si="145"/>
        <v/>
      </c>
      <c r="M1065" s="10" t="str">
        <f t="shared" si="146"/>
        <v/>
      </c>
      <c r="N1065" s="11" t="str">
        <f t="shared" si="149"/>
        <v/>
      </c>
      <c r="O1065" s="10" t="str">
        <f t="shared" si="150"/>
        <v/>
      </c>
      <c r="P1065" s="39" t="str">
        <f t="shared" si="151"/>
        <v/>
      </c>
      <c r="Q1065" s="13" t="str">
        <f t="shared" si="147"/>
        <v/>
      </c>
      <c r="R1065" s="13" t="str">
        <f t="shared" si="152"/>
        <v/>
      </c>
      <c r="S1065" s="13" t="str">
        <f t="shared" si="148"/>
        <v/>
      </c>
      <c r="T1065" s="22" t="str">
        <f>IF(R1065&lt;&gt;"",VLOOKUP(P1065,Constants!$D$3:$E$10,2),"")</f>
        <v/>
      </c>
    </row>
    <row r="1066" spans="12:20" x14ac:dyDescent="0.25">
      <c r="L1066" s="10" t="str">
        <f t="shared" si="145"/>
        <v/>
      </c>
      <c r="M1066" s="10" t="str">
        <f t="shared" si="146"/>
        <v/>
      </c>
      <c r="N1066" s="11" t="str">
        <f t="shared" si="149"/>
        <v/>
      </c>
      <c r="O1066" s="10" t="str">
        <f t="shared" si="150"/>
        <v/>
      </c>
      <c r="P1066" s="39" t="str">
        <f t="shared" si="151"/>
        <v/>
      </c>
      <c r="Q1066" s="13" t="str">
        <f t="shared" si="147"/>
        <v/>
      </c>
      <c r="R1066" s="13" t="str">
        <f t="shared" si="152"/>
        <v/>
      </c>
      <c r="S1066" s="13" t="str">
        <f t="shared" si="148"/>
        <v/>
      </c>
      <c r="T1066" s="22" t="str">
        <f>IF(R1066&lt;&gt;"",VLOOKUP(P1066,Constants!$D$3:$E$10,2),"")</f>
        <v/>
      </c>
    </row>
    <row r="1067" spans="12:20" x14ac:dyDescent="0.25">
      <c r="L1067" s="10" t="str">
        <f t="shared" si="145"/>
        <v/>
      </c>
      <c r="M1067" s="10" t="str">
        <f t="shared" si="146"/>
        <v/>
      </c>
      <c r="N1067" s="11" t="str">
        <f t="shared" si="149"/>
        <v/>
      </c>
      <c r="O1067" s="10" t="str">
        <f t="shared" si="150"/>
        <v/>
      </c>
      <c r="P1067" s="39" t="str">
        <f t="shared" si="151"/>
        <v/>
      </c>
      <c r="Q1067" s="13" t="str">
        <f t="shared" si="147"/>
        <v/>
      </c>
      <c r="R1067" s="13" t="str">
        <f t="shared" si="152"/>
        <v/>
      </c>
      <c r="S1067" s="13" t="str">
        <f t="shared" si="148"/>
        <v/>
      </c>
      <c r="T1067" s="22" t="str">
        <f>IF(R1067&lt;&gt;"",VLOOKUP(P1067,Constants!$D$3:$E$10,2),"")</f>
        <v/>
      </c>
    </row>
    <row r="1068" spans="12:20" x14ac:dyDescent="0.25">
      <c r="L1068" s="10" t="str">
        <f t="shared" si="145"/>
        <v/>
      </c>
      <c r="M1068" s="10" t="str">
        <f t="shared" si="146"/>
        <v/>
      </c>
      <c r="N1068" s="11" t="str">
        <f t="shared" si="149"/>
        <v/>
      </c>
      <c r="O1068" s="10" t="str">
        <f t="shared" si="150"/>
        <v/>
      </c>
      <c r="P1068" s="39" t="str">
        <f t="shared" si="151"/>
        <v/>
      </c>
      <c r="Q1068" s="13" t="str">
        <f t="shared" si="147"/>
        <v/>
      </c>
      <c r="R1068" s="13" t="str">
        <f t="shared" si="152"/>
        <v/>
      </c>
      <c r="S1068" s="13" t="str">
        <f t="shared" si="148"/>
        <v/>
      </c>
      <c r="T1068" s="22" t="str">
        <f>IF(R1068&lt;&gt;"",VLOOKUP(P1068,Constants!$D$3:$E$10,2),"")</f>
        <v/>
      </c>
    </row>
    <row r="1069" spans="12:20" x14ac:dyDescent="0.25">
      <c r="L1069" s="10" t="str">
        <f t="shared" si="145"/>
        <v/>
      </c>
      <c r="M1069" s="10" t="str">
        <f t="shared" si="146"/>
        <v/>
      </c>
      <c r="N1069" s="11" t="str">
        <f t="shared" si="149"/>
        <v/>
      </c>
      <c r="O1069" s="10" t="str">
        <f t="shared" si="150"/>
        <v/>
      </c>
      <c r="P1069" s="39" t="str">
        <f t="shared" si="151"/>
        <v/>
      </c>
      <c r="Q1069" s="13" t="str">
        <f t="shared" si="147"/>
        <v/>
      </c>
      <c r="R1069" s="13" t="str">
        <f t="shared" si="152"/>
        <v/>
      </c>
      <c r="S1069" s="13" t="str">
        <f t="shared" si="148"/>
        <v/>
      </c>
      <c r="T1069" s="22" t="str">
        <f>IF(R1069&lt;&gt;"",VLOOKUP(P1069,Constants!$D$3:$E$10,2),"")</f>
        <v/>
      </c>
    </row>
    <row r="1070" spans="12:20" x14ac:dyDescent="0.25">
      <c r="L1070" s="10" t="str">
        <f t="shared" si="145"/>
        <v/>
      </c>
      <c r="M1070" s="10" t="str">
        <f t="shared" si="146"/>
        <v/>
      </c>
      <c r="N1070" s="11" t="str">
        <f t="shared" si="149"/>
        <v/>
      </c>
      <c r="O1070" s="10" t="str">
        <f t="shared" si="150"/>
        <v/>
      </c>
      <c r="P1070" s="39" t="str">
        <f t="shared" si="151"/>
        <v/>
      </c>
      <c r="Q1070" s="13" t="str">
        <f t="shared" si="147"/>
        <v/>
      </c>
      <c r="R1070" s="13" t="str">
        <f t="shared" si="152"/>
        <v/>
      </c>
      <c r="S1070" s="13" t="str">
        <f t="shared" si="148"/>
        <v/>
      </c>
      <c r="T1070" s="22" t="str">
        <f>IF(R1070&lt;&gt;"",VLOOKUP(P1070,Constants!$D$3:$E$10,2),"")</f>
        <v/>
      </c>
    </row>
    <row r="1071" spans="12:20" x14ac:dyDescent="0.25">
      <c r="L1071" s="10" t="str">
        <f t="shared" si="145"/>
        <v/>
      </c>
      <c r="M1071" s="10" t="str">
        <f t="shared" si="146"/>
        <v/>
      </c>
      <c r="N1071" s="11" t="str">
        <f t="shared" si="149"/>
        <v/>
      </c>
      <c r="O1071" s="10" t="str">
        <f t="shared" si="150"/>
        <v/>
      </c>
      <c r="P1071" s="39" t="str">
        <f t="shared" si="151"/>
        <v/>
      </c>
      <c r="Q1071" s="13" t="str">
        <f t="shared" si="147"/>
        <v/>
      </c>
      <c r="R1071" s="13" t="str">
        <f t="shared" si="152"/>
        <v/>
      </c>
      <c r="S1071" s="13" t="str">
        <f t="shared" si="148"/>
        <v/>
      </c>
      <c r="T1071" s="22" t="str">
        <f>IF(R1071&lt;&gt;"",VLOOKUP(P1071,Constants!$D$3:$E$10,2),"")</f>
        <v/>
      </c>
    </row>
    <row r="1072" spans="12:20" x14ac:dyDescent="0.25">
      <c r="L1072" s="10" t="str">
        <f t="shared" si="145"/>
        <v/>
      </c>
      <c r="M1072" s="10" t="str">
        <f t="shared" si="146"/>
        <v/>
      </c>
      <c r="N1072" s="11" t="str">
        <f t="shared" si="149"/>
        <v/>
      </c>
      <c r="O1072" s="10" t="str">
        <f t="shared" si="150"/>
        <v/>
      </c>
      <c r="P1072" s="39" t="str">
        <f t="shared" si="151"/>
        <v/>
      </c>
      <c r="Q1072" s="13" t="str">
        <f t="shared" si="147"/>
        <v/>
      </c>
      <c r="R1072" s="13" t="str">
        <f t="shared" si="152"/>
        <v/>
      </c>
      <c r="S1072" s="13" t="str">
        <f t="shared" si="148"/>
        <v/>
      </c>
      <c r="T1072" s="22" t="str">
        <f>IF(R1072&lt;&gt;"",VLOOKUP(P1072,Constants!$D$3:$E$10,2),"")</f>
        <v/>
      </c>
    </row>
    <row r="1073" spans="12:20" x14ac:dyDescent="0.25">
      <c r="L1073" s="10" t="str">
        <f t="shared" si="145"/>
        <v/>
      </c>
      <c r="M1073" s="10" t="str">
        <f t="shared" si="146"/>
        <v/>
      </c>
      <c r="N1073" s="11" t="str">
        <f t="shared" si="149"/>
        <v/>
      </c>
      <c r="O1073" s="10" t="str">
        <f t="shared" si="150"/>
        <v/>
      </c>
      <c r="P1073" s="39" t="str">
        <f t="shared" si="151"/>
        <v/>
      </c>
      <c r="Q1073" s="13" t="str">
        <f t="shared" si="147"/>
        <v/>
      </c>
      <c r="R1073" s="13" t="str">
        <f t="shared" si="152"/>
        <v/>
      </c>
      <c r="S1073" s="13" t="str">
        <f t="shared" si="148"/>
        <v/>
      </c>
      <c r="T1073" s="22" t="str">
        <f>IF(R1073&lt;&gt;"",VLOOKUP(P1073,Constants!$D$3:$E$10,2),"")</f>
        <v/>
      </c>
    </row>
    <row r="1074" spans="12:20" x14ac:dyDescent="0.25">
      <c r="L1074" s="10" t="str">
        <f t="shared" si="145"/>
        <v/>
      </c>
      <c r="M1074" s="10" t="str">
        <f t="shared" si="146"/>
        <v/>
      </c>
      <c r="N1074" s="11" t="str">
        <f t="shared" si="149"/>
        <v/>
      </c>
      <c r="O1074" s="10" t="str">
        <f t="shared" si="150"/>
        <v/>
      </c>
      <c r="P1074" s="39" t="str">
        <f t="shared" si="151"/>
        <v/>
      </c>
      <c r="Q1074" s="13" t="str">
        <f t="shared" si="147"/>
        <v/>
      </c>
      <c r="R1074" s="13" t="str">
        <f t="shared" si="152"/>
        <v/>
      </c>
      <c r="S1074" s="13" t="str">
        <f t="shared" si="148"/>
        <v/>
      </c>
      <c r="T1074" s="22" t="str">
        <f>IF(R1074&lt;&gt;"",VLOOKUP(P1074,Constants!$D$3:$E$10,2),"")</f>
        <v/>
      </c>
    </row>
    <row r="1075" spans="12:20" x14ac:dyDescent="0.25">
      <c r="L1075" s="10" t="str">
        <f t="shared" si="145"/>
        <v/>
      </c>
      <c r="M1075" s="10" t="str">
        <f t="shared" si="146"/>
        <v/>
      </c>
      <c r="N1075" s="11" t="str">
        <f t="shared" si="149"/>
        <v/>
      </c>
      <c r="O1075" s="10" t="str">
        <f t="shared" si="150"/>
        <v/>
      </c>
      <c r="P1075" s="39" t="str">
        <f t="shared" si="151"/>
        <v/>
      </c>
      <c r="Q1075" s="13" t="str">
        <f t="shared" si="147"/>
        <v/>
      </c>
      <c r="R1075" s="13" t="str">
        <f t="shared" si="152"/>
        <v/>
      </c>
      <c r="S1075" s="13" t="str">
        <f t="shared" si="148"/>
        <v/>
      </c>
      <c r="T1075" s="22" t="str">
        <f>IF(R1075&lt;&gt;"",VLOOKUP(P1075,Constants!$D$3:$E$10,2),"")</f>
        <v/>
      </c>
    </row>
    <row r="1076" spans="12:20" x14ac:dyDescent="0.25">
      <c r="L1076" s="10" t="str">
        <f t="shared" si="145"/>
        <v/>
      </c>
      <c r="M1076" s="10" t="str">
        <f t="shared" si="146"/>
        <v/>
      </c>
      <c r="N1076" s="11" t="str">
        <f t="shared" si="149"/>
        <v/>
      </c>
      <c r="O1076" s="10" t="str">
        <f t="shared" si="150"/>
        <v/>
      </c>
      <c r="P1076" s="39" t="str">
        <f t="shared" si="151"/>
        <v/>
      </c>
      <c r="Q1076" s="13" t="str">
        <f t="shared" si="147"/>
        <v/>
      </c>
      <c r="R1076" s="13" t="str">
        <f t="shared" si="152"/>
        <v/>
      </c>
      <c r="S1076" s="13" t="str">
        <f t="shared" si="148"/>
        <v/>
      </c>
      <c r="T1076" s="22" t="str">
        <f>IF(R1076&lt;&gt;"",VLOOKUP(P1076,Constants!$D$3:$E$10,2),"")</f>
        <v/>
      </c>
    </row>
    <row r="1077" spans="12:20" x14ac:dyDescent="0.25">
      <c r="L1077" s="10" t="str">
        <f t="shared" si="145"/>
        <v/>
      </c>
      <c r="M1077" s="10" t="str">
        <f t="shared" si="146"/>
        <v/>
      </c>
      <c r="N1077" s="11" t="str">
        <f t="shared" si="149"/>
        <v/>
      </c>
      <c r="O1077" s="10" t="str">
        <f t="shared" si="150"/>
        <v/>
      </c>
      <c r="P1077" s="39" t="str">
        <f t="shared" si="151"/>
        <v/>
      </c>
      <c r="Q1077" s="13" t="str">
        <f t="shared" si="147"/>
        <v/>
      </c>
      <c r="R1077" s="13" t="str">
        <f t="shared" si="152"/>
        <v/>
      </c>
      <c r="S1077" s="13" t="str">
        <f t="shared" si="148"/>
        <v/>
      </c>
      <c r="T1077" s="22" t="str">
        <f>IF(R1077&lt;&gt;"",VLOOKUP(P1077,Constants!$D$3:$E$10,2),"")</f>
        <v/>
      </c>
    </row>
    <row r="1078" spans="12:20" x14ac:dyDescent="0.25">
      <c r="L1078" s="10" t="str">
        <f t="shared" si="145"/>
        <v/>
      </c>
      <c r="M1078" s="10" t="str">
        <f t="shared" si="146"/>
        <v/>
      </c>
      <c r="N1078" s="11" t="str">
        <f t="shared" si="149"/>
        <v/>
      </c>
      <c r="O1078" s="10" t="str">
        <f t="shared" si="150"/>
        <v/>
      </c>
      <c r="P1078" s="39" t="str">
        <f t="shared" si="151"/>
        <v/>
      </c>
      <c r="Q1078" s="13" t="str">
        <f t="shared" si="147"/>
        <v/>
      </c>
      <c r="R1078" s="13" t="str">
        <f t="shared" si="152"/>
        <v/>
      </c>
      <c r="S1078" s="13" t="str">
        <f t="shared" si="148"/>
        <v/>
      </c>
      <c r="T1078" s="22" t="str">
        <f>IF(R1078&lt;&gt;"",VLOOKUP(P1078,Constants!$D$3:$E$10,2),"")</f>
        <v/>
      </c>
    </row>
    <row r="1079" spans="12:20" x14ac:dyDescent="0.25">
      <c r="L1079" s="10" t="str">
        <f t="shared" si="145"/>
        <v/>
      </c>
      <c r="M1079" s="10" t="str">
        <f t="shared" si="146"/>
        <v/>
      </c>
      <c r="N1079" s="11" t="str">
        <f t="shared" si="149"/>
        <v/>
      </c>
      <c r="O1079" s="10" t="str">
        <f t="shared" si="150"/>
        <v/>
      </c>
      <c r="P1079" s="39" t="str">
        <f t="shared" si="151"/>
        <v/>
      </c>
      <c r="Q1079" s="13" t="str">
        <f t="shared" si="147"/>
        <v/>
      </c>
      <c r="R1079" s="13" t="str">
        <f t="shared" si="152"/>
        <v/>
      </c>
      <c r="S1079" s="13" t="str">
        <f t="shared" si="148"/>
        <v/>
      </c>
      <c r="T1079" s="22" t="str">
        <f>IF(R1079&lt;&gt;"",VLOOKUP(P1079,Constants!$D$3:$E$10,2),"")</f>
        <v/>
      </c>
    </row>
    <row r="1080" spans="12:20" x14ac:dyDescent="0.25">
      <c r="L1080" s="10" t="str">
        <f t="shared" si="145"/>
        <v/>
      </c>
      <c r="M1080" s="10" t="str">
        <f t="shared" si="146"/>
        <v/>
      </c>
      <c r="N1080" s="11" t="str">
        <f t="shared" si="149"/>
        <v/>
      </c>
      <c r="O1080" s="10" t="str">
        <f t="shared" si="150"/>
        <v/>
      </c>
      <c r="P1080" s="39" t="str">
        <f t="shared" si="151"/>
        <v/>
      </c>
      <c r="Q1080" s="13" t="str">
        <f t="shared" si="147"/>
        <v/>
      </c>
      <c r="R1080" s="13" t="str">
        <f t="shared" si="152"/>
        <v/>
      </c>
      <c r="S1080" s="13" t="str">
        <f t="shared" si="148"/>
        <v/>
      </c>
      <c r="T1080" s="22" t="str">
        <f>IF(R1080&lt;&gt;"",VLOOKUP(P1080,Constants!$D$3:$E$10,2),"")</f>
        <v/>
      </c>
    </row>
    <row r="1081" spans="12:20" x14ac:dyDescent="0.25">
      <c r="L1081" s="10" t="str">
        <f t="shared" si="145"/>
        <v/>
      </c>
      <c r="M1081" s="10" t="str">
        <f t="shared" si="146"/>
        <v/>
      </c>
      <c r="N1081" s="11" t="str">
        <f t="shared" si="149"/>
        <v/>
      </c>
      <c r="O1081" s="10" t="str">
        <f t="shared" si="150"/>
        <v/>
      </c>
      <c r="P1081" s="39" t="str">
        <f t="shared" si="151"/>
        <v/>
      </c>
      <c r="Q1081" s="13" t="str">
        <f t="shared" si="147"/>
        <v/>
      </c>
      <c r="R1081" s="13" t="str">
        <f t="shared" si="152"/>
        <v/>
      </c>
      <c r="S1081" s="13" t="str">
        <f t="shared" si="148"/>
        <v/>
      </c>
      <c r="T1081" s="22" t="str">
        <f>IF(R1081&lt;&gt;"",VLOOKUP(P1081,Constants!$D$3:$E$10,2),"")</f>
        <v/>
      </c>
    </row>
    <row r="1082" spans="12:20" x14ac:dyDescent="0.25">
      <c r="L1082" s="10" t="str">
        <f t="shared" si="145"/>
        <v/>
      </c>
      <c r="M1082" s="10" t="str">
        <f t="shared" si="146"/>
        <v/>
      </c>
      <c r="N1082" s="11" t="str">
        <f t="shared" si="149"/>
        <v/>
      </c>
      <c r="O1082" s="10" t="str">
        <f t="shared" si="150"/>
        <v/>
      </c>
      <c r="P1082" s="39" t="str">
        <f t="shared" si="151"/>
        <v/>
      </c>
      <c r="Q1082" s="13" t="str">
        <f t="shared" si="147"/>
        <v/>
      </c>
      <c r="R1082" s="13" t="str">
        <f t="shared" si="152"/>
        <v/>
      </c>
      <c r="S1082" s="13" t="str">
        <f t="shared" si="148"/>
        <v/>
      </c>
      <c r="T1082" s="22" t="str">
        <f>IF(R1082&lt;&gt;"",VLOOKUP(P1082,Constants!$D$3:$E$10,2),"")</f>
        <v/>
      </c>
    </row>
    <row r="1083" spans="12:20" x14ac:dyDescent="0.25">
      <c r="L1083" s="10" t="str">
        <f t="shared" si="145"/>
        <v/>
      </c>
      <c r="M1083" s="10" t="str">
        <f t="shared" si="146"/>
        <v/>
      </c>
      <c r="N1083" s="11" t="str">
        <f t="shared" si="149"/>
        <v/>
      </c>
      <c r="O1083" s="10" t="str">
        <f t="shared" si="150"/>
        <v/>
      </c>
      <c r="P1083" s="39" t="str">
        <f t="shared" si="151"/>
        <v/>
      </c>
      <c r="Q1083" s="13" t="str">
        <f t="shared" si="147"/>
        <v/>
      </c>
      <c r="R1083" s="13" t="str">
        <f t="shared" si="152"/>
        <v/>
      </c>
      <c r="S1083" s="13" t="str">
        <f t="shared" si="148"/>
        <v/>
      </c>
      <c r="T1083" s="22" t="str">
        <f>IF(R1083&lt;&gt;"",VLOOKUP(P1083,Constants!$D$3:$E$10,2),"")</f>
        <v/>
      </c>
    </row>
    <row r="1084" spans="12:20" x14ac:dyDescent="0.25">
      <c r="L1084" s="10" t="str">
        <f t="shared" si="145"/>
        <v/>
      </c>
      <c r="M1084" s="10" t="str">
        <f t="shared" si="146"/>
        <v/>
      </c>
      <c r="N1084" s="11" t="str">
        <f t="shared" si="149"/>
        <v/>
      </c>
      <c r="O1084" s="10" t="str">
        <f t="shared" si="150"/>
        <v/>
      </c>
      <c r="P1084" s="39" t="str">
        <f t="shared" si="151"/>
        <v/>
      </c>
      <c r="Q1084" s="13" t="str">
        <f t="shared" si="147"/>
        <v/>
      </c>
      <c r="R1084" s="13" t="str">
        <f t="shared" si="152"/>
        <v/>
      </c>
      <c r="S1084" s="13" t="str">
        <f t="shared" si="148"/>
        <v/>
      </c>
      <c r="T1084" s="22" t="str">
        <f>IF(R1084&lt;&gt;"",VLOOKUP(P1084,Constants!$D$3:$E$10,2),"")</f>
        <v/>
      </c>
    </row>
    <row r="1085" spans="12:20" x14ac:dyDescent="0.25">
      <c r="L1085" s="10" t="str">
        <f t="shared" si="145"/>
        <v/>
      </c>
      <c r="M1085" s="10" t="str">
        <f t="shared" si="146"/>
        <v/>
      </c>
      <c r="N1085" s="11" t="str">
        <f t="shared" si="149"/>
        <v/>
      </c>
      <c r="O1085" s="10" t="str">
        <f t="shared" si="150"/>
        <v/>
      </c>
      <c r="P1085" s="39" t="str">
        <f t="shared" si="151"/>
        <v/>
      </c>
      <c r="Q1085" s="13" t="str">
        <f t="shared" si="147"/>
        <v/>
      </c>
      <c r="R1085" s="13" t="str">
        <f t="shared" si="152"/>
        <v/>
      </c>
      <c r="S1085" s="13" t="str">
        <f t="shared" si="148"/>
        <v/>
      </c>
      <c r="T1085" s="22" t="str">
        <f>IF(R1085&lt;&gt;"",VLOOKUP(P1085,Constants!$D$3:$E$10,2),"")</f>
        <v/>
      </c>
    </row>
    <row r="1086" spans="12:20" x14ac:dyDescent="0.25">
      <c r="L1086" s="10" t="str">
        <f t="shared" si="145"/>
        <v/>
      </c>
      <c r="M1086" s="10" t="str">
        <f t="shared" si="146"/>
        <v/>
      </c>
      <c r="N1086" s="11" t="str">
        <f t="shared" si="149"/>
        <v/>
      </c>
      <c r="O1086" s="10" t="str">
        <f t="shared" si="150"/>
        <v/>
      </c>
      <c r="P1086" s="39" t="str">
        <f t="shared" si="151"/>
        <v/>
      </c>
      <c r="Q1086" s="13" t="str">
        <f t="shared" si="147"/>
        <v/>
      </c>
      <c r="R1086" s="13" t="str">
        <f t="shared" si="152"/>
        <v/>
      </c>
      <c r="S1086" s="13" t="str">
        <f t="shared" si="148"/>
        <v/>
      </c>
      <c r="T1086" s="22" t="str">
        <f>IF(R1086&lt;&gt;"",VLOOKUP(P1086,Constants!$D$3:$E$10,2),"")</f>
        <v/>
      </c>
    </row>
    <row r="1087" spans="12:20" x14ac:dyDescent="0.25">
      <c r="L1087" s="10" t="str">
        <f t="shared" si="145"/>
        <v/>
      </c>
      <c r="M1087" s="10" t="str">
        <f t="shared" si="146"/>
        <v/>
      </c>
      <c r="N1087" s="11" t="str">
        <f t="shared" si="149"/>
        <v/>
      </c>
      <c r="O1087" s="10" t="str">
        <f t="shared" si="150"/>
        <v/>
      </c>
      <c r="P1087" s="39" t="str">
        <f t="shared" si="151"/>
        <v/>
      </c>
      <c r="Q1087" s="13" t="str">
        <f t="shared" si="147"/>
        <v/>
      </c>
      <c r="R1087" s="13" t="str">
        <f t="shared" si="152"/>
        <v/>
      </c>
      <c r="S1087" s="13" t="str">
        <f t="shared" si="148"/>
        <v/>
      </c>
      <c r="T1087" s="22" t="str">
        <f>IF(R1087&lt;&gt;"",VLOOKUP(P1087,Constants!$D$3:$E$10,2),"")</f>
        <v/>
      </c>
    </row>
    <row r="1088" spans="12:20" x14ac:dyDescent="0.25">
      <c r="L1088" s="10" t="str">
        <f t="shared" si="145"/>
        <v/>
      </c>
      <c r="M1088" s="10" t="str">
        <f t="shared" si="146"/>
        <v/>
      </c>
      <c r="N1088" s="11" t="str">
        <f t="shared" si="149"/>
        <v/>
      </c>
      <c r="O1088" s="10" t="str">
        <f t="shared" si="150"/>
        <v/>
      </c>
      <c r="P1088" s="39" t="str">
        <f t="shared" si="151"/>
        <v/>
      </c>
      <c r="Q1088" s="13" t="str">
        <f t="shared" si="147"/>
        <v/>
      </c>
      <c r="R1088" s="13" t="str">
        <f t="shared" si="152"/>
        <v/>
      </c>
      <c r="S1088" s="13" t="str">
        <f t="shared" si="148"/>
        <v/>
      </c>
      <c r="T1088" s="22" t="str">
        <f>IF(R1088&lt;&gt;"",VLOOKUP(P1088,Constants!$D$3:$E$10,2),"")</f>
        <v/>
      </c>
    </row>
    <row r="1089" spans="12:20" x14ac:dyDescent="0.25">
      <c r="L1089" s="10" t="str">
        <f t="shared" si="145"/>
        <v/>
      </c>
      <c r="M1089" s="10" t="str">
        <f t="shared" si="146"/>
        <v/>
      </c>
      <c r="N1089" s="11" t="str">
        <f t="shared" si="149"/>
        <v/>
      </c>
      <c r="O1089" s="10" t="str">
        <f t="shared" si="150"/>
        <v/>
      </c>
      <c r="P1089" s="39" t="str">
        <f t="shared" si="151"/>
        <v/>
      </c>
      <c r="Q1089" s="13" t="str">
        <f t="shared" si="147"/>
        <v/>
      </c>
      <c r="R1089" s="13" t="str">
        <f t="shared" si="152"/>
        <v/>
      </c>
      <c r="S1089" s="13" t="str">
        <f t="shared" si="148"/>
        <v/>
      </c>
      <c r="T1089" s="22" t="str">
        <f>IF(R1089&lt;&gt;"",VLOOKUP(P1089,Constants!$D$3:$E$10,2),"")</f>
        <v/>
      </c>
    </row>
    <row r="1090" spans="12:20" x14ac:dyDescent="0.25">
      <c r="L1090" s="10" t="str">
        <f t="shared" si="145"/>
        <v/>
      </c>
      <c r="M1090" s="10" t="str">
        <f t="shared" si="146"/>
        <v/>
      </c>
      <c r="N1090" s="11" t="str">
        <f t="shared" si="149"/>
        <v/>
      </c>
      <c r="O1090" s="10" t="str">
        <f t="shared" si="150"/>
        <v/>
      </c>
      <c r="P1090" s="39" t="str">
        <f t="shared" si="151"/>
        <v/>
      </c>
      <c r="Q1090" s="13" t="str">
        <f t="shared" si="147"/>
        <v/>
      </c>
      <c r="R1090" s="13" t="str">
        <f t="shared" si="152"/>
        <v/>
      </c>
      <c r="S1090" s="13" t="str">
        <f t="shared" si="148"/>
        <v/>
      </c>
      <c r="T1090" s="22" t="str">
        <f>IF(R1090&lt;&gt;"",VLOOKUP(P1090,Constants!$D$3:$E$10,2),"")</f>
        <v/>
      </c>
    </row>
    <row r="1091" spans="12:20" x14ac:dyDescent="0.25">
      <c r="L1091" s="10" t="str">
        <f t="shared" si="145"/>
        <v/>
      </c>
      <c r="M1091" s="10" t="str">
        <f t="shared" si="146"/>
        <v/>
      </c>
      <c r="N1091" s="11" t="str">
        <f t="shared" si="149"/>
        <v/>
      </c>
      <c r="O1091" s="10" t="str">
        <f t="shared" si="150"/>
        <v/>
      </c>
      <c r="P1091" s="39" t="str">
        <f t="shared" si="151"/>
        <v/>
      </c>
      <c r="Q1091" s="13" t="str">
        <f t="shared" si="147"/>
        <v/>
      </c>
      <c r="R1091" s="13" t="str">
        <f t="shared" si="152"/>
        <v/>
      </c>
      <c r="S1091" s="13" t="str">
        <f t="shared" si="148"/>
        <v/>
      </c>
      <c r="T1091" s="22" t="str">
        <f>IF(R1091&lt;&gt;"",VLOOKUP(P1091,Constants!$D$3:$E$10,2),"")</f>
        <v/>
      </c>
    </row>
    <row r="1092" spans="12:20" x14ac:dyDescent="0.25">
      <c r="L1092" s="10" t="str">
        <f t="shared" si="145"/>
        <v/>
      </c>
      <c r="M1092" s="10" t="str">
        <f t="shared" si="146"/>
        <v/>
      </c>
      <c r="N1092" s="11" t="str">
        <f t="shared" si="149"/>
        <v/>
      </c>
      <c r="O1092" s="10" t="str">
        <f t="shared" si="150"/>
        <v/>
      </c>
      <c r="P1092" s="39" t="str">
        <f t="shared" si="151"/>
        <v/>
      </c>
      <c r="Q1092" s="13" t="str">
        <f t="shared" si="147"/>
        <v/>
      </c>
      <c r="R1092" s="13" t="str">
        <f t="shared" si="152"/>
        <v/>
      </c>
      <c r="S1092" s="13" t="str">
        <f t="shared" si="148"/>
        <v/>
      </c>
      <c r="T1092" s="22" t="str">
        <f>IF(R1092&lt;&gt;"",VLOOKUP(P1092,Constants!$D$3:$E$10,2),"")</f>
        <v/>
      </c>
    </row>
    <row r="1093" spans="12:20" x14ac:dyDescent="0.25">
      <c r="L1093" s="10" t="str">
        <f t="shared" si="145"/>
        <v/>
      </c>
      <c r="M1093" s="10" t="str">
        <f t="shared" si="146"/>
        <v/>
      </c>
      <c r="N1093" s="11" t="str">
        <f t="shared" si="149"/>
        <v/>
      </c>
      <c r="O1093" s="10" t="str">
        <f t="shared" si="150"/>
        <v/>
      </c>
      <c r="P1093" s="39" t="str">
        <f t="shared" si="151"/>
        <v/>
      </c>
      <c r="Q1093" s="13" t="str">
        <f t="shared" si="147"/>
        <v/>
      </c>
      <c r="R1093" s="13" t="str">
        <f t="shared" si="152"/>
        <v/>
      </c>
      <c r="S1093" s="13" t="str">
        <f t="shared" si="148"/>
        <v/>
      </c>
      <c r="T1093" s="22" t="str">
        <f>IF(R1093&lt;&gt;"",VLOOKUP(P1093,Constants!$D$3:$E$10,2),"")</f>
        <v/>
      </c>
    </row>
    <row r="1094" spans="12:20" x14ac:dyDescent="0.25">
      <c r="L1094" s="10" t="str">
        <f t="shared" si="145"/>
        <v/>
      </c>
      <c r="M1094" s="10" t="str">
        <f t="shared" si="146"/>
        <v/>
      </c>
      <c r="N1094" s="11" t="str">
        <f t="shared" si="149"/>
        <v/>
      </c>
      <c r="O1094" s="10" t="str">
        <f t="shared" si="150"/>
        <v/>
      </c>
      <c r="P1094" s="39" t="str">
        <f t="shared" si="151"/>
        <v/>
      </c>
      <c r="Q1094" s="13" t="str">
        <f t="shared" si="147"/>
        <v/>
      </c>
      <c r="R1094" s="13" t="str">
        <f t="shared" si="152"/>
        <v/>
      </c>
      <c r="S1094" s="13" t="str">
        <f t="shared" si="148"/>
        <v/>
      </c>
      <c r="T1094" s="22" t="str">
        <f>IF(R1094&lt;&gt;"",VLOOKUP(P1094,Constants!$D$3:$E$10,2),"")</f>
        <v/>
      </c>
    </row>
    <row r="1095" spans="12:20" x14ac:dyDescent="0.25">
      <c r="L1095" s="10" t="str">
        <f t="shared" si="145"/>
        <v/>
      </c>
      <c r="M1095" s="10" t="str">
        <f t="shared" si="146"/>
        <v/>
      </c>
      <c r="N1095" s="11" t="str">
        <f t="shared" si="149"/>
        <v/>
      </c>
      <c r="O1095" s="10" t="str">
        <f t="shared" si="150"/>
        <v/>
      </c>
      <c r="P1095" s="39" t="str">
        <f t="shared" si="151"/>
        <v/>
      </c>
      <c r="Q1095" s="13" t="str">
        <f t="shared" si="147"/>
        <v/>
      </c>
      <c r="R1095" s="13" t="str">
        <f t="shared" si="152"/>
        <v/>
      </c>
      <c r="S1095" s="13" t="str">
        <f t="shared" si="148"/>
        <v/>
      </c>
      <c r="T1095" s="22" t="str">
        <f>IF(R1095&lt;&gt;"",VLOOKUP(P1095,Constants!$D$3:$E$10,2),"")</f>
        <v/>
      </c>
    </row>
    <row r="1096" spans="12:20" x14ac:dyDescent="0.25">
      <c r="L1096" s="10" t="str">
        <f t="shared" ref="L1096:L1159" si="153">IF($D1096&lt;&gt;"",$D1096*$E1096/1000,"")</f>
        <v/>
      </c>
      <c r="M1096" s="10" t="str">
        <f t="shared" ref="M1096:M1159" si="154">IF($D1096&lt;&gt;"",$D1096*$F1096/1000,"")</f>
        <v/>
      </c>
      <c r="N1096" s="11" t="str">
        <f t="shared" si="149"/>
        <v/>
      </c>
      <c r="O1096" s="10" t="str">
        <f t="shared" si="150"/>
        <v/>
      </c>
      <c r="P1096" s="39" t="str">
        <f t="shared" si="151"/>
        <v/>
      </c>
      <c r="Q1096" s="13" t="str">
        <f t="shared" ref="Q1096:Q1159" si="155">IF(F1096&lt;&gt;"",F1096*E1096/1000,"")</f>
        <v/>
      </c>
      <c r="R1096" s="13" t="str">
        <f t="shared" si="152"/>
        <v/>
      </c>
      <c r="S1096" s="13" t="str">
        <f t="shared" ref="S1096:S1159" si="156">IF(R1096&lt;&gt;"",Q1096/R1096*1000,"")</f>
        <v/>
      </c>
      <c r="T1096" s="22" t="str">
        <f>IF(R1096&lt;&gt;"",VLOOKUP(P1096,Constants!$D$3:$E$10,2),"")</f>
        <v/>
      </c>
    </row>
    <row r="1097" spans="12:20" x14ac:dyDescent="0.25">
      <c r="L1097" s="10" t="str">
        <f t="shared" si="153"/>
        <v/>
      </c>
      <c r="M1097" s="10" t="str">
        <f t="shared" si="154"/>
        <v/>
      </c>
      <c r="N1097" s="11" t="str">
        <f t="shared" si="149"/>
        <v/>
      </c>
      <c r="O1097" s="10" t="str">
        <f t="shared" si="150"/>
        <v/>
      </c>
      <c r="P1097" s="39" t="str">
        <f t="shared" si="151"/>
        <v/>
      </c>
      <c r="Q1097" s="13" t="str">
        <f t="shared" si="155"/>
        <v/>
      </c>
      <c r="R1097" s="13" t="str">
        <f t="shared" si="152"/>
        <v/>
      </c>
      <c r="S1097" s="13" t="str">
        <f t="shared" si="156"/>
        <v/>
      </c>
      <c r="T1097" s="22" t="str">
        <f>IF(R1097&lt;&gt;"",VLOOKUP(P1097,Constants!$D$3:$E$10,2),"")</f>
        <v/>
      </c>
    </row>
    <row r="1098" spans="12:20" x14ac:dyDescent="0.25">
      <c r="L1098" s="10" t="str">
        <f t="shared" si="153"/>
        <v/>
      </c>
      <c r="M1098" s="10" t="str">
        <f t="shared" si="154"/>
        <v/>
      </c>
      <c r="N1098" s="11" t="str">
        <f t="shared" si="149"/>
        <v/>
      </c>
      <c r="O1098" s="10" t="str">
        <f t="shared" si="150"/>
        <v/>
      </c>
      <c r="P1098" s="39" t="str">
        <f t="shared" si="151"/>
        <v/>
      </c>
      <c r="Q1098" s="13" t="str">
        <f t="shared" si="155"/>
        <v/>
      </c>
      <c r="R1098" s="13" t="str">
        <f t="shared" si="152"/>
        <v/>
      </c>
      <c r="S1098" s="13" t="str">
        <f t="shared" si="156"/>
        <v/>
      </c>
      <c r="T1098" s="22" t="str">
        <f>IF(R1098&lt;&gt;"",VLOOKUP(P1098,Constants!$D$3:$E$10,2),"")</f>
        <v/>
      </c>
    </row>
    <row r="1099" spans="12:20" x14ac:dyDescent="0.25">
      <c r="L1099" s="10" t="str">
        <f t="shared" si="153"/>
        <v/>
      </c>
      <c r="M1099" s="10" t="str">
        <f t="shared" si="154"/>
        <v/>
      </c>
      <c r="N1099" s="11" t="str">
        <f t="shared" si="149"/>
        <v/>
      </c>
      <c r="O1099" s="10" t="str">
        <f t="shared" si="150"/>
        <v/>
      </c>
      <c r="P1099" s="39" t="str">
        <f t="shared" si="151"/>
        <v/>
      </c>
      <c r="Q1099" s="13" t="str">
        <f t="shared" si="155"/>
        <v/>
      </c>
      <c r="R1099" s="13" t="str">
        <f t="shared" si="152"/>
        <v/>
      </c>
      <c r="S1099" s="13" t="str">
        <f t="shared" si="156"/>
        <v/>
      </c>
      <c r="T1099" s="22" t="str">
        <f>IF(R1099&lt;&gt;"",VLOOKUP(P1099,Constants!$D$3:$E$10,2),"")</f>
        <v/>
      </c>
    </row>
    <row r="1100" spans="12:20" x14ac:dyDescent="0.25">
      <c r="L1100" s="10" t="str">
        <f t="shared" si="153"/>
        <v/>
      </c>
      <c r="M1100" s="10" t="str">
        <f t="shared" si="154"/>
        <v/>
      </c>
      <c r="N1100" s="11" t="str">
        <f t="shared" si="149"/>
        <v/>
      </c>
      <c r="O1100" s="10" t="str">
        <f t="shared" si="150"/>
        <v/>
      </c>
      <c r="P1100" s="39" t="str">
        <f t="shared" si="151"/>
        <v/>
      </c>
      <c r="Q1100" s="13" t="str">
        <f t="shared" si="155"/>
        <v/>
      </c>
      <c r="R1100" s="13" t="str">
        <f t="shared" si="152"/>
        <v/>
      </c>
      <c r="S1100" s="13" t="str">
        <f t="shared" si="156"/>
        <v/>
      </c>
      <c r="T1100" s="22" t="str">
        <f>IF(R1100&lt;&gt;"",VLOOKUP(P1100,Constants!$D$3:$E$10,2),"")</f>
        <v/>
      </c>
    </row>
    <row r="1101" spans="12:20" x14ac:dyDescent="0.25">
      <c r="L1101" s="10" t="str">
        <f t="shared" si="153"/>
        <v/>
      </c>
      <c r="M1101" s="10" t="str">
        <f t="shared" si="154"/>
        <v/>
      </c>
      <c r="N1101" s="11" t="str">
        <f t="shared" si="149"/>
        <v/>
      </c>
      <c r="O1101" s="10" t="str">
        <f t="shared" si="150"/>
        <v/>
      </c>
      <c r="P1101" s="39" t="str">
        <f t="shared" si="151"/>
        <v/>
      </c>
      <c r="Q1101" s="13" t="str">
        <f t="shared" si="155"/>
        <v/>
      </c>
      <c r="R1101" s="13" t="str">
        <f t="shared" si="152"/>
        <v/>
      </c>
      <c r="S1101" s="13" t="str">
        <f t="shared" si="156"/>
        <v/>
      </c>
      <c r="T1101" s="22" t="str">
        <f>IF(R1101&lt;&gt;"",VLOOKUP(P1101,Constants!$D$3:$E$10,2),"")</f>
        <v/>
      </c>
    </row>
    <row r="1102" spans="12:20" x14ac:dyDescent="0.25">
      <c r="L1102" s="10" t="str">
        <f t="shared" si="153"/>
        <v/>
      </c>
      <c r="M1102" s="10" t="str">
        <f t="shared" si="154"/>
        <v/>
      </c>
      <c r="N1102" s="11" t="str">
        <f t="shared" si="149"/>
        <v/>
      </c>
      <c r="O1102" s="10" t="str">
        <f t="shared" si="150"/>
        <v/>
      </c>
      <c r="P1102" s="39" t="str">
        <f t="shared" si="151"/>
        <v/>
      </c>
      <c r="Q1102" s="13" t="str">
        <f t="shared" si="155"/>
        <v/>
      </c>
      <c r="R1102" s="13" t="str">
        <f t="shared" si="152"/>
        <v/>
      </c>
      <c r="S1102" s="13" t="str">
        <f t="shared" si="156"/>
        <v/>
      </c>
      <c r="T1102" s="22" t="str">
        <f>IF(R1102&lt;&gt;"",VLOOKUP(P1102,Constants!$D$3:$E$10,2),"")</f>
        <v/>
      </c>
    </row>
    <row r="1103" spans="12:20" x14ac:dyDescent="0.25">
      <c r="L1103" s="10" t="str">
        <f t="shared" si="153"/>
        <v/>
      </c>
      <c r="M1103" s="10" t="str">
        <f t="shared" si="154"/>
        <v/>
      </c>
      <c r="N1103" s="11" t="str">
        <f t="shared" si="149"/>
        <v/>
      </c>
      <c r="O1103" s="10" t="str">
        <f t="shared" si="150"/>
        <v/>
      </c>
      <c r="P1103" s="39" t="str">
        <f t="shared" si="151"/>
        <v/>
      </c>
      <c r="Q1103" s="13" t="str">
        <f t="shared" si="155"/>
        <v/>
      </c>
      <c r="R1103" s="13" t="str">
        <f t="shared" si="152"/>
        <v/>
      </c>
      <c r="S1103" s="13" t="str">
        <f t="shared" si="156"/>
        <v/>
      </c>
      <c r="T1103" s="22" t="str">
        <f>IF(R1103&lt;&gt;"",VLOOKUP(P1103,Constants!$D$3:$E$10,2),"")</f>
        <v/>
      </c>
    </row>
    <row r="1104" spans="12:20" x14ac:dyDescent="0.25">
      <c r="L1104" s="10" t="str">
        <f t="shared" si="153"/>
        <v/>
      </c>
      <c r="M1104" s="10" t="str">
        <f t="shared" si="154"/>
        <v/>
      </c>
      <c r="N1104" s="11" t="str">
        <f t="shared" ref="N1104:N1167" si="157">IF($L1104&lt;&gt;"",SQRT($L1104*$L1104+$M1104*$M1104),"")</f>
        <v/>
      </c>
      <c r="O1104" s="10" t="str">
        <f t="shared" si="150"/>
        <v/>
      </c>
      <c r="P1104" s="39" t="str">
        <f t="shared" si="151"/>
        <v/>
      </c>
      <c r="Q1104" s="13" t="str">
        <f t="shared" si="155"/>
        <v/>
      </c>
      <c r="R1104" s="13" t="str">
        <f t="shared" si="152"/>
        <v/>
      </c>
      <c r="S1104" s="13" t="str">
        <f t="shared" si="156"/>
        <v/>
      </c>
      <c r="T1104" s="22" t="str">
        <f>IF(R1104&lt;&gt;"",VLOOKUP(P1104,Constants!$D$3:$E$10,2),"")</f>
        <v/>
      </c>
    </row>
    <row r="1105" spans="12:20" x14ac:dyDescent="0.25">
      <c r="L1105" s="10" t="str">
        <f t="shared" si="153"/>
        <v/>
      </c>
      <c r="M1105" s="10" t="str">
        <f t="shared" si="154"/>
        <v/>
      </c>
      <c r="N1105" s="11" t="str">
        <f t="shared" si="157"/>
        <v/>
      </c>
      <c r="O1105" s="10" t="str">
        <f t="shared" si="150"/>
        <v/>
      </c>
      <c r="P1105" s="39" t="str">
        <f t="shared" si="151"/>
        <v/>
      </c>
      <c r="Q1105" s="13" t="str">
        <f t="shared" si="155"/>
        <v/>
      </c>
      <c r="R1105" s="13" t="str">
        <f t="shared" si="152"/>
        <v/>
      </c>
      <c r="S1105" s="13" t="str">
        <f t="shared" si="156"/>
        <v/>
      </c>
      <c r="T1105" s="22" t="str">
        <f>IF(R1105&lt;&gt;"",VLOOKUP(P1105,Constants!$D$3:$E$10,2),"")</f>
        <v/>
      </c>
    </row>
    <row r="1106" spans="12:20" x14ac:dyDescent="0.25">
      <c r="L1106" s="10" t="str">
        <f t="shared" si="153"/>
        <v/>
      </c>
      <c r="M1106" s="10" t="str">
        <f t="shared" si="154"/>
        <v/>
      </c>
      <c r="N1106" s="11" t="str">
        <f t="shared" si="157"/>
        <v/>
      </c>
      <c r="O1106" s="10" t="str">
        <f t="shared" si="150"/>
        <v/>
      </c>
      <c r="P1106" s="39" t="str">
        <f t="shared" si="151"/>
        <v/>
      </c>
      <c r="Q1106" s="13" t="str">
        <f t="shared" si="155"/>
        <v/>
      </c>
      <c r="R1106" s="13" t="str">
        <f t="shared" si="152"/>
        <v/>
      </c>
      <c r="S1106" s="13" t="str">
        <f t="shared" si="156"/>
        <v/>
      </c>
      <c r="T1106" s="22" t="str">
        <f>IF(R1106&lt;&gt;"",VLOOKUP(P1106,Constants!$D$3:$E$10,2),"")</f>
        <v/>
      </c>
    </row>
    <row r="1107" spans="12:20" x14ac:dyDescent="0.25">
      <c r="L1107" s="10" t="str">
        <f t="shared" si="153"/>
        <v/>
      </c>
      <c r="M1107" s="10" t="str">
        <f t="shared" si="154"/>
        <v/>
      </c>
      <c r="N1107" s="11" t="str">
        <f t="shared" si="157"/>
        <v/>
      </c>
      <c r="O1107" s="10" t="str">
        <f t="shared" si="150"/>
        <v/>
      </c>
      <c r="P1107" s="39" t="str">
        <f t="shared" si="151"/>
        <v/>
      </c>
      <c r="Q1107" s="13" t="str">
        <f t="shared" si="155"/>
        <v/>
      </c>
      <c r="R1107" s="13" t="str">
        <f t="shared" si="152"/>
        <v/>
      </c>
      <c r="S1107" s="13" t="str">
        <f t="shared" si="156"/>
        <v/>
      </c>
      <c r="T1107" s="22" t="str">
        <f>IF(R1107&lt;&gt;"",VLOOKUP(P1107,Constants!$D$3:$E$10,2),"")</f>
        <v/>
      </c>
    </row>
    <row r="1108" spans="12:20" x14ac:dyDescent="0.25">
      <c r="L1108" s="10" t="str">
        <f t="shared" si="153"/>
        <v/>
      </c>
      <c r="M1108" s="10" t="str">
        <f t="shared" si="154"/>
        <v/>
      </c>
      <c r="N1108" s="11" t="str">
        <f t="shared" si="157"/>
        <v/>
      </c>
      <c r="O1108" s="10" t="str">
        <f t="shared" si="150"/>
        <v/>
      </c>
      <c r="P1108" s="39" t="str">
        <f t="shared" si="151"/>
        <v/>
      </c>
      <c r="Q1108" s="13" t="str">
        <f t="shared" si="155"/>
        <v/>
      </c>
      <c r="R1108" s="13" t="str">
        <f t="shared" si="152"/>
        <v/>
      </c>
      <c r="S1108" s="13" t="str">
        <f t="shared" si="156"/>
        <v/>
      </c>
      <c r="T1108" s="22" t="str">
        <f>IF(R1108&lt;&gt;"",VLOOKUP(P1108,Constants!$D$3:$E$10,2),"")</f>
        <v/>
      </c>
    </row>
    <row r="1109" spans="12:20" x14ac:dyDescent="0.25">
      <c r="L1109" s="10" t="str">
        <f t="shared" si="153"/>
        <v/>
      </c>
      <c r="M1109" s="10" t="str">
        <f t="shared" si="154"/>
        <v/>
      </c>
      <c r="N1109" s="11" t="str">
        <f t="shared" si="157"/>
        <v/>
      </c>
      <c r="O1109" s="10" t="str">
        <f t="shared" si="150"/>
        <v/>
      </c>
      <c r="P1109" s="39" t="str">
        <f t="shared" si="151"/>
        <v/>
      </c>
      <c r="Q1109" s="13" t="str">
        <f t="shared" si="155"/>
        <v/>
      </c>
      <c r="R1109" s="13" t="str">
        <f t="shared" si="152"/>
        <v/>
      </c>
      <c r="S1109" s="13" t="str">
        <f t="shared" si="156"/>
        <v/>
      </c>
      <c r="T1109" s="22" t="str">
        <f>IF(R1109&lt;&gt;"",VLOOKUP(P1109,Constants!$D$3:$E$10,2),"")</f>
        <v/>
      </c>
    </row>
    <row r="1110" spans="12:20" x14ac:dyDescent="0.25">
      <c r="L1110" s="10" t="str">
        <f t="shared" si="153"/>
        <v/>
      </c>
      <c r="M1110" s="10" t="str">
        <f t="shared" si="154"/>
        <v/>
      </c>
      <c r="N1110" s="11" t="str">
        <f t="shared" si="157"/>
        <v/>
      </c>
      <c r="O1110" s="10" t="str">
        <f t="shared" si="150"/>
        <v/>
      </c>
      <c r="P1110" s="39" t="str">
        <f t="shared" si="151"/>
        <v/>
      </c>
      <c r="Q1110" s="13" t="str">
        <f t="shared" si="155"/>
        <v/>
      </c>
      <c r="R1110" s="13" t="str">
        <f t="shared" si="152"/>
        <v/>
      </c>
      <c r="S1110" s="13" t="str">
        <f t="shared" si="156"/>
        <v/>
      </c>
      <c r="T1110" s="22" t="str">
        <f>IF(R1110&lt;&gt;"",VLOOKUP(P1110,Constants!$D$3:$E$10,2),"")</f>
        <v/>
      </c>
    </row>
    <row r="1111" spans="12:20" x14ac:dyDescent="0.25">
      <c r="L1111" s="10" t="str">
        <f t="shared" si="153"/>
        <v/>
      </c>
      <c r="M1111" s="10" t="str">
        <f t="shared" si="154"/>
        <v/>
      </c>
      <c r="N1111" s="11" t="str">
        <f t="shared" si="157"/>
        <v/>
      </c>
      <c r="O1111" s="10" t="str">
        <f t="shared" ref="O1111:O1174" si="158">IF(D1111&lt;&gt;"",1000/(2*D1111),"")</f>
        <v/>
      </c>
      <c r="P1111" s="39" t="str">
        <f t="shared" ref="P1111:P1174" si="159">IF($N1111&lt;&gt;"",D1111*SQRT(E1111*E1111+F1111*F1111)/16000,"")</f>
        <v/>
      </c>
      <c r="Q1111" s="13" t="str">
        <f t="shared" si="155"/>
        <v/>
      </c>
      <c r="R1111" s="13" t="str">
        <f t="shared" ref="R1111:R1174" si="160">IF(G1111&lt;&gt;"",1000/G1111,"")</f>
        <v/>
      </c>
      <c r="S1111" s="13" t="str">
        <f t="shared" si="156"/>
        <v/>
      </c>
      <c r="T1111" s="22" t="str">
        <f>IF(R1111&lt;&gt;"",VLOOKUP(P1111,Constants!$D$3:$E$10,2),"")</f>
        <v/>
      </c>
    </row>
    <row r="1112" spans="12:20" x14ac:dyDescent="0.25">
      <c r="L1112" s="10" t="str">
        <f t="shared" si="153"/>
        <v/>
      </c>
      <c r="M1112" s="10" t="str">
        <f t="shared" si="154"/>
        <v/>
      </c>
      <c r="N1112" s="11" t="str">
        <f t="shared" si="157"/>
        <v/>
      </c>
      <c r="O1112" s="10" t="str">
        <f t="shared" si="158"/>
        <v/>
      </c>
      <c r="P1112" s="39" t="str">
        <f t="shared" si="159"/>
        <v/>
      </c>
      <c r="Q1112" s="13" t="str">
        <f t="shared" si="155"/>
        <v/>
      </c>
      <c r="R1112" s="13" t="str">
        <f t="shared" si="160"/>
        <v/>
      </c>
      <c r="S1112" s="13" t="str">
        <f t="shared" si="156"/>
        <v/>
      </c>
      <c r="T1112" s="22" t="str">
        <f>IF(R1112&lt;&gt;"",VLOOKUP(P1112,Constants!$D$3:$E$10,2),"")</f>
        <v/>
      </c>
    </row>
    <row r="1113" spans="12:20" x14ac:dyDescent="0.25">
      <c r="L1113" s="10" t="str">
        <f t="shared" si="153"/>
        <v/>
      </c>
      <c r="M1113" s="10" t="str">
        <f t="shared" si="154"/>
        <v/>
      </c>
      <c r="N1113" s="11" t="str">
        <f t="shared" si="157"/>
        <v/>
      </c>
      <c r="O1113" s="10" t="str">
        <f t="shared" si="158"/>
        <v/>
      </c>
      <c r="P1113" s="39" t="str">
        <f t="shared" si="159"/>
        <v/>
      </c>
      <c r="Q1113" s="13" t="str">
        <f t="shared" si="155"/>
        <v/>
      </c>
      <c r="R1113" s="13" t="str">
        <f t="shared" si="160"/>
        <v/>
      </c>
      <c r="S1113" s="13" t="str">
        <f t="shared" si="156"/>
        <v/>
      </c>
      <c r="T1113" s="22" t="str">
        <f>IF(R1113&lt;&gt;"",VLOOKUP(P1113,Constants!$D$3:$E$10,2),"")</f>
        <v/>
      </c>
    </row>
    <row r="1114" spans="12:20" x14ac:dyDescent="0.25">
      <c r="L1114" s="10" t="str">
        <f t="shared" si="153"/>
        <v/>
      </c>
      <c r="M1114" s="10" t="str">
        <f t="shared" si="154"/>
        <v/>
      </c>
      <c r="N1114" s="11" t="str">
        <f t="shared" si="157"/>
        <v/>
      </c>
      <c r="O1114" s="10" t="str">
        <f t="shared" si="158"/>
        <v/>
      </c>
      <c r="P1114" s="39" t="str">
        <f t="shared" si="159"/>
        <v/>
      </c>
      <c r="Q1114" s="13" t="str">
        <f t="shared" si="155"/>
        <v/>
      </c>
      <c r="R1114" s="13" t="str">
        <f t="shared" si="160"/>
        <v/>
      </c>
      <c r="S1114" s="13" t="str">
        <f t="shared" si="156"/>
        <v/>
      </c>
      <c r="T1114" s="22" t="str">
        <f>IF(R1114&lt;&gt;"",VLOOKUP(P1114,Constants!$D$3:$E$10,2),"")</f>
        <v/>
      </c>
    </row>
    <row r="1115" spans="12:20" x14ac:dyDescent="0.25">
      <c r="L1115" s="10" t="str">
        <f t="shared" si="153"/>
        <v/>
      </c>
      <c r="M1115" s="10" t="str">
        <f t="shared" si="154"/>
        <v/>
      </c>
      <c r="N1115" s="11" t="str">
        <f t="shared" si="157"/>
        <v/>
      </c>
      <c r="O1115" s="10" t="str">
        <f t="shared" si="158"/>
        <v/>
      </c>
      <c r="P1115" s="39" t="str">
        <f t="shared" si="159"/>
        <v/>
      </c>
      <c r="Q1115" s="13" t="str">
        <f t="shared" si="155"/>
        <v/>
      </c>
      <c r="R1115" s="13" t="str">
        <f t="shared" si="160"/>
        <v/>
      </c>
      <c r="S1115" s="13" t="str">
        <f t="shared" si="156"/>
        <v/>
      </c>
      <c r="T1115" s="22" t="str">
        <f>IF(R1115&lt;&gt;"",VLOOKUP(P1115,Constants!$D$3:$E$10,2),"")</f>
        <v/>
      </c>
    </row>
    <row r="1116" spans="12:20" x14ac:dyDescent="0.25">
      <c r="L1116" s="10" t="str">
        <f t="shared" si="153"/>
        <v/>
      </c>
      <c r="M1116" s="10" t="str">
        <f t="shared" si="154"/>
        <v/>
      </c>
      <c r="N1116" s="11" t="str">
        <f t="shared" si="157"/>
        <v/>
      </c>
      <c r="O1116" s="10" t="str">
        <f t="shared" si="158"/>
        <v/>
      </c>
      <c r="P1116" s="39" t="str">
        <f t="shared" si="159"/>
        <v/>
      </c>
      <c r="Q1116" s="13" t="str">
        <f t="shared" si="155"/>
        <v/>
      </c>
      <c r="R1116" s="13" t="str">
        <f t="shared" si="160"/>
        <v/>
      </c>
      <c r="S1116" s="13" t="str">
        <f t="shared" si="156"/>
        <v/>
      </c>
      <c r="T1116" s="22" t="str">
        <f>IF(R1116&lt;&gt;"",VLOOKUP(P1116,Constants!$D$3:$E$10,2),"")</f>
        <v/>
      </c>
    </row>
    <row r="1117" spans="12:20" x14ac:dyDescent="0.25">
      <c r="L1117" s="10" t="str">
        <f t="shared" si="153"/>
        <v/>
      </c>
      <c r="M1117" s="10" t="str">
        <f t="shared" si="154"/>
        <v/>
      </c>
      <c r="N1117" s="11" t="str">
        <f t="shared" si="157"/>
        <v/>
      </c>
      <c r="O1117" s="10" t="str">
        <f t="shared" si="158"/>
        <v/>
      </c>
      <c r="P1117" s="39" t="str">
        <f t="shared" si="159"/>
        <v/>
      </c>
      <c r="Q1117" s="13" t="str">
        <f t="shared" si="155"/>
        <v/>
      </c>
      <c r="R1117" s="13" t="str">
        <f t="shared" si="160"/>
        <v/>
      </c>
      <c r="S1117" s="13" t="str">
        <f t="shared" si="156"/>
        <v/>
      </c>
      <c r="T1117" s="22" t="str">
        <f>IF(R1117&lt;&gt;"",VLOOKUP(P1117,Constants!$D$3:$E$10,2),"")</f>
        <v/>
      </c>
    </row>
    <row r="1118" spans="12:20" x14ac:dyDescent="0.25">
      <c r="L1118" s="10" t="str">
        <f t="shared" si="153"/>
        <v/>
      </c>
      <c r="M1118" s="10" t="str">
        <f t="shared" si="154"/>
        <v/>
      </c>
      <c r="N1118" s="11" t="str">
        <f t="shared" si="157"/>
        <v/>
      </c>
      <c r="O1118" s="10" t="str">
        <f t="shared" si="158"/>
        <v/>
      </c>
      <c r="P1118" s="39" t="str">
        <f t="shared" si="159"/>
        <v/>
      </c>
      <c r="Q1118" s="13" t="str">
        <f t="shared" si="155"/>
        <v/>
      </c>
      <c r="R1118" s="13" t="str">
        <f t="shared" si="160"/>
        <v/>
      </c>
      <c r="S1118" s="13" t="str">
        <f t="shared" si="156"/>
        <v/>
      </c>
      <c r="T1118" s="22" t="str">
        <f>IF(R1118&lt;&gt;"",VLOOKUP(P1118,Constants!$D$3:$E$10,2),"")</f>
        <v/>
      </c>
    </row>
    <row r="1119" spans="12:20" x14ac:dyDescent="0.25">
      <c r="L1119" s="10" t="str">
        <f t="shared" si="153"/>
        <v/>
      </c>
      <c r="M1119" s="10" t="str">
        <f t="shared" si="154"/>
        <v/>
      </c>
      <c r="N1119" s="11" t="str">
        <f t="shared" si="157"/>
        <v/>
      </c>
      <c r="O1119" s="10" t="str">
        <f t="shared" si="158"/>
        <v/>
      </c>
      <c r="P1119" s="39" t="str">
        <f t="shared" si="159"/>
        <v/>
      </c>
      <c r="Q1119" s="13" t="str">
        <f t="shared" si="155"/>
        <v/>
      </c>
      <c r="R1119" s="13" t="str">
        <f t="shared" si="160"/>
        <v/>
      </c>
      <c r="S1119" s="13" t="str">
        <f t="shared" si="156"/>
        <v/>
      </c>
      <c r="T1119" s="22" t="str">
        <f>IF(R1119&lt;&gt;"",VLOOKUP(P1119,Constants!$D$3:$E$10,2),"")</f>
        <v/>
      </c>
    </row>
    <row r="1120" spans="12:20" x14ac:dyDescent="0.25">
      <c r="L1120" s="10" t="str">
        <f t="shared" si="153"/>
        <v/>
      </c>
      <c r="M1120" s="10" t="str">
        <f t="shared" si="154"/>
        <v/>
      </c>
      <c r="N1120" s="11" t="str">
        <f t="shared" si="157"/>
        <v/>
      </c>
      <c r="O1120" s="10" t="str">
        <f t="shared" si="158"/>
        <v/>
      </c>
      <c r="P1120" s="39" t="str">
        <f t="shared" si="159"/>
        <v/>
      </c>
      <c r="Q1120" s="13" t="str">
        <f t="shared" si="155"/>
        <v/>
      </c>
      <c r="R1120" s="13" t="str">
        <f t="shared" si="160"/>
        <v/>
      </c>
      <c r="S1120" s="13" t="str">
        <f t="shared" si="156"/>
        <v/>
      </c>
      <c r="T1120" s="22" t="str">
        <f>IF(R1120&lt;&gt;"",VLOOKUP(P1120,Constants!$D$3:$E$10,2),"")</f>
        <v/>
      </c>
    </row>
    <row r="1121" spans="12:20" x14ac:dyDescent="0.25">
      <c r="L1121" s="10" t="str">
        <f t="shared" si="153"/>
        <v/>
      </c>
      <c r="M1121" s="10" t="str">
        <f t="shared" si="154"/>
        <v/>
      </c>
      <c r="N1121" s="11" t="str">
        <f t="shared" si="157"/>
        <v/>
      </c>
      <c r="O1121" s="10" t="str">
        <f t="shared" si="158"/>
        <v/>
      </c>
      <c r="P1121" s="39" t="str">
        <f t="shared" si="159"/>
        <v/>
      </c>
      <c r="Q1121" s="13" t="str">
        <f t="shared" si="155"/>
        <v/>
      </c>
      <c r="R1121" s="13" t="str">
        <f t="shared" si="160"/>
        <v/>
      </c>
      <c r="S1121" s="13" t="str">
        <f t="shared" si="156"/>
        <v/>
      </c>
      <c r="T1121" s="22" t="str">
        <f>IF(R1121&lt;&gt;"",VLOOKUP(P1121,Constants!$D$3:$E$10,2),"")</f>
        <v/>
      </c>
    </row>
    <row r="1122" spans="12:20" x14ac:dyDescent="0.25">
      <c r="L1122" s="10" t="str">
        <f t="shared" si="153"/>
        <v/>
      </c>
      <c r="M1122" s="10" t="str">
        <f t="shared" si="154"/>
        <v/>
      </c>
      <c r="N1122" s="11" t="str">
        <f t="shared" si="157"/>
        <v/>
      </c>
      <c r="O1122" s="10" t="str">
        <f t="shared" si="158"/>
        <v/>
      </c>
      <c r="P1122" s="39" t="str">
        <f t="shared" si="159"/>
        <v/>
      </c>
      <c r="Q1122" s="13" t="str">
        <f t="shared" si="155"/>
        <v/>
      </c>
      <c r="R1122" s="13" t="str">
        <f t="shared" si="160"/>
        <v/>
      </c>
      <c r="S1122" s="13" t="str">
        <f t="shared" si="156"/>
        <v/>
      </c>
      <c r="T1122" s="22" t="str">
        <f>IF(R1122&lt;&gt;"",VLOOKUP(P1122,Constants!$D$3:$E$10,2),"")</f>
        <v/>
      </c>
    </row>
    <row r="1123" spans="12:20" x14ac:dyDescent="0.25">
      <c r="L1123" s="10" t="str">
        <f t="shared" si="153"/>
        <v/>
      </c>
      <c r="M1123" s="10" t="str">
        <f t="shared" si="154"/>
        <v/>
      </c>
      <c r="N1123" s="11" t="str">
        <f t="shared" si="157"/>
        <v/>
      </c>
      <c r="O1123" s="10" t="str">
        <f t="shared" si="158"/>
        <v/>
      </c>
      <c r="P1123" s="39" t="str">
        <f t="shared" si="159"/>
        <v/>
      </c>
      <c r="Q1123" s="13" t="str">
        <f t="shared" si="155"/>
        <v/>
      </c>
      <c r="R1123" s="13" t="str">
        <f t="shared" si="160"/>
        <v/>
      </c>
      <c r="S1123" s="13" t="str">
        <f t="shared" si="156"/>
        <v/>
      </c>
      <c r="T1123" s="22" t="str">
        <f>IF(R1123&lt;&gt;"",VLOOKUP(P1123,Constants!$D$3:$E$10,2),"")</f>
        <v/>
      </c>
    </row>
    <row r="1124" spans="12:20" x14ac:dyDescent="0.25">
      <c r="L1124" s="10" t="str">
        <f t="shared" si="153"/>
        <v/>
      </c>
      <c r="M1124" s="10" t="str">
        <f t="shared" si="154"/>
        <v/>
      </c>
      <c r="N1124" s="11" t="str">
        <f t="shared" si="157"/>
        <v/>
      </c>
      <c r="O1124" s="10" t="str">
        <f t="shared" si="158"/>
        <v/>
      </c>
      <c r="P1124" s="39" t="str">
        <f t="shared" si="159"/>
        <v/>
      </c>
      <c r="Q1124" s="13" t="str">
        <f t="shared" si="155"/>
        <v/>
      </c>
      <c r="R1124" s="13" t="str">
        <f t="shared" si="160"/>
        <v/>
      </c>
      <c r="S1124" s="13" t="str">
        <f t="shared" si="156"/>
        <v/>
      </c>
      <c r="T1124" s="22" t="str">
        <f>IF(R1124&lt;&gt;"",VLOOKUP(P1124,Constants!$D$3:$E$10,2),"")</f>
        <v/>
      </c>
    </row>
    <row r="1125" spans="12:20" x14ac:dyDescent="0.25">
      <c r="L1125" s="10" t="str">
        <f t="shared" si="153"/>
        <v/>
      </c>
      <c r="M1125" s="10" t="str">
        <f t="shared" si="154"/>
        <v/>
      </c>
      <c r="N1125" s="11" t="str">
        <f t="shared" si="157"/>
        <v/>
      </c>
      <c r="O1125" s="10" t="str">
        <f t="shared" si="158"/>
        <v/>
      </c>
      <c r="P1125" s="39" t="str">
        <f t="shared" si="159"/>
        <v/>
      </c>
      <c r="Q1125" s="13" t="str">
        <f t="shared" si="155"/>
        <v/>
      </c>
      <c r="R1125" s="13" t="str">
        <f t="shared" si="160"/>
        <v/>
      </c>
      <c r="S1125" s="13" t="str">
        <f t="shared" si="156"/>
        <v/>
      </c>
      <c r="T1125" s="22" t="str">
        <f>IF(R1125&lt;&gt;"",VLOOKUP(P1125,Constants!$D$3:$E$10,2),"")</f>
        <v/>
      </c>
    </row>
    <row r="1126" spans="12:20" x14ac:dyDescent="0.25">
      <c r="L1126" s="10" t="str">
        <f t="shared" si="153"/>
        <v/>
      </c>
      <c r="M1126" s="10" t="str">
        <f t="shared" si="154"/>
        <v/>
      </c>
      <c r="N1126" s="11" t="str">
        <f t="shared" si="157"/>
        <v/>
      </c>
      <c r="O1126" s="10" t="str">
        <f t="shared" si="158"/>
        <v/>
      </c>
      <c r="P1126" s="39" t="str">
        <f t="shared" si="159"/>
        <v/>
      </c>
      <c r="Q1126" s="13" t="str">
        <f t="shared" si="155"/>
        <v/>
      </c>
      <c r="R1126" s="13" t="str">
        <f t="shared" si="160"/>
        <v/>
      </c>
      <c r="S1126" s="13" t="str">
        <f t="shared" si="156"/>
        <v/>
      </c>
      <c r="T1126" s="22" t="str">
        <f>IF(R1126&lt;&gt;"",VLOOKUP(P1126,Constants!$D$3:$E$10,2),"")</f>
        <v/>
      </c>
    </row>
    <row r="1127" spans="12:20" x14ac:dyDescent="0.25">
      <c r="L1127" s="10" t="str">
        <f t="shared" si="153"/>
        <v/>
      </c>
      <c r="M1127" s="10" t="str">
        <f t="shared" si="154"/>
        <v/>
      </c>
      <c r="N1127" s="11" t="str">
        <f t="shared" si="157"/>
        <v/>
      </c>
      <c r="O1127" s="10" t="str">
        <f t="shared" si="158"/>
        <v/>
      </c>
      <c r="P1127" s="39" t="str">
        <f t="shared" si="159"/>
        <v/>
      </c>
      <c r="Q1127" s="13" t="str">
        <f t="shared" si="155"/>
        <v/>
      </c>
      <c r="R1127" s="13" t="str">
        <f t="shared" si="160"/>
        <v/>
      </c>
      <c r="S1127" s="13" t="str">
        <f t="shared" si="156"/>
        <v/>
      </c>
      <c r="T1127" s="22" t="str">
        <f>IF(R1127&lt;&gt;"",VLOOKUP(P1127,Constants!$D$3:$E$10,2),"")</f>
        <v/>
      </c>
    </row>
    <row r="1128" spans="12:20" x14ac:dyDescent="0.25">
      <c r="L1128" s="10" t="str">
        <f t="shared" si="153"/>
        <v/>
      </c>
      <c r="M1128" s="10" t="str">
        <f t="shared" si="154"/>
        <v/>
      </c>
      <c r="N1128" s="11" t="str">
        <f t="shared" si="157"/>
        <v/>
      </c>
      <c r="O1128" s="10" t="str">
        <f t="shared" si="158"/>
        <v/>
      </c>
      <c r="P1128" s="39" t="str">
        <f t="shared" si="159"/>
        <v/>
      </c>
      <c r="Q1128" s="13" t="str">
        <f t="shared" si="155"/>
        <v/>
      </c>
      <c r="R1128" s="13" t="str">
        <f t="shared" si="160"/>
        <v/>
      </c>
      <c r="S1128" s="13" t="str">
        <f t="shared" si="156"/>
        <v/>
      </c>
      <c r="T1128" s="22" t="str">
        <f>IF(R1128&lt;&gt;"",VLOOKUP(P1128,Constants!$D$3:$E$10,2),"")</f>
        <v/>
      </c>
    </row>
    <row r="1129" spans="12:20" x14ac:dyDescent="0.25">
      <c r="L1129" s="10" t="str">
        <f t="shared" si="153"/>
        <v/>
      </c>
      <c r="M1129" s="10" t="str">
        <f t="shared" si="154"/>
        <v/>
      </c>
      <c r="N1129" s="11" t="str">
        <f t="shared" si="157"/>
        <v/>
      </c>
      <c r="O1129" s="10" t="str">
        <f t="shared" si="158"/>
        <v/>
      </c>
      <c r="P1129" s="39" t="str">
        <f t="shared" si="159"/>
        <v/>
      </c>
      <c r="Q1129" s="13" t="str">
        <f t="shared" si="155"/>
        <v/>
      </c>
      <c r="R1129" s="13" t="str">
        <f t="shared" si="160"/>
        <v/>
      </c>
      <c r="S1129" s="13" t="str">
        <f t="shared" si="156"/>
        <v/>
      </c>
      <c r="T1129" s="22" t="str">
        <f>IF(R1129&lt;&gt;"",VLOOKUP(P1129,Constants!$D$3:$E$10,2),"")</f>
        <v/>
      </c>
    </row>
    <row r="1130" spans="12:20" x14ac:dyDescent="0.25">
      <c r="L1130" s="10" t="str">
        <f t="shared" si="153"/>
        <v/>
      </c>
      <c r="M1130" s="10" t="str">
        <f t="shared" si="154"/>
        <v/>
      </c>
      <c r="N1130" s="11" t="str">
        <f t="shared" si="157"/>
        <v/>
      </c>
      <c r="O1130" s="10" t="str">
        <f t="shared" si="158"/>
        <v/>
      </c>
      <c r="P1130" s="39" t="str">
        <f t="shared" si="159"/>
        <v/>
      </c>
      <c r="Q1130" s="13" t="str">
        <f t="shared" si="155"/>
        <v/>
      </c>
      <c r="R1130" s="13" t="str">
        <f t="shared" si="160"/>
        <v/>
      </c>
      <c r="S1130" s="13" t="str">
        <f t="shared" si="156"/>
        <v/>
      </c>
      <c r="T1130" s="22" t="str">
        <f>IF(R1130&lt;&gt;"",VLOOKUP(P1130,Constants!$D$3:$E$10,2),"")</f>
        <v/>
      </c>
    </row>
    <row r="1131" spans="12:20" x14ac:dyDescent="0.25">
      <c r="L1131" s="10" t="str">
        <f t="shared" si="153"/>
        <v/>
      </c>
      <c r="M1131" s="10" t="str">
        <f t="shared" si="154"/>
        <v/>
      </c>
      <c r="N1131" s="11" t="str">
        <f t="shared" si="157"/>
        <v/>
      </c>
      <c r="O1131" s="10" t="str">
        <f t="shared" si="158"/>
        <v/>
      </c>
      <c r="P1131" s="39" t="str">
        <f t="shared" si="159"/>
        <v/>
      </c>
      <c r="Q1131" s="13" t="str">
        <f t="shared" si="155"/>
        <v/>
      </c>
      <c r="R1131" s="13" t="str">
        <f t="shared" si="160"/>
        <v/>
      </c>
      <c r="S1131" s="13" t="str">
        <f t="shared" si="156"/>
        <v/>
      </c>
      <c r="T1131" s="22" t="str">
        <f>IF(R1131&lt;&gt;"",VLOOKUP(P1131,Constants!$D$3:$E$10,2),"")</f>
        <v/>
      </c>
    </row>
    <row r="1132" spans="12:20" x14ac:dyDescent="0.25">
      <c r="L1132" s="10" t="str">
        <f t="shared" si="153"/>
        <v/>
      </c>
      <c r="M1132" s="10" t="str">
        <f t="shared" si="154"/>
        <v/>
      </c>
      <c r="N1132" s="11" t="str">
        <f t="shared" si="157"/>
        <v/>
      </c>
      <c r="O1132" s="10" t="str">
        <f t="shared" si="158"/>
        <v/>
      </c>
      <c r="P1132" s="39" t="str">
        <f t="shared" si="159"/>
        <v/>
      </c>
      <c r="Q1132" s="13" t="str">
        <f t="shared" si="155"/>
        <v/>
      </c>
      <c r="R1132" s="13" t="str">
        <f t="shared" si="160"/>
        <v/>
      </c>
      <c r="S1132" s="13" t="str">
        <f t="shared" si="156"/>
        <v/>
      </c>
      <c r="T1132" s="22" t="str">
        <f>IF(R1132&lt;&gt;"",VLOOKUP(P1132,Constants!$D$3:$E$10,2),"")</f>
        <v/>
      </c>
    </row>
    <row r="1133" spans="12:20" x14ac:dyDescent="0.25">
      <c r="L1133" s="10" t="str">
        <f t="shared" si="153"/>
        <v/>
      </c>
      <c r="M1133" s="10" t="str">
        <f t="shared" si="154"/>
        <v/>
      </c>
      <c r="N1133" s="11" t="str">
        <f t="shared" si="157"/>
        <v/>
      </c>
      <c r="O1133" s="10" t="str">
        <f t="shared" si="158"/>
        <v/>
      </c>
      <c r="P1133" s="39" t="str">
        <f t="shared" si="159"/>
        <v/>
      </c>
      <c r="Q1133" s="13" t="str">
        <f t="shared" si="155"/>
        <v/>
      </c>
      <c r="R1133" s="13" t="str">
        <f t="shared" si="160"/>
        <v/>
      </c>
      <c r="S1133" s="13" t="str">
        <f t="shared" si="156"/>
        <v/>
      </c>
      <c r="T1133" s="22" t="str">
        <f>IF(R1133&lt;&gt;"",VLOOKUP(P1133,Constants!$D$3:$E$10,2),"")</f>
        <v/>
      </c>
    </row>
    <row r="1134" spans="12:20" x14ac:dyDescent="0.25">
      <c r="L1134" s="10" t="str">
        <f t="shared" si="153"/>
        <v/>
      </c>
      <c r="M1134" s="10" t="str">
        <f t="shared" si="154"/>
        <v/>
      </c>
      <c r="N1134" s="11" t="str">
        <f t="shared" si="157"/>
        <v/>
      </c>
      <c r="O1134" s="10" t="str">
        <f t="shared" si="158"/>
        <v/>
      </c>
      <c r="P1134" s="39" t="str">
        <f t="shared" si="159"/>
        <v/>
      </c>
      <c r="Q1134" s="13" t="str">
        <f t="shared" si="155"/>
        <v/>
      </c>
      <c r="R1134" s="13" t="str">
        <f t="shared" si="160"/>
        <v/>
      </c>
      <c r="S1134" s="13" t="str">
        <f t="shared" si="156"/>
        <v/>
      </c>
      <c r="T1134" s="22" t="str">
        <f>IF(R1134&lt;&gt;"",VLOOKUP(P1134,Constants!$D$3:$E$10,2),"")</f>
        <v/>
      </c>
    </row>
    <row r="1135" spans="12:20" x14ac:dyDescent="0.25">
      <c r="L1135" s="10" t="str">
        <f t="shared" si="153"/>
        <v/>
      </c>
      <c r="M1135" s="10" t="str">
        <f t="shared" si="154"/>
        <v/>
      </c>
      <c r="N1135" s="11" t="str">
        <f t="shared" si="157"/>
        <v/>
      </c>
      <c r="O1135" s="10" t="str">
        <f t="shared" si="158"/>
        <v/>
      </c>
      <c r="P1135" s="39" t="str">
        <f t="shared" si="159"/>
        <v/>
      </c>
      <c r="Q1135" s="13" t="str">
        <f t="shared" si="155"/>
        <v/>
      </c>
      <c r="R1135" s="13" t="str">
        <f t="shared" si="160"/>
        <v/>
      </c>
      <c r="S1135" s="13" t="str">
        <f t="shared" si="156"/>
        <v/>
      </c>
      <c r="T1135" s="22" t="str">
        <f>IF(R1135&lt;&gt;"",VLOOKUP(P1135,Constants!$D$3:$E$10,2),"")</f>
        <v/>
      </c>
    </row>
    <row r="1136" spans="12:20" x14ac:dyDescent="0.25">
      <c r="L1136" s="10" t="str">
        <f t="shared" si="153"/>
        <v/>
      </c>
      <c r="M1136" s="10" t="str">
        <f t="shared" si="154"/>
        <v/>
      </c>
      <c r="N1136" s="11" t="str">
        <f t="shared" si="157"/>
        <v/>
      </c>
      <c r="O1136" s="10" t="str">
        <f t="shared" si="158"/>
        <v/>
      </c>
      <c r="P1136" s="39" t="str">
        <f t="shared" si="159"/>
        <v/>
      </c>
      <c r="Q1136" s="13" t="str">
        <f t="shared" si="155"/>
        <v/>
      </c>
      <c r="R1136" s="13" t="str">
        <f t="shared" si="160"/>
        <v/>
      </c>
      <c r="S1136" s="13" t="str">
        <f t="shared" si="156"/>
        <v/>
      </c>
      <c r="T1136" s="22" t="str">
        <f>IF(R1136&lt;&gt;"",VLOOKUP(P1136,Constants!$D$3:$E$10,2),"")</f>
        <v/>
      </c>
    </row>
    <row r="1137" spans="12:20" x14ac:dyDescent="0.25">
      <c r="L1137" s="10" t="str">
        <f t="shared" si="153"/>
        <v/>
      </c>
      <c r="M1137" s="10" t="str">
        <f t="shared" si="154"/>
        <v/>
      </c>
      <c r="N1137" s="11" t="str">
        <f t="shared" si="157"/>
        <v/>
      </c>
      <c r="O1137" s="10" t="str">
        <f t="shared" si="158"/>
        <v/>
      </c>
      <c r="P1137" s="39" t="str">
        <f t="shared" si="159"/>
        <v/>
      </c>
      <c r="Q1137" s="13" t="str">
        <f t="shared" si="155"/>
        <v/>
      </c>
      <c r="R1137" s="13" t="str">
        <f t="shared" si="160"/>
        <v/>
      </c>
      <c r="S1137" s="13" t="str">
        <f t="shared" si="156"/>
        <v/>
      </c>
      <c r="T1137" s="22" t="str">
        <f>IF(R1137&lt;&gt;"",VLOOKUP(P1137,Constants!$D$3:$E$10,2),"")</f>
        <v/>
      </c>
    </row>
    <row r="1138" spans="12:20" x14ac:dyDescent="0.25">
      <c r="L1138" s="10" t="str">
        <f t="shared" si="153"/>
        <v/>
      </c>
      <c r="M1138" s="10" t="str">
        <f t="shared" si="154"/>
        <v/>
      </c>
      <c r="N1138" s="11" t="str">
        <f t="shared" si="157"/>
        <v/>
      </c>
      <c r="O1138" s="10" t="str">
        <f t="shared" si="158"/>
        <v/>
      </c>
      <c r="P1138" s="39" t="str">
        <f t="shared" si="159"/>
        <v/>
      </c>
      <c r="Q1138" s="13" t="str">
        <f t="shared" si="155"/>
        <v/>
      </c>
      <c r="R1138" s="13" t="str">
        <f t="shared" si="160"/>
        <v/>
      </c>
      <c r="S1138" s="13" t="str">
        <f t="shared" si="156"/>
        <v/>
      </c>
      <c r="T1138" s="22" t="str">
        <f>IF(R1138&lt;&gt;"",VLOOKUP(P1138,Constants!$D$3:$E$10,2),"")</f>
        <v/>
      </c>
    </row>
    <row r="1139" spans="12:20" x14ac:dyDescent="0.25">
      <c r="L1139" s="10" t="str">
        <f t="shared" si="153"/>
        <v/>
      </c>
      <c r="M1139" s="10" t="str">
        <f t="shared" si="154"/>
        <v/>
      </c>
      <c r="N1139" s="11" t="str">
        <f t="shared" si="157"/>
        <v/>
      </c>
      <c r="O1139" s="10" t="str">
        <f t="shared" si="158"/>
        <v/>
      </c>
      <c r="P1139" s="39" t="str">
        <f t="shared" si="159"/>
        <v/>
      </c>
      <c r="Q1139" s="13" t="str">
        <f t="shared" si="155"/>
        <v/>
      </c>
      <c r="R1139" s="13" t="str">
        <f t="shared" si="160"/>
        <v/>
      </c>
      <c r="S1139" s="13" t="str">
        <f t="shared" si="156"/>
        <v/>
      </c>
      <c r="T1139" s="22" t="str">
        <f>IF(R1139&lt;&gt;"",VLOOKUP(P1139,Constants!$D$3:$E$10,2),"")</f>
        <v/>
      </c>
    </row>
    <row r="1140" spans="12:20" x14ac:dyDescent="0.25">
      <c r="L1140" s="10" t="str">
        <f t="shared" si="153"/>
        <v/>
      </c>
      <c r="M1140" s="10" t="str">
        <f t="shared" si="154"/>
        <v/>
      </c>
      <c r="N1140" s="11" t="str">
        <f t="shared" si="157"/>
        <v/>
      </c>
      <c r="O1140" s="10" t="str">
        <f t="shared" si="158"/>
        <v/>
      </c>
      <c r="P1140" s="39" t="str">
        <f t="shared" si="159"/>
        <v/>
      </c>
      <c r="Q1140" s="13" t="str">
        <f t="shared" si="155"/>
        <v/>
      </c>
      <c r="R1140" s="13" t="str">
        <f t="shared" si="160"/>
        <v/>
      </c>
      <c r="S1140" s="13" t="str">
        <f t="shared" si="156"/>
        <v/>
      </c>
      <c r="T1140" s="22" t="str">
        <f>IF(R1140&lt;&gt;"",VLOOKUP(P1140,Constants!$D$3:$E$10,2),"")</f>
        <v/>
      </c>
    </row>
    <row r="1141" spans="12:20" x14ac:dyDescent="0.25">
      <c r="L1141" s="10" t="str">
        <f t="shared" si="153"/>
        <v/>
      </c>
      <c r="M1141" s="10" t="str">
        <f t="shared" si="154"/>
        <v/>
      </c>
      <c r="N1141" s="11" t="str">
        <f t="shared" si="157"/>
        <v/>
      </c>
      <c r="O1141" s="10" t="str">
        <f t="shared" si="158"/>
        <v/>
      </c>
      <c r="P1141" s="39" t="str">
        <f t="shared" si="159"/>
        <v/>
      </c>
      <c r="Q1141" s="13" t="str">
        <f t="shared" si="155"/>
        <v/>
      </c>
      <c r="R1141" s="13" t="str">
        <f t="shared" si="160"/>
        <v/>
      </c>
      <c r="S1141" s="13" t="str">
        <f t="shared" si="156"/>
        <v/>
      </c>
      <c r="T1141" s="22" t="str">
        <f>IF(R1141&lt;&gt;"",VLOOKUP(P1141,Constants!$D$3:$E$10,2),"")</f>
        <v/>
      </c>
    </row>
    <row r="1142" spans="12:20" x14ac:dyDescent="0.25">
      <c r="L1142" s="10" t="str">
        <f t="shared" si="153"/>
        <v/>
      </c>
      <c r="M1142" s="10" t="str">
        <f t="shared" si="154"/>
        <v/>
      </c>
      <c r="N1142" s="11" t="str">
        <f t="shared" si="157"/>
        <v/>
      </c>
      <c r="O1142" s="10" t="str">
        <f t="shared" si="158"/>
        <v/>
      </c>
      <c r="P1142" s="39" t="str">
        <f t="shared" si="159"/>
        <v/>
      </c>
      <c r="Q1142" s="13" t="str">
        <f t="shared" si="155"/>
        <v/>
      </c>
      <c r="R1142" s="13" t="str">
        <f t="shared" si="160"/>
        <v/>
      </c>
      <c r="S1142" s="13" t="str">
        <f t="shared" si="156"/>
        <v/>
      </c>
      <c r="T1142" s="22" t="str">
        <f>IF(R1142&lt;&gt;"",VLOOKUP(P1142,Constants!$D$3:$E$10,2),"")</f>
        <v/>
      </c>
    </row>
    <row r="1143" spans="12:20" x14ac:dyDescent="0.25">
      <c r="L1143" s="10" t="str">
        <f t="shared" si="153"/>
        <v/>
      </c>
      <c r="M1143" s="10" t="str">
        <f t="shared" si="154"/>
        <v/>
      </c>
      <c r="N1143" s="11" t="str">
        <f t="shared" si="157"/>
        <v/>
      </c>
      <c r="O1143" s="10" t="str">
        <f t="shared" si="158"/>
        <v/>
      </c>
      <c r="P1143" s="39" t="str">
        <f t="shared" si="159"/>
        <v/>
      </c>
      <c r="Q1143" s="13" t="str">
        <f t="shared" si="155"/>
        <v/>
      </c>
      <c r="R1143" s="13" t="str">
        <f t="shared" si="160"/>
        <v/>
      </c>
      <c r="S1143" s="13" t="str">
        <f t="shared" si="156"/>
        <v/>
      </c>
      <c r="T1143" s="22" t="str">
        <f>IF(R1143&lt;&gt;"",VLOOKUP(P1143,Constants!$D$3:$E$10,2),"")</f>
        <v/>
      </c>
    </row>
    <row r="1144" spans="12:20" x14ac:dyDescent="0.25">
      <c r="L1144" s="10" t="str">
        <f t="shared" si="153"/>
        <v/>
      </c>
      <c r="M1144" s="10" t="str">
        <f t="shared" si="154"/>
        <v/>
      </c>
      <c r="N1144" s="11" t="str">
        <f t="shared" si="157"/>
        <v/>
      </c>
      <c r="O1144" s="10" t="str">
        <f t="shared" si="158"/>
        <v/>
      </c>
      <c r="P1144" s="39" t="str">
        <f t="shared" si="159"/>
        <v/>
      </c>
      <c r="Q1144" s="13" t="str">
        <f t="shared" si="155"/>
        <v/>
      </c>
      <c r="R1144" s="13" t="str">
        <f t="shared" si="160"/>
        <v/>
      </c>
      <c r="S1144" s="13" t="str">
        <f t="shared" si="156"/>
        <v/>
      </c>
      <c r="T1144" s="22" t="str">
        <f>IF(R1144&lt;&gt;"",VLOOKUP(P1144,Constants!$D$3:$E$10,2),"")</f>
        <v/>
      </c>
    </row>
    <row r="1145" spans="12:20" x14ac:dyDescent="0.25">
      <c r="L1145" s="10" t="str">
        <f t="shared" si="153"/>
        <v/>
      </c>
      <c r="M1145" s="10" t="str">
        <f t="shared" si="154"/>
        <v/>
      </c>
      <c r="N1145" s="11" t="str">
        <f t="shared" si="157"/>
        <v/>
      </c>
      <c r="O1145" s="10" t="str">
        <f t="shared" si="158"/>
        <v/>
      </c>
      <c r="P1145" s="39" t="str">
        <f t="shared" si="159"/>
        <v/>
      </c>
      <c r="Q1145" s="13" t="str">
        <f t="shared" si="155"/>
        <v/>
      </c>
      <c r="R1145" s="13" t="str">
        <f t="shared" si="160"/>
        <v/>
      </c>
      <c r="S1145" s="13" t="str">
        <f t="shared" si="156"/>
        <v/>
      </c>
      <c r="T1145" s="22" t="str">
        <f>IF(R1145&lt;&gt;"",VLOOKUP(P1145,Constants!$D$3:$E$10,2),"")</f>
        <v/>
      </c>
    </row>
    <row r="1146" spans="12:20" x14ac:dyDescent="0.25">
      <c r="L1146" s="10" t="str">
        <f t="shared" si="153"/>
        <v/>
      </c>
      <c r="M1146" s="10" t="str">
        <f t="shared" si="154"/>
        <v/>
      </c>
      <c r="N1146" s="11" t="str">
        <f t="shared" si="157"/>
        <v/>
      </c>
      <c r="O1146" s="10" t="str">
        <f t="shared" si="158"/>
        <v/>
      </c>
      <c r="P1146" s="39" t="str">
        <f t="shared" si="159"/>
        <v/>
      </c>
      <c r="Q1146" s="13" t="str">
        <f t="shared" si="155"/>
        <v/>
      </c>
      <c r="R1146" s="13" t="str">
        <f t="shared" si="160"/>
        <v/>
      </c>
      <c r="S1146" s="13" t="str">
        <f t="shared" si="156"/>
        <v/>
      </c>
      <c r="T1146" s="22" t="str">
        <f>IF(R1146&lt;&gt;"",VLOOKUP(P1146,Constants!$D$3:$E$10,2),"")</f>
        <v/>
      </c>
    </row>
    <row r="1147" spans="12:20" x14ac:dyDescent="0.25">
      <c r="L1147" s="10" t="str">
        <f t="shared" si="153"/>
        <v/>
      </c>
      <c r="M1147" s="10" t="str">
        <f t="shared" si="154"/>
        <v/>
      </c>
      <c r="N1147" s="11" t="str">
        <f t="shared" si="157"/>
        <v/>
      </c>
      <c r="O1147" s="10" t="str">
        <f t="shared" si="158"/>
        <v/>
      </c>
      <c r="P1147" s="39" t="str">
        <f t="shared" si="159"/>
        <v/>
      </c>
      <c r="Q1147" s="13" t="str">
        <f t="shared" si="155"/>
        <v/>
      </c>
      <c r="R1147" s="13" t="str">
        <f t="shared" si="160"/>
        <v/>
      </c>
      <c r="S1147" s="13" t="str">
        <f t="shared" si="156"/>
        <v/>
      </c>
      <c r="T1147" s="22" t="str">
        <f>IF(R1147&lt;&gt;"",VLOOKUP(P1147,Constants!$D$3:$E$10,2),"")</f>
        <v/>
      </c>
    </row>
    <row r="1148" spans="12:20" x14ac:dyDescent="0.25">
      <c r="L1148" s="10" t="str">
        <f t="shared" si="153"/>
        <v/>
      </c>
      <c r="M1148" s="10" t="str">
        <f t="shared" si="154"/>
        <v/>
      </c>
      <c r="N1148" s="11" t="str">
        <f t="shared" si="157"/>
        <v/>
      </c>
      <c r="O1148" s="10" t="str">
        <f t="shared" si="158"/>
        <v/>
      </c>
      <c r="P1148" s="39" t="str">
        <f t="shared" si="159"/>
        <v/>
      </c>
      <c r="Q1148" s="13" t="str">
        <f t="shared" si="155"/>
        <v/>
      </c>
      <c r="R1148" s="13" t="str">
        <f t="shared" si="160"/>
        <v/>
      </c>
      <c r="S1148" s="13" t="str">
        <f t="shared" si="156"/>
        <v/>
      </c>
      <c r="T1148" s="22" t="str">
        <f>IF(R1148&lt;&gt;"",VLOOKUP(P1148,Constants!$D$3:$E$10,2),"")</f>
        <v/>
      </c>
    </row>
    <row r="1149" spans="12:20" x14ac:dyDescent="0.25">
      <c r="L1149" s="10" t="str">
        <f t="shared" si="153"/>
        <v/>
      </c>
      <c r="M1149" s="10" t="str">
        <f t="shared" si="154"/>
        <v/>
      </c>
      <c r="N1149" s="11" t="str">
        <f t="shared" si="157"/>
        <v/>
      </c>
      <c r="O1149" s="10" t="str">
        <f t="shared" si="158"/>
        <v/>
      </c>
      <c r="P1149" s="39" t="str">
        <f t="shared" si="159"/>
        <v/>
      </c>
      <c r="Q1149" s="13" t="str">
        <f t="shared" si="155"/>
        <v/>
      </c>
      <c r="R1149" s="13" t="str">
        <f t="shared" si="160"/>
        <v/>
      </c>
      <c r="S1149" s="13" t="str">
        <f t="shared" si="156"/>
        <v/>
      </c>
      <c r="T1149" s="22" t="str">
        <f>IF(R1149&lt;&gt;"",VLOOKUP(P1149,Constants!$D$3:$E$10,2),"")</f>
        <v/>
      </c>
    </row>
    <row r="1150" spans="12:20" x14ac:dyDescent="0.25">
      <c r="L1150" s="10" t="str">
        <f t="shared" si="153"/>
        <v/>
      </c>
      <c r="M1150" s="10" t="str">
        <f t="shared" si="154"/>
        <v/>
      </c>
      <c r="N1150" s="11" t="str">
        <f t="shared" si="157"/>
        <v/>
      </c>
      <c r="O1150" s="10" t="str">
        <f t="shared" si="158"/>
        <v/>
      </c>
      <c r="P1150" s="39" t="str">
        <f t="shared" si="159"/>
        <v/>
      </c>
      <c r="Q1150" s="13" t="str">
        <f t="shared" si="155"/>
        <v/>
      </c>
      <c r="R1150" s="13" t="str">
        <f t="shared" si="160"/>
        <v/>
      </c>
      <c r="S1150" s="13" t="str">
        <f t="shared" si="156"/>
        <v/>
      </c>
      <c r="T1150" s="22" t="str">
        <f>IF(R1150&lt;&gt;"",VLOOKUP(P1150,Constants!$D$3:$E$10,2),"")</f>
        <v/>
      </c>
    </row>
    <row r="1151" spans="12:20" x14ac:dyDescent="0.25">
      <c r="L1151" s="10" t="str">
        <f t="shared" si="153"/>
        <v/>
      </c>
      <c r="M1151" s="10" t="str">
        <f t="shared" si="154"/>
        <v/>
      </c>
      <c r="N1151" s="11" t="str">
        <f t="shared" si="157"/>
        <v/>
      </c>
      <c r="O1151" s="10" t="str">
        <f t="shared" si="158"/>
        <v/>
      </c>
      <c r="P1151" s="39" t="str">
        <f t="shared" si="159"/>
        <v/>
      </c>
      <c r="Q1151" s="13" t="str">
        <f t="shared" si="155"/>
        <v/>
      </c>
      <c r="R1151" s="13" t="str">
        <f t="shared" si="160"/>
        <v/>
      </c>
      <c r="S1151" s="13" t="str">
        <f t="shared" si="156"/>
        <v/>
      </c>
      <c r="T1151" s="22" t="str">
        <f>IF(R1151&lt;&gt;"",VLOOKUP(P1151,Constants!$D$3:$E$10,2),"")</f>
        <v/>
      </c>
    </row>
    <row r="1152" spans="12:20" x14ac:dyDescent="0.25">
      <c r="L1152" s="10" t="str">
        <f t="shared" si="153"/>
        <v/>
      </c>
      <c r="M1152" s="10" t="str">
        <f t="shared" si="154"/>
        <v/>
      </c>
      <c r="N1152" s="11" t="str">
        <f t="shared" si="157"/>
        <v/>
      </c>
      <c r="O1152" s="10" t="str">
        <f t="shared" si="158"/>
        <v/>
      </c>
      <c r="P1152" s="39" t="str">
        <f t="shared" si="159"/>
        <v/>
      </c>
      <c r="Q1152" s="13" t="str">
        <f t="shared" si="155"/>
        <v/>
      </c>
      <c r="R1152" s="13" t="str">
        <f t="shared" si="160"/>
        <v/>
      </c>
      <c r="S1152" s="13" t="str">
        <f t="shared" si="156"/>
        <v/>
      </c>
      <c r="T1152" s="22" t="str">
        <f>IF(R1152&lt;&gt;"",VLOOKUP(P1152,Constants!$D$3:$E$10,2),"")</f>
        <v/>
      </c>
    </row>
    <row r="1153" spans="12:20" x14ac:dyDescent="0.25">
      <c r="L1153" s="10" t="str">
        <f t="shared" si="153"/>
        <v/>
      </c>
      <c r="M1153" s="10" t="str">
        <f t="shared" si="154"/>
        <v/>
      </c>
      <c r="N1153" s="11" t="str">
        <f t="shared" si="157"/>
        <v/>
      </c>
      <c r="O1153" s="10" t="str">
        <f t="shared" si="158"/>
        <v/>
      </c>
      <c r="P1153" s="39" t="str">
        <f t="shared" si="159"/>
        <v/>
      </c>
      <c r="Q1153" s="13" t="str">
        <f t="shared" si="155"/>
        <v/>
      </c>
      <c r="R1153" s="13" t="str">
        <f t="shared" si="160"/>
        <v/>
      </c>
      <c r="S1153" s="13" t="str">
        <f t="shared" si="156"/>
        <v/>
      </c>
      <c r="T1153" s="22" t="str">
        <f>IF(R1153&lt;&gt;"",VLOOKUP(P1153,Constants!$D$3:$E$10,2),"")</f>
        <v/>
      </c>
    </row>
    <row r="1154" spans="12:20" x14ac:dyDescent="0.25">
      <c r="L1154" s="10" t="str">
        <f t="shared" si="153"/>
        <v/>
      </c>
      <c r="M1154" s="10" t="str">
        <f t="shared" si="154"/>
        <v/>
      </c>
      <c r="N1154" s="11" t="str">
        <f t="shared" si="157"/>
        <v/>
      </c>
      <c r="O1154" s="10" t="str">
        <f t="shared" si="158"/>
        <v/>
      </c>
      <c r="P1154" s="39" t="str">
        <f t="shared" si="159"/>
        <v/>
      </c>
      <c r="Q1154" s="13" t="str">
        <f t="shared" si="155"/>
        <v/>
      </c>
      <c r="R1154" s="13" t="str">
        <f t="shared" si="160"/>
        <v/>
      </c>
      <c r="S1154" s="13" t="str">
        <f t="shared" si="156"/>
        <v/>
      </c>
      <c r="T1154" s="22" t="str">
        <f>IF(R1154&lt;&gt;"",VLOOKUP(P1154,Constants!$D$3:$E$10,2),"")</f>
        <v/>
      </c>
    </row>
    <row r="1155" spans="12:20" x14ac:dyDescent="0.25">
      <c r="L1155" s="10" t="str">
        <f t="shared" si="153"/>
        <v/>
      </c>
      <c r="M1155" s="10" t="str">
        <f t="shared" si="154"/>
        <v/>
      </c>
      <c r="N1155" s="11" t="str">
        <f t="shared" si="157"/>
        <v/>
      </c>
      <c r="O1155" s="10" t="str">
        <f t="shared" si="158"/>
        <v/>
      </c>
      <c r="P1155" s="39" t="str">
        <f t="shared" si="159"/>
        <v/>
      </c>
      <c r="Q1155" s="13" t="str">
        <f t="shared" si="155"/>
        <v/>
      </c>
      <c r="R1155" s="13" t="str">
        <f t="shared" si="160"/>
        <v/>
      </c>
      <c r="S1155" s="13" t="str">
        <f t="shared" si="156"/>
        <v/>
      </c>
      <c r="T1155" s="22" t="str">
        <f>IF(R1155&lt;&gt;"",VLOOKUP(P1155,Constants!$D$3:$E$10,2),"")</f>
        <v/>
      </c>
    </row>
    <row r="1156" spans="12:20" x14ac:dyDescent="0.25">
      <c r="L1156" s="10" t="str">
        <f t="shared" si="153"/>
        <v/>
      </c>
      <c r="M1156" s="10" t="str">
        <f t="shared" si="154"/>
        <v/>
      </c>
      <c r="N1156" s="11" t="str">
        <f t="shared" si="157"/>
        <v/>
      </c>
      <c r="O1156" s="10" t="str">
        <f t="shared" si="158"/>
        <v/>
      </c>
      <c r="P1156" s="39" t="str">
        <f t="shared" si="159"/>
        <v/>
      </c>
      <c r="Q1156" s="13" t="str">
        <f t="shared" si="155"/>
        <v/>
      </c>
      <c r="R1156" s="13" t="str">
        <f t="shared" si="160"/>
        <v/>
      </c>
      <c r="S1156" s="13" t="str">
        <f t="shared" si="156"/>
        <v/>
      </c>
      <c r="T1156" s="22" t="str">
        <f>IF(R1156&lt;&gt;"",VLOOKUP(P1156,Constants!$D$3:$E$10,2),"")</f>
        <v/>
      </c>
    </row>
    <row r="1157" spans="12:20" x14ac:dyDescent="0.25">
      <c r="L1157" s="10" t="str">
        <f t="shared" si="153"/>
        <v/>
      </c>
      <c r="M1157" s="10" t="str">
        <f t="shared" si="154"/>
        <v/>
      </c>
      <c r="N1157" s="11" t="str">
        <f t="shared" si="157"/>
        <v/>
      </c>
      <c r="O1157" s="10" t="str">
        <f t="shared" si="158"/>
        <v/>
      </c>
      <c r="P1157" s="39" t="str">
        <f t="shared" si="159"/>
        <v/>
      </c>
      <c r="Q1157" s="13" t="str">
        <f t="shared" si="155"/>
        <v/>
      </c>
      <c r="R1157" s="13" t="str">
        <f t="shared" si="160"/>
        <v/>
      </c>
      <c r="S1157" s="13" t="str">
        <f t="shared" si="156"/>
        <v/>
      </c>
      <c r="T1157" s="22" t="str">
        <f>IF(R1157&lt;&gt;"",VLOOKUP(P1157,Constants!$D$3:$E$10,2),"")</f>
        <v/>
      </c>
    </row>
    <row r="1158" spans="12:20" x14ac:dyDescent="0.25">
      <c r="L1158" s="10" t="str">
        <f t="shared" si="153"/>
        <v/>
      </c>
      <c r="M1158" s="10" t="str">
        <f t="shared" si="154"/>
        <v/>
      </c>
      <c r="N1158" s="11" t="str">
        <f t="shared" si="157"/>
        <v/>
      </c>
      <c r="O1158" s="10" t="str">
        <f t="shared" si="158"/>
        <v/>
      </c>
      <c r="P1158" s="39" t="str">
        <f t="shared" si="159"/>
        <v/>
      </c>
      <c r="Q1158" s="13" t="str">
        <f t="shared" si="155"/>
        <v/>
      </c>
      <c r="R1158" s="13" t="str">
        <f t="shared" si="160"/>
        <v/>
      </c>
      <c r="S1158" s="13" t="str">
        <f t="shared" si="156"/>
        <v/>
      </c>
      <c r="T1158" s="22" t="str">
        <f>IF(R1158&lt;&gt;"",VLOOKUP(P1158,Constants!$D$3:$E$10,2),"")</f>
        <v/>
      </c>
    </row>
    <row r="1159" spans="12:20" x14ac:dyDescent="0.25">
      <c r="L1159" s="10" t="str">
        <f t="shared" si="153"/>
        <v/>
      </c>
      <c r="M1159" s="10" t="str">
        <f t="shared" si="154"/>
        <v/>
      </c>
      <c r="N1159" s="11" t="str">
        <f t="shared" si="157"/>
        <v/>
      </c>
      <c r="O1159" s="10" t="str">
        <f t="shared" si="158"/>
        <v/>
      </c>
      <c r="P1159" s="39" t="str">
        <f t="shared" si="159"/>
        <v/>
      </c>
      <c r="Q1159" s="13" t="str">
        <f t="shared" si="155"/>
        <v/>
      </c>
      <c r="R1159" s="13" t="str">
        <f t="shared" si="160"/>
        <v/>
      </c>
      <c r="S1159" s="13" t="str">
        <f t="shared" si="156"/>
        <v/>
      </c>
      <c r="T1159" s="22" t="str">
        <f>IF(R1159&lt;&gt;"",VLOOKUP(P1159,Constants!$D$3:$E$10,2),"")</f>
        <v/>
      </c>
    </row>
    <row r="1160" spans="12:20" x14ac:dyDescent="0.25">
      <c r="L1160" s="10" t="str">
        <f t="shared" ref="L1160:L1223" si="161">IF($D1160&lt;&gt;"",$D1160*$E1160/1000,"")</f>
        <v/>
      </c>
      <c r="M1160" s="10" t="str">
        <f t="shared" ref="M1160:M1223" si="162">IF($D1160&lt;&gt;"",$D1160*$F1160/1000,"")</f>
        <v/>
      </c>
      <c r="N1160" s="11" t="str">
        <f t="shared" si="157"/>
        <v/>
      </c>
      <c r="O1160" s="10" t="str">
        <f t="shared" si="158"/>
        <v/>
      </c>
      <c r="P1160" s="39" t="str">
        <f t="shared" si="159"/>
        <v/>
      </c>
      <c r="Q1160" s="13" t="str">
        <f t="shared" ref="Q1160:Q1223" si="163">IF(F1160&lt;&gt;"",F1160*E1160/1000,"")</f>
        <v/>
      </c>
      <c r="R1160" s="13" t="str">
        <f t="shared" si="160"/>
        <v/>
      </c>
      <c r="S1160" s="13" t="str">
        <f t="shared" ref="S1160:S1223" si="164">IF(R1160&lt;&gt;"",Q1160/R1160*1000,"")</f>
        <v/>
      </c>
      <c r="T1160" s="22" t="str">
        <f>IF(R1160&lt;&gt;"",VLOOKUP(P1160,Constants!$D$3:$E$10,2),"")</f>
        <v/>
      </c>
    </row>
    <row r="1161" spans="12:20" x14ac:dyDescent="0.25">
      <c r="L1161" s="10" t="str">
        <f t="shared" si="161"/>
        <v/>
      </c>
      <c r="M1161" s="10" t="str">
        <f t="shared" si="162"/>
        <v/>
      </c>
      <c r="N1161" s="11" t="str">
        <f t="shared" si="157"/>
        <v/>
      </c>
      <c r="O1161" s="10" t="str">
        <f t="shared" si="158"/>
        <v/>
      </c>
      <c r="P1161" s="39" t="str">
        <f t="shared" si="159"/>
        <v/>
      </c>
      <c r="Q1161" s="13" t="str">
        <f t="shared" si="163"/>
        <v/>
      </c>
      <c r="R1161" s="13" t="str">
        <f t="shared" si="160"/>
        <v/>
      </c>
      <c r="S1161" s="13" t="str">
        <f t="shared" si="164"/>
        <v/>
      </c>
      <c r="T1161" s="22" t="str">
        <f>IF(R1161&lt;&gt;"",VLOOKUP(P1161,Constants!$D$3:$E$10,2),"")</f>
        <v/>
      </c>
    </row>
    <row r="1162" spans="12:20" x14ac:dyDescent="0.25">
      <c r="L1162" s="10" t="str">
        <f t="shared" si="161"/>
        <v/>
      </c>
      <c r="M1162" s="10" t="str">
        <f t="shared" si="162"/>
        <v/>
      </c>
      <c r="N1162" s="11" t="str">
        <f t="shared" si="157"/>
        <v/>
      </c>
      <c r="O1162" s="10" t="str">
        <f t="shared" si="158"/>
        <v/>
      </c>
      <c r="P1162" s="39" t="str">
        <f t="shared" si="159"/>
        <v/>
      </c>
      <c r="Q1162" s="13" t="str">
        <f t="shared" si="163"/>
        <v/>
      </c>
      <c r="R1162" s="13" t="str">
        <f t="shared" si="160"/>
        <v/>
      </c>
      <c r="S1162" s="13" t="str">
        <f t="shared" si="164"/>
        <v/>
      </c>
      <c r="T1162" s="22" t="str">
        <f>IF(R1162&lt;&gt;"",VLOOKUP(P1162,Constants!$D$3:$E$10,2),"")</f>
        <v/>
      </c>
    </row>
    <row r="1163" spans="12:20" x14ac:dyDescent="0.25">
      <c r="L1163" s="10" t="str">
        <f t="shared" si="161"/>
        <v/>
      </c>
      <c r="M1163" s="10" t="str">
        <f t="shared" si="162"/>
        <v/>
      </c>
      <c r="N1163" s="11" t="str">
        <f t="shared" si="157"/>
        <v/>
      </c>
      <c r="O1163" s="10" t="str">
        <f t="shared" si="158"/>
        <v/>
      </c>
      <c r="P1163" s="39" t="str">
        <f t="shared" si="159"/>
        <v/>
      </c>
      <c r="Q1163" s="13" t="str">
        <f t="shared" si="163"/>
        <v/>
      </c>
      <c r="R1163" s="13" t="str">
        <f t="shared" si="160"/>
        <v/>
      </c>
      <c r="S1163" s="13" t="str">
        <f t="shared" si="164"/>
        <v/>
      </c>
      <c r="T1163" s="22" t="str">
        <f>IF(R1163&lt;&gt;"",VLOOKUP(P1163,Constants!$D$3:$E$10,2),"")</f>
        <v/>
      </c>
    </row>
    <row r="1164" spans="12:20" x14ac:dyDescent="0.25">
      <c r="L1164" s="10" t="str">
        <f t="shared" si="161"/>
        <v/>
      </c>
      <c r="M1164" s="10" t="str">
        <f t="shared" si="162"/>
        <v/>
      </c>
      <c r="N1164" s="11" t="str">
        <f t="shared" si="157"/>
        <v/>
      </c>
      <c r="O1164" s="10" t="str">
        <f t="shared" si="158"/>
        <v/>
      </c>
      <c r="P1164" s="39" t="str">
        <f t="shared" si="159"/>
        <v/>
      </c>
      <c r="Q1164" s="13" t="str">
        <f t="shared" si="163"/>
        <v/>
      </c>
      <c r="R1164" s="13" t="str">
        <f t="shared" si="160"/>
        <v/>
      </c>
      <c r="S1164" s="13" t="str">
        <f t="shared" si="164"/>
        <v/>
      </c>
      <c r="T1164" s="22" t="str">
        <f>IF(R1164&lt;&gt;"",VLOOKUP(P1164,Constants!$D$3:$E$10,2),"")</f>
        <v/>
      </c>
    </row>
    <row r="1165" spans="12:20" x14ac:dyDescent="0.25">
      <c r="L1165" s="10" t="str">
        <f t="shared" si="161"/>
        <v/>
      </c>
      <c r="M1165" s="10" t="str">
        <f t="shared" si="162"/>
        <v/>
      </c>
      <c r="N1165" s="11" t="str">
        <f t="shared" si="157"/>
        <v/>
      </c>
      <c r="O1165" s="10" t="str">
        <f t="shared" si="158"/>
        <v/>
      </c>
      <c r="P1165" s="39" t="str">
        <f t="shared" si="159"/>
        <v/>
      </c>
      <c r="Q1165" s="13" t="str">
        <f t="shared" si="163"/>
        <v/>
      </c>
      <c r="R1165" s="13" t="str">
        <f t="shared" si="160"/>
        <v/>
      </c>
      <c r="S1165" s="13" t="str">
        <f t="shared" si="164"/>
        <v/>
      </c>
      <c r="T1165" s="22" t="str">
        <f>IF(R1165&lt;&gt;"",VLOOKUP(P1165,Constants!$D$3:$E$10,2),"")</f>
        <v/>
      </c>
    </row>
    <row r="1166" spans="12:20" x14ac:dyDescent="0.25">
      <c r="L1166" s="10" t="str">
        <f t="shared" si="161"/>
        <v/>
      </c>
      <c r="M1166" s="10" t="str">
        <f t="shared" si="162"/>
        <v/>
      </c>
      <c r="N1166" s="11" t="str">
        <f t="shared" si="157"/>
        <v/>
      </c>
      <c r="O1166" s="10" t="str">
        <f t="shared" si="158"/>
        <v/>
      </c>
      <c r="P1166" s="39" t="str">
        <f t="shared" si="159"/>
        <v/>
      </c>
      <c r="Q1166" s="13" t="str">
        <f t="shared" si="163"/>
        <v/>
      </c>
      <c r="R1166" s="13" t="str">
        <f t="shared" si="160"/>
        <v/>
      </c>
      <c r="S1166" s="13" t="str">
        <f t="shared" si="164"/>
        <v/>
      </c>
      <c r="T1166" s="22" t="str">
        <f>IF(R1166&lt;&gt;"",VLOOKUP(P1166,Constants!$D$3:$E$10,2),"")</f>
        <v/>
      </c>
    </row>
    <row r="1167" spans="12:20" x14ac:dyDescent="0.25">
      <c r="L1167" s="10" t="str">
        <f t="shared" si="161"/>
        <v/>
      </c>
      <c r="M1167" s="10" t="str">
        <f t="shared" si="162"/>
        <v/>
      </c>
      <c r="N1167" s="11" t="str">
        <f t="shared" si="157"/>
        <v/>
      </c>
      <c r="O1167" s="10" t="str">
        <f t="shared" si="158"/>
        <v/>
      </c>
      <c r="P1167" s="39" t="str">
        <f t="shared" si="159"/>
        <v/>
      </c>
      <c r="Q1167" s="13" t="str">
        <f t="shared" si="163"/>
        <v/>
      </c>
      <c r="R1167" s="13" t="str">
        <f t="shared" si="160"/>
        <v/>
      </c>
      <c r="S1167" s="13" t="str">
        <f t="shared" si="164"/>
        <v/>
      </c>
      <c r="T1167" s="22" t="str">
        <f>IF(R1167&lt;&gt;"",VLOOKUP(P1167,Constants!$D$3:$E$10,2),"")</f>
        <v/>
      </c>
    </row>
    <row r="1168" spans="12:20" x14ac:dyDescent="0.25">
      <c r="L1168" s="10" t="str">
        <f t="shared" si="161"/>
        <v/>
      </c>
      <c r="M1168" s="10" t="str">
        <f t="shared" si="162"/>
        <v/>
      </c>
      <c r="N1168" s="11" t="str">
        <f t="shared" ref="N1168:N1231" si="165">IF($L1168&lt;&gt;"",SQRT($L1168*$L1168+$M1168*$M1168),"")</f>
        <v/>
      </c>
      <c r="O1168" s="10" t="str">
        <f t="shared" si="158"/>
        <v/>
      </c>
      <c r="P1168" s="39" t="str">
        <f t="shared" si="159"/>
        <v/>
      </c>
      <c r="Q1168" s="13" t="str">
        <f t="shared" si="163"/>
        <v/>
      </c>
      <c r="R1168" s="13" t="str">
        <f t="shared" si="160"/>
        <v/>
      </c>
      <c r="S1168" s="13" t="str">
        <f t="shared" si="164"/>
        <v/>
      </c>
      <c r="T1168" s="22" t="str">
        <f>IF(R1168&lt;&gt;"",VLOOKUP(P1168,Constants!$D$3:$E$10,2),"")</f>
        <v/>
      </c>
    </row>
    <row r="1169" spans="12:20" x14ac:dyDescent="0.25">
      <c r="L1169" s="10" t="str">
        <f t="shared" si="161"/>
        <v/>
      </c>
      <c r="M1169" s="10" t="str">
        <f t="shared" si="162"/>
        <v/>
      </c>
      <c r="N1169" s="11" t="str">
        <f t="shared" si="165"/>
        <v/>
      </c>
      <c r="O1169" s="10" t="str">
        <f t="shared" si="158"/>
        <v/>
      </c>
      <c r="P1169" s="39" t="str">
        <f t="shared" si="159"/>
        <v/>
      </c>
      <c r="Q1169" s="13" t="str">
        <f t="shared" si="163"/>
        <v/>
      </c>
      <c r="R1169" s="13" t="str">
        <f t="shared" si="160"/>
        <v/>
      </c>
      <c r="S1169" s="13" t="str">
        <f t="shared" si="164"/>
        <v/>
      </c>
      <c r="T1169" s="22" t="str">
        <f>IF(R1169&lt;&gt;"",VLOOKUP(P1169,Constants!$D$3:$E$10,2),"")</f>
        <v/>
      </c>
    </row>
    <row r="1170" spans="12:20" x14ac:dyDescent="0.25">
      <c r="L1170" s="10" t="str">
        <f t="shared" si="161"/>
        <v/>
      </c>
      <c r="M1170" s="10" t="str">
        <f t="shared" si="162"/>
        <v/>
      </c>
      <c r="N1170" s="11" t="str">
        <f t="shared" si="165"/>
        <v/>
      </c>
      <c r="O1170" s="10" t="str">
        <f t="shared" si="158"/>
        <v/>
      </c>
      <c r="P1170" s="39" t="str">
        <f t="shared" si="159"/>
        <v/>
      </c>
      <c r="Q1170" s="13" t="str">
        <f t="shared" si="163"/>
        <v/>
      </c>
      <c r="R1170" s="13" t="str">
        <f t="shared" si="160"/>
        <v/>
      </c>
      <c r="S1170" s="13" t="str">
        <f t="shared" si="164"/>
        <v/>
      </c>
      <c r="T1170" s="22" t="str">
        <f>IF(R1170&lt;&gt;"",VLOOKUP(P1170,Constants!$D$3:$E$10,2),"")</f>
        <v/>
      </c>
    </row>
    <row r="1171" spans="12:20" x14ac:dyDescent="0.25">
      <c r="L1171" s="10" t="str">
        <f t="shared" si="161"/>
        <v/>
      </c>
      <c r="M1171" s="10" t="str">
        <f t="shared" si="162"/>
        <v/>
      </c>
      <c r="N1171" s="11" t="str">
        <f t="shared" si="165"/>
        <v/>
      </c>
      <c r="O1171" s="10" t="str">
        <f t="shared" si="158"/>
        <v/>
      </c>
      <c r="P1171" s="39" t="str">
        <f t="shared" si="159"/>
        <v/>
      </c>
      <c r="Q1171" s="13" t="str">
        <f t="shared" si="163"/>
        <v/>
      </c>
      <c r="R1171" s="13" t="str">
        <f t="shared" si="160"/>
        <v/>
      </c>
      <c r="S1171" s="13" t="str">
        <f t="shared" si="164"/>
        <v/>
      </c>
      <c r="T1171" s="22" t="str">
        <f>IF(R1171&lt;&gt;"",VLOOKUP(P1171,Constants!$D$3:$E$10,2),"")</f>
        <v/>
      </c>
    </row>
    <row r="1172" spans="12:20" x14ac:dyDescent="0.25">
      <c r="L1172" s="10" t="str">
        <f t="shared" si="161"/>
        <v/>
      </c>
      <c r="M1172" s="10" t="str">
        <f t="shared" si="162"/>
        <v/>
      </c>
      <c r="N1172" s="11" t="str">
        <f t="shared" si="165"/>
        <v/>
      </c>
      <c r="O1172" s="10" t="str">
        <f t="shared" si="158"/>
        <v/>
      </c>
      <c r="P1172" s="39" t="str">
        <f t="shared" si="159"/>
        <v/>
      </c>
      <c r="Q1172" s="13" t="str">
        <f t="shared" si="163"/>
        <v/>
      </c>
      <c r="R1172" s="13" t="str">
        <f t="shared" si="160"/>
        <v/>
      </c>
      <c r="S1172" s="13" t="str">
        <f t="shared" si="164"/>
        <v/>
      </c>
      <c r="T1172" s="22" t="str">
        <f>IF(R1172&lt;&gt;"",VLOOKUP(P1172,Constants!$D$3:$E$10,2),"")</f>
        <v/>
      </c>
    </row>
    <row r="1173" spans="12:20" x14ac:dyDescent="0.25">
      <c r="L1173" s="10" t="str">
        <f t="shared" si="161"/>
        <v/>
      </c>
      <c r="M1173" s="10" t="str">
        <f t="shared" si="162"/>
        <v/>
      </c>
      <c r="N1173" s="11" t="str">
        <f t="shared" si="165"/>
        <v/>
      </c>
      <c r="O1173" s="10" t="str">
        <f t="shared" si="158"/>
        <v/>
      </c>
      <c r="P1173" s="39" t="str">
        <f t="shared" si="159"/>
        <v/>
      </c>
      <c r="Q1173" s="13" t="str">
        <f t="shared" si="163"/>
        <v/>
      </c>
      <c r="R1173" s="13" t="str">
        <f t="shared" si="160"/>
        <v/>
      </c>
      <c r="S1173" s="13" t="str">
        <f t="shared" si="164"/>
        <v/>
      </c>
      <c r="T1173" s="22" t="str">
        <f>IF(R1173&lt;&gt;"",VLOOKUP(P1173,Constants!$D$3:$E$10,2),"")</f>
        <v/>
      </c>
    </row>
    <row r="1174" spans="12:20" x14ac:dyDescent="0.25">
      <c r="L1174" s="10" t="str">
        <f t="shared" si="161"/>
        <v/>
      </c>
      <c r="M1174" s="10" t="str">
        <f t="shared" si="162"/>
        <v/>
      </c>
      <c r="N1174" s="11" t="str">
        <f t="shared" si="165"/>
        <v/>
      </c>
      <c r="O1174" s="10" t="str">
        <f t="shared" si="158"/>
        <v/>
      </c>
      <c r="P1174" s="39" t="str">
        <f t="shared" si="159"/>
        <v/>
      </c>
      <c r="Q1174" s="13" t="str">
        <f t="shared" si="163"/>
        <v/>
      </c>
      <c r="R1174" s="13" t="str">
        <f t="shared" si="160"/>
        <v/>
      </c>
      <c r="S1174" s="13" t="str">
        <f t="shared" si="164"/>
        <v/>
      </c>
      <c r="T1174" s="22" t="str">
        <f>IF(R1174&lt;&gt;"",VLOOKUP(P1174,Constants!$D$3:$E$10,2),"")</f>
        <v/>
      </c>
    </row>
    <row r="1175" spans="12:20" x14ac:dyDescent="0.25">
      <c r="L1175" s="10" t="str">
        <f t="shared" si="161"/>
        <v/>
      </c>
      <c r="M1175" s="10" t="str">
        <f t="shared" si="162"/>
        <v/>
      </c>
      <c r="N1175" s="11" t="str">
        <f t="shared" si="165"/>
        <v/>
      </c>
      <c r="O1175" s="10" t="str">
        <f t="shared" ref="O1175:O1238" si="166">IF(D1175&lt;&gt;"",1000/(2*D1175),"")</f>
        <v/>
      </c>
      <c r="P1175" s="39" t="str">
        <f t="shared" ref="P1175:P1238" si="167">IF($N1175&lt;&gt;"",D1175*SQRT(E1175*E1175+F1175*F1175)/16000,"")</f>
        <v/>
      </c>
      <c r="Q1175" s="13" t="str">
        <f t="shared" si="163"/>
        <v/>
      </c>
      <c r="R1175" s="13" t="str">
        <f t="shared" ref="R1175:R1238" si="168">IF(G1175&lt;&gt;"",1000/G1175,"")</f>
        <v/>
      </c>
      <c r="S1175" s="13" t="str">
        <f t="shared" si="164"/>
        <v/>
      </c>
      <c r="T1175" s="22" t="str">
        <f>IF(R1175&lt;&gt;"",VLOOKUP(P1175,Constants!$D$3:$E$10,2),"")</f>
        <v/>
      </c>
    </row>
    <row r="1176" spans="12:20" x14ac:dyDescent="0.25">
      <c r="L1176" s="10" t="str">
        <f t="shared" si="161"/>
        <v/>
      </c>
      <c r="M1176" s="10" t="str">
        <f t="shared" si="162"/>
        <v/>
      </c>
      <c r="N1176" s="11" t="str">
        <f t="shared" si="165"/>
        <v/>
      </c>
      <c r="O1176" s="10" t="str">
        <f t="shared" si="166"/>
        <v/>
      </c>
      <c r="P1176" s="39" t="str">
        <f t="shared" si="167"/>
        <v/>
      </c>
      <c r="Q1176" s="13" t="str">
        <f t="shared" si="163"/>
        <v/>
      </c>
      <c r="R1176" s="13" t="str">
        <f t="shared" si="168"/>
        <v/>
      </c>
      <c r="S1176" s="13" t="str">
        <f t="shared" si="164"/>
        <v/>
      </c>
      <c r="T1176" s="22" t="str">
        <f>IF(R1176&lt;&gt;"",VLOOKUP(P1176,Constants!$D$3:$E$10,2),"")</f>
        <v/>
      </c>
    </row>
    <row r="1177" spans="12:20" x14ac:dyDescent="0.25">
      <c r="L1177" s="10" t="str">
        <f t="shared" si="161"/>
        <v/>
      </c>
      <c r="M1177" s="10" t="str">
        <f t="shared" si="162"/>
        <v/>
      </c>
      <c r="N1177" s="11" t="str">
        <f t="shared" si="165"/>
        <v/>
      </c>
      <c r="O1177" s="10" t="str">
        <f t="shared" si="166"/>
        <v/>
      </c>
      <c r="P1177" s="39" t="str">
        <f t="shared" si="167"/>
        <v/>
      </c>
      <c r="Q1177" s="13" t="str">
        <f t="shared" si="163"/>
        <v/>
      </c>
      <c r="R1177" s="13" t="str">
        <f t="shared" si="168"/>
        <v/>
      </c>
      <c r="S1177" s="13" t="str">
        <f t="shared" si="164"/>
        <v/>
      </c>
      <c r="T1177" s="22" t="str">
        <f>IF(R1177&lt;&gt;"",VLOOKUP(P1177,Constants!$D$3:$E$10,2),"")</f>
        <v/>
      </c>
    </row>
    <row r="1178" spans="12:20" x14ac:dyDescent="0.25">
      <c r="L1178" s="10" t="str">
        <f t="shared" si="161"/>
        <v/>
      </c>
      <c r="M1178" s="10" t="str">
        <f t="shared" si="162"/>
        <v/>
      </c>
      <c r="N1178" s="11" t="str">
        <f t="shared" si="165"/>
        <v/>
      </c>
      <c r="O1178" s="10" t="str">
        <f t="shared" si="166"/>
        <v/>
      </c>
      <c r="P1178" s="39" t="str">
        <f t="shared" si="167"/>
        <v/>
      </c>
      <c r="Q1178" s="13" t="str">
        <f t="shared" si="163"/>
        <v/>
      </c>
      <c r="R1178" s="13" t="str">
        <f t="shared" si="168"/>
        <v/>
      </c>
      <c r="S1178" s="13" t="str">
        <f t="shared" si="164"/>
        <v/>
      </c>
      <c r="T1178" s="22" t="str">
        <f>IF(R1178&lt;&gt;"",VLOOKUP(P1178,Constants!$D$3:$E$10,2),"")</f>
        <v/>
      </c>
    </row>
    <row r="1179" spans="12:20" x14ac:dyDescent="0.25">
      <c r="L1179" s="10" t="str">
        <f t="shared" si="161"/>
        <v/>
      </c>
      <c r="M1179" s="10" t="str">
        <f t="shared" si="162"/>
        <v/>
      </c>
      <c r="N1179" s="11" t="str">
        <f t="shared" si="165"/>
        <v/>
      </c>
      <c r="O1179" s="10" t="str">
        <f t="shared" si="166"/>
        <v/>
      </c>
      <c r="P1179" s="39" t="str">
        <f t="shared" si="167"/>
        <v/>
      </c>
      <c r="Q1179" s="13" t="str">
        <f t="shared" si="163"/>
        <v/>
      </c>
      <c r="R1179" s="13" t="str">
        <f t="shared" si="168"/>
        <v/>
      </c>
      <c r="S1179" s="13" t="str">
        <f t="shared" si="164"/>
        <v/>
      </c>
      <c r="T1179" s="22" t="str">
        <f>IF(R1179&lt;&gt;"",VLOOKUP(P1179,Constants!$D$3:$E$10,2),"")</f>
        <v/>
      </c>
    </row>
    <row r="1180" spans="12:20" x14ac:dyDescent="0.25">
      <c r="L1180" s="10" t="str">
        <f t="shared" si="161"/>
        <v/>
      </c>
      <c r="M1180" s="10" t="str">
        <f t="shared" si="162"/>
        <v/>
      </c>
      <c r="N1180" s="11" t="str">
        <f t="shared" si="165"/>
        <v/>
      </c>
      <c r="O1180" s="10" t="str">
        <f t="shared" si="166"/>
        <v/>
      </c>
      <c r="P1180" s="39" t="str">
        <f t="shared" si="167"/>
        <v/>
      </c>
      <c r="Q1180" s="13" t="str">
        <f t="shared" si="163"/>
        <v/>
      </c>
      <c r="R1180" s="13" t="str">
        <f t="shared" si="168"/>
        <v/>
      </c>
      <c r="S1180" s="13" t="str">
        <f t="shared" si="164"/>
        <v/>
      </c>
      <c r="T1180" s="22" t="str">
        <f>IF(R1180&lt;&gt;"",VLOOKUP(P1180,Constants!$D$3:$E$10,2),"")</f>
        <v/>
      </c>
    </row>
    <row r="1181" spans="12:20" x14ac:dyDescent="0.25">
      <c r="L1181" s="10" t="str">
        <f t="shared" si="161"/>
        <v/>
      </c>
      <c r="M1181" s="10" t="str">
        <f t="shared" si="162"/>
        <v/>
      </c>
      <c r="N1181" s="11" t="str">
        <f t="shared" si="165"/>
        <v/>
      </c>
      <c r="O1181" s="10" t="str">
        <f t="shared" si="166"/>
        <v/>
      </c>
      <c r="P1181" s="39" t="str">
        <f t="shared" si="167"/>
        <v/>
      </c>
      <c r="Q1181" s="13" t="str">
        <f t="shared" si="163"/>
        <v/>
      </c>
      <c r="R1181" s="13" t="str">
        <f t="shared" si="168"/>
        <v/>
      </c>
      <c r="S1181" s="13" t="str">
        <f t="shared" si="164"/>
        <v/>
      </c>
      <c r="T1181" s="22" t="str">
        <f>IF(R1181&lt;&gt;"",VLOOKUP(P1181,Constants!$D$3:$E$10,2),"")</f>
        <v/>
      </c>
    </row>
    <row r="1182" spans="12:20" x14ac:dyDescent="0.25">
      <c r="L1182" s="10" t="str">
        <f t="shared" si="161"/>
        <v/>
      </c>
      <c r="M1182" s="10" t="str">
        <f t="shared" si="162"/>
        <v/>
      </c>
      <c r="N1182" s="11" t="str">
        <f t="shared" si="165"/>
        <v/>
      </c>
      <c r="O1182" s="10" t="str">
        <f t="shared" si="166"/>
        <v/>
      </c>
      <c r="P1182" s="39" t="str">
        <f t="shared" si="167"/>
        <v/>
      </c>
      <c r="Q1182" s="13" t="str">
        <f t="shared" si="163"/>
        <v/>
      </c>
      <c r="R1182" s="13" t="str">
        <f t="shared" si="168"/>
        <v/>
      </c>
      <c r="S1182" s="13" t="str">
        <f t="shared" si="164"/>
        <v/>
      </c>
      <c r="T1182" s="22" t="str">
        <f>IF(R1182&lt;&gt;"",VLOOKUP(P1182,Constants!$D$3:$E$10,2),"")</f>
        <v/>
      </c>
    </row>
    <row r="1183" spans="12:20" x14ac:dyDescent="0.25">
      <c r="L1183" s="10" t="str">
        <f t="shared" si="161"/>
        <v/>
      </c>
      <c r="M1183" s="10" t="str">
        <f t="shared" si="162"/>
        <v/>
      </c>
      <c r="N1183" s="11" t="str">
        <f t="shared" si="165"/>
        <v/>
      </c>
      <c r="O1183" s="10" t="str">
        <f t="shared" si="166"/>
        <v/>
      </c>
      <c r="P1183" s="39" t="str">
        <f t="shared" si="167"/>
        <v/>
      </c>
      <c r="Q1183" s="13" t="str">
        <f t="shared" si="163"/>
        <v/>
      </c>
      <c r="R1183" s="13" t="str">
        <f t="shared" si="168"/>
        <v/>
      </c>
      <c r="S1183" s="13" t="str">
        <f t="shared" si="164"/>
        <v/>
      </c>
      <c r="T1183" s="22" t="str">
        <f>IF(R1183&lt;&gt;"",VLOOKUP(P1183,Constants!$D$3:$E$10,2),"")</f>
        <v/>
      </c>
    </row>
    <row r="1184" spans="12:20" x14ac:dyDescent="0.25">
      <c r="L1184" s="10" t="str">
        <f t="shared" si="161"/>
        <v/>
      </c>
      <c r="M1184" s="10" t="str">
        <f t="shared" si="162"/>
        <v/>
      </c>
      <c r="N1184" s="11" t="str">
        <f t="shared" si="165"/>
        <v/>
      </c>
      <c r="O1184" s="10" t="str">
        <f t="shared" si="166"/>
        <v/>
      </c>
      <c r="P1184" s="39" t="str">
        <f t="shared" si="167"/>
        <v/>
      </c>
      <c r="Q1184" s="13" t="str">
        <f t="shared" si="163"/>
        <v/>
      </c>
      <c r="R1184" s="13" t="str">
        <f t="shared" si="168"/>
        <v/>
      </c>
      <c r="S1184" s="13" t="str">
        <f t="shared" si="164"/>
        <v/>
      </c>
      <c r="T1184" s="22" t="str">
        <f>IF(R1184&lt;&gt;"",VLOOKUP(P1184,Constants!$D$3:$E$10,2),"")</f>
        <v/>
      </c>
    </row>
    <row r="1185" spans="12:20" x14ac:dyDescent="0.25">
      <c r="L1185" s="10" t="str">
        <f t="shared" si="161"/>
        <v/>
      </c>
      <c r="M1185" s="10" t="str">
        <f t="shared" si="162"/>
        <v/>
      </c>
      <c r="N1185" s="11" t="str">
        <f t="shared" si="165"/>
        <v/>
      </c>
      <c r="O1185" s="10" t="str">
        <f t="shared" si="166"/>
        <v/>
      </c>
      <c r="P1185" s="39" t="str">
        <f t="shared" si="167"/>
        <v/>
      </c>
      <c r="Q1185" s="13" t="str">
        <f t="shared" si="163"/>
        <v/>
      </c>
      <c r="R1185" s="13" t="str">
        <f t="shared" si="168"/>
        <v/>
      </c>
      <c r="S1185" s="13" t="str">
        <f t="shared" si="164"/>
        <v/>
      </c>
      <c r="T1185" s="22" t="str">
        <f>IF(R1185&lt;&gt;"",VLOOKUP(P1185,Constants!$D$3:$E$10,2),"")</f>
        <v/>
      </c>
    </row>
    <row r="1186" spans="12:20" x14ac:dyDescent="0.25">
      <c r="L1186" s="10" t="str">
        <f t="shared" si="161"/>
        <v/>
      </c>
      <c r="M1186" s="10" t="str">
        <f t="shared" si="162"/>
        <v/>
      </c>
      <c r="N1186" s="11" t="str">
        <f t="shared" si="165"/>
        <v/>
      </c>
      <c r="O1186" s="10" t="str">
        <f t="shared" si="166"/>
        <v/>
      </c>
      <c r="P1186" s="39" t="str">
        <f t="shared" si="167"/>
        <v/>
      </c>
      <c r="Q1186" s="13" t="str">
        <f t="shared" si="163"/>
        <v/>
      </c>
      <c r="R1186" s="13" t="str">
        <f t="shared" si="168"/>
        <v/>
      </c>
      <c r="S1186" s="13" t="str">
        <f t="shared" si="164"/>
        <v/>
      </c>
      <c r="T1186" s="22" t="str">
        <f>IF(R1186&lt;&gt;"",VLOOKUP(P1186,Constants!$D$3:$E$10,2),"")</f>
        <v/>
      </c>
    </row>
    <row r="1187" spans="12:20" x14ac:dyDescent="0.25">
      <c r="L1187" s="10" t="str">
        <f t="shared" si="161"/>
        <v/>
      </c>
      <c r="M1187" s="10" t="str">
        <f t="shared" si="162"/>
        <v/>
      </c>
      <c r="N1187" s="11" t="str">
        <f t="shared" si="165"/>
        <v/>
      </c>
      <c r="O1187" s="10" t="str">
        <f t="shared" si="166"/>
        <v/>
      </c>
      <c r="P1187" s="39" t="str">
        <f t="shared" si="167"/>
        <v/>
      </c>
      <c r="Q1187" s="13" t="str">
        <f t="shared" si="163"/>
        <v/>
      </c>
      <c r="R1187" s="13" t="str">
        <f t="shared" si="168"/>
        <v/>
      </c>
      <c r="S1187" s="13" t="str">
        <f t="shared" si="164"/>
        <v/>
      </c>
      <c r="T1187" s="22" t="str">
        <f>IF(R1187&lt;&gt;"",VLOOKUP(P1187,Constants!$D$3:$E$10,2),"")</f>
        <v/>
      </c>
    </row>
    <row r="1188" spans="12:20" x14ac:dyDescent="0.25">
      <c r="L1188" s="10" t="str">
        <f t="shared" si="161"/>
        <v/>
      </c>
      <c r="M1188" s="10" t="str">
        <f t="shared" si="162"/>
        <v/>
      </c>
      <c r="N1188" s="11" t="str">
        <f t="shared" si="165"/>
        <v/>
      </c>
      <c r="O1188" s="10" t="str">
        <f t="shared" si="166"/>
        <v/>
      </c>
      <c r="P1188" s="39" t="str">
        <f t="shared" si="167"/>
        <v/>
      </c>
      <c r="Q1188" s="13" t="str">
        <f t="shared" si="163"/>
        <v/>
      </c>
      <c r="R1188" s="13" t="str">
        <f t="shared" si="168"/>
        <v/>
      </c>
      <c r="S1188" s="13" t="str">
        <f t="shared" si="164"/>
        <v/>
      </c>
      <c r="T1188" s="22" t="str">
        <f>IF(R1188&lt;&gt;"",VLOOKUP(P1188,Constants!$D$3:$E$10,2),"")</f>
        <v/>
      </c>
    </row>
    <row r="1189" spans="12:20" x14ac:dyDescent="0.25">
      <c r="L1189" s="10" t="str">
        <f t="shared" si="161"/>
        <v/>
      </c>
      <c r="M1189" s="10" t="str">
        <f t="shared" si="162"/>
        <v/>
      </c>
      <c r="N1189" s="11" t="str">
        <f t="shared" si="165"/>
        <v/>
      </c>
      <c r="O1189" s="10" t="str">
        <f t="shared" si="166"/>
        <v/>
      </c>
      <c r="P1189" s="39" t="str">
        <f t="shared" si="167"/>
        <v/>
      </c>
      <c r="Q1189" s="13" t="str">
        <f t="shared" si="163"/>
        <v/>
      </c>
      <c r="R1189" s="13" t="str">
        <f t="shared" si="168"/>
        <v/>
      </c>
      <c r="S1189" s="13" t="str">
        <f t="shared" si="164"/>
        <v/>
      </c>
      <c r="T1189" s="22" t="str">
        <f>IF(R1189&lt;&gt;"",VLOOKUP(P1189,Constants!$D$3:$E$10,2),"")</f>
        <v/>
      </c>
    </row>
    <row r="1190" spans="12:20" x14ac:dyDescent="0.25">
      <c r="L1190" s="10" t="str">
        <f t="shared" si="161"/>
        <v/>
      </c>
      <c r="M1190" s="10" t="str">
        <f t="shared" si="162"/>
        <v/>
      </c>
      <c r="N1190" s="11" t="str">
        <f t="shared" si="165"/>
        <v/>
      </c>
      <c r="O1190" s="10" t="str">
        <f t="shared" si="166"/>
        <v/>
      </c>
      <c r="P1190" s="39" t="str">
        <f t="shared" si="167"/>
        <v/>
      </c>
      <c r="Q1190" s="13" t="str">
        <f t="shared" si="163"/>
        <v/>
      </c>
      <c r="R1190" s="13" t="str">
        <f t="shared" si="168"/>
        <v/>
      </c>
      <c r="S1190" s="13" t="str">
        <f t="shared" si="164"/>
        <v/>
      </c>
      <c r="T1190" s="22" t="str">
        <f>IF(R1190&lt;&gt;"",VLOOKUP(P1190,Constants!$D$3:$E$10,2),"")</f>
        <v/>
      </c>
    </row>
    <row r="1191" spans="12:20" x14ac:dyDescent="0.25">
      <c r="L1191" s="10" t="str">
        <f t="shared" si="161"/>
        <v/>
      </c>
      <c r="M1191" s="10" t="str">
        <f t="shared" si="162"/>
        <v/>
      </c>
      <c r="N1191" s="11" t="str">
        <f t="shared" si="165"/>
        <v/>
      </c>
      <c r="O1191" s="10" t="str">
        <f t="shared" si="166"/>
        <v/>
      </c>
      <c r="P1191" s="39" t="str">
        <f t="shared" si="167"/>
        <v/>
      </c>
      <c r="Q1191" s="13" t="str">
        <f t="shared" si="163"/>
        <v/>
      </c>
      <c r="R1191" s="13" t="str">
        <f t="shared" si="168"/>
        <v/>
      </c>
      <c r="S1191" s="13" t="str">
        <f t="shared" si="164"/>
        <v/>
      </c>
      <c r="T1191" s="22" t="str">
        <f>IF(R1191&lt;&gt;"",VLOOKUP(P1191,Constants!$D$3:$E$10,2),"")</f>
        <v/>
      </c>
    </row>
    <row r="1192" spans="12:20" x14ac:dyDescent="0.25">
      <c r="L1192" s="10" t="str">
        <f t="shared" si="161"/>
        <v/>
      </c>
      <c r="M1192" s="10" t="str">
        <f t="shared" si="162"/>
        <v/>
      </c>
      <c r="N1192" s="11" t="str">
        <f t="shared" si="165"/>
        <v/>
      </c>
      <c r="O1192" s="10" t="str">
        <f t="shared" si="166"/>
        <v/>
      </c>
      <c r="P1192" s="39" t="str">
        <f t="shared" si="167"/>
        <v/>
      </c>
      <c r="Q1192" s="13" t="str">
        <f t="shared" si="163"/>
        <v/>
      </c>
      <c r="R1192" s="13" t="str">
        <f t="shared" si="168"/>
        <v/>
      </c>
      <c r="S1192" s="13" t="str">
        <f t="shared" si="164"/>
        <v/>
      </c>
      <c r="T1192" s="22" t="str">
        <f>IF(R1192&lt;&gt;"",VLOOKUP(P1192,Constants!$D$3:$E$10,2),"")</f>
        <v/>
      </c>
    </row>
    <row r="1193" spans="12:20" x14ac:dyDescent="0.25">
      <c r="L1193" s="10" t="str">
        <f t="shared" si="161"/>
        <v/>
      </c>
      <c r="M1193" s="10" t="str">
        <f t="shared" si="162"/>
        <v/>
      </c>
      <c r="N1193" s="11" t="str">
        <f t="shared" si="165"/>
        <v/>
      </c>
      <c r="O1193" s="10" t="str">
        <f t="shared" si="166"/>
        <v/>
      </c>
      <c r="P1193" s="39" t="str">
        <f t="shared" si="167"/>
        <v/>
      </c>
      <c r="Q1193" s="13" t="str">
        <f t="shared" si="163"/>
        <v/>
      </c>
      <c r="R1193" s="13" t="str">
        <f t="shared" si="168"/>
        <v/>
      </c>
      <c r="S1193" s="13" t="str">
        <f t="shared" si="164"/>
        <v/>
      </c>
      <c r="T1193" s="22" t="str">
        <f>IF(R1193&lt;&gt;"",VLOOKUP(P1193,Constants!$D$3:$E$10,2),"")</f>
        <v/>
      </c>
    </row>
    <row r="1194" spans="12:20" x14ac:dyDescent="0.25">
      <c r="L1194" s="10" t="str">
        <f t="shared" si="161"/>
        <v/>
      </c>
      <c r="M1194" s="10" t="str">
        <f t="shared" si="162"/>
        <v/>
      </c>
      <c r="N1194" s="11" t="str">
        <f t="shared" si="165"/>
        <v/>
      </c>
      <c r="O1194" s="10" t="str">
        <f t="shared" si="166"/>
        <v/>
      </c>
      <c r="P1194" s="39" t="str">
        <f t="shared" si="167"/>
        <v/>
      </c>
      <c r="Q1194" s="13" t="str">
        <f t="shared" si="163"/>
        <v/>
      </c>
      <c r="R1194" s="13" t="str">
        <f t="shared" si="168"/>
        <v/>
      </c>
      <c r="S1194" s="13" t="str">
        <f t="shared" si="164"/>
        <v/>
      </c>
      <c r="T1194" s="22" t="str">
        <f>IF(R1194&lt;&gt;"",VLOOKUP(P1194,Constants!$D$3:$E$10,2),"")</f>
        <v/>
      </c>
    </row>
    <row r="1195" spans="12:20" x14ac:dyDescent="0.25">
      <c r="L1195" s="10" t="str">
        <f t="shared" si="161"/>
        <v/>
      </c>
      <c r="M1195" s="10" t="str">
        <f t="shared" si="162"/>
        <v/>
      </c>
      <c r="N1195" s="11" t="str">
        <f t="shared" si="165"/>
        <v/>
      </c>
      <c r="O1195" s="10" t="str">
        <f t="shared" si="166"/>
        <v/>
      </c>
      <c r="P1195" s="39" t="str">
        <f t="shared" si="167"/>
        <v/>
      </c>
      <c r="Q1195" s="13" t="str">
        <f t="shared" si="163"/>
        <v/>
      </c>
      <c r="R1195" s="13" t="str">
        <f t="shared" si="168"/>
        <v/>
      </c>
      <c r="S1195" s="13" t="str">
        <f t="shared" si="164"/>
        <v/>
      </c>
      <c r="T1195" s="22" t="str">
        <f>IF(R1195&lt;&gt;"",VLOOKUP(P1195,Constants!$D$3:$E$10,2),"")</f>
        <v/>
      </c>
    </row>
    <row r="1196" spans="12:20" x14ac:dyDescent="0.25">
      <c r="L1196" s="10" t="str">
        <f t="shared" si="161"/>
        <v/>
      </c>
      <c r="M1196" s="10" t="str">
        <f t="shared" si="162"/>
        <v/>
      </c>
      <c r="N1196" s="11" t="str">
        <f t="shared" si="165"/>
        <v/>
      </c>
      <c r="O1196" s="10" t="str">
        <f t="shared" si="166"/>
        <v/>
      </c>
      <c r="P1196" s="39" t="str">
        <f t="shared" si="167"/>
        <v/>
      </c>
      <c r="Q1196" s="13" t="str">
        <f t="shared" si="163"/>
        <v/>
      </c>
      <c r="R1196" s="13" t="str">
        <f t="shared" si="168"/>
        <v/>
      </c>
      <c r="S1196" s="13" t="str">
        <f t="shared" si="164"/>
        <v/>
      </c>
      <c r="T1196" s="22" t="str">
        <f>IF(R1196&lt;&gt;"",VLOOKUP(P1196,Constants!$D$3:$E$10,2),"")</f>
        <v/>
      </c>
    </row>
    <row r="1197" spans="12:20" x14ac:dyDescent="0.25">
      <c r="L1197" s="10" t="str">
        <f t="shared" si="161"/>
        <v/>
      </c>
      <c r="M1197" s="10" t="str">
        <f t="shared" si="162"/>
        <v/>
      </c>
      <c r="N1197" s="11" t="str">
        <f t="shared" si="165"/>
        <v/>
      </c>
      <c r="O1197" s="10" t="str">
        <f t="shared" si="166"/>
        <v/>
      </c>
      <c r="P1197" s="39" t="str">
        <f t="shared" si="167"/>
        <v/>
      </c>
      <c r="Q1197" s="13" t="str">
        <f t="shared" si="163"/>
        <v/>
      </c>
      <c r="R1197" s="13" t="str">
        <f t="shared" si="168"/>
        <v/>
      </c>
      <c r="S1197" s="13" t="str">
        <f t="shared" si="164"/>
        <v/>
      </c>
      <c r="T1197" s="22" t="str">
        <f>IF(R1197&lt;&gt;"",VLOOKUP(P1197,Constants!$D$3:$E$10,2),"")</f>
        <v/>
      </c>
    </row>
    <row r="1198" spans="12:20" x14ac:dyDescent="0.25">
      <c r="L1198" s="10" t="str">
        <f t="shared" si="161"/>
        <v/>
      </c>
      <c r="M1198" s="10" t="str">
        <f t="shared" si="162"/>
        <v/>
      </c>
      <c r="N1198" s="11" t="str">
        <f t="shared" si="165"/>
        <v/>
      </c>
      <c r="O1198" s="10" t="str">
        <f t="shared" si="166"/>
        <v/>
      </c>
      <c r="P1198" s="39" t="str">
        <f t="shared" si="167"/>
        <v/>
      </c>
      <c r="Q1198" s="13" t="str">
        <f t="shared" si="163"/>
        <v/>
      </c>
      <c r="R1198" s="13" t="str">
        <f t="shared" si="168"/>
        <v/>
      </c>
      <c r="S1198" s="13" t="str">
        <f t="shared" si="164"/>
        <v/>
      </c>
      <c r="T1198" s="22" t="str">
        <f>IF(R1198&lt;&gt;"",VLOOKUP(P1198,Constants!$D$3:$E$10,2),"")</f>
        <v/>
      </c>
    </row>
    <row r="1199" spans="12:20" x14ac:dyDescent="0.25">
      <c r="L1199" s="10" t="str">
        <f t="shared" si="161"/>
        <v/>
      </c>
      <c r="M1199" s="10" t="str">
        <f t="shared" si="162"/>
        <v/>
      </c>
      <c r="N1199" s="11" t="str">
        <f t="shared" si="165"/>
        <v/>
      </c>
      <c r="O1199" s="10" t="str">
        <f t="shared" si="166"/>
        <v/>
      </c>
      <c r="P1199" s="39" t="str">
        <f t="shared" si="167"/>
        <v/>
      </c>
      <c r="Q1199" s="13" t="str">
        <f t="shared" si="163"/>
        <v/>
      </c>
      <c r="R1199" s="13" t="str">
        <f t="shared" si="168"/>
        <v/>
      </c>
      <c r="S1199" s="13" t="str">
        <f t="shared" si="164"/>
        <v/>
      </c>
      <c r="T1199" s="22" t="str">
        <f>IF(R1199&lt;&gt;"",VLOOKUP(P1199,Constants!$D$3:$E$10,2),"")</f>
        <v/>
      </c>
    </row>
    <row r="1200" spans="12:20" x14ac:dyDescent="0.25">
      <c r="L1200" s="10" t="str">
        <f t="shared" si="161"/>
        <v/>
      </c>
      <c r="M1200" s="10" t="str">
        <f t="shared" si="162"/>
        <v/>
      </c>
      <c r="N1200" s="11" t="str">
        <f t="shared" si="165"/>
        <v/>
      </c>
      <c r="O1200" s="10" t="str">
        <f t="shared" si="166"/>
        <v/>
      </c>
      <c r="P1200" s="39" t="str">
        <f t="shared" si="167"/>
        <v/>
      </c>
      <c r="Q1200" s="13" t="str">
        <f t="shared" si="163"/>
        <v/>
      </c>
      <c r="R1200" s="13" t="str">
        <f t="shared" si="168"/>
        <v/>
      </c>
      <c r="S1200" s="13" t="str">
        <f t="shared" si="164"/>
        <v/>
      </c>
      <c r="T1200" s="22" t="str">
        <f>IF(R1200&lt;&gt;"",VLOOKUP(P1200,Constants!$D$3:$E$10,2),"")</f>
        <v/>
      </c>
    </row>
    <row r="1201" spans="12:20" x14ac:dyDescent="0.25">
      <c r="L1201" s="10" t="str">
        <f t="shared" si="161"/>
        <v/>
      </c>
      <c r="M1201" s="10" t="str">
        <f t="shared" si="162"/>
        <v/>
      </c>
      <c r="N1201" s="11" t="str">
        <f t="shared" si="165"/>
        <v/>
      </c>
      <c r="O1201" s="10" t="str">
        <f t="shared" si="166"/>
        <v/>
      </c>
      <c r="P1201" s="39" t="str">
        <f t="shared" si="167"/>
        <v/>
      </c>
      <c r="Q1201" s="13" t="str">
        <f t="shared" si="163"/>
        <v/>
      </c>
      <c r="R1201" s="13" t="str">
        <f t="shared" si="168"/>
        <v/>
      </c>
      <c r="S1201" s="13" t="str">
        <f t="shared" si="164"/>
        <v/>
      </c>
      <c r="T1201" s="22" t="str">
        <f>IF(R1201&lt;&gt;"",VLOOKUP(P1201,Constants!$D$3:$E$10,2),"")</f>
        <v/>
      </c>
    </row>
    <row r="1202" spans="12:20" x14ac:dyDescent="0.25">
      <c r="L1202" s="10" t="str">
        <f t="shared" si="161"/>
        <v/>
      </c>
      <c r="M1202" s="10" t="str">
        <f t="shared" si="162"/>
        <v/>
      </c>
      <c r="N1202" s="11" t="str">
        <f t="shared" si="165"/>
        <v/>
      </c>
      <c r="O1202" s="10" t="str">
        <f t="shared" si="166"/>
        <v/>
      </c>
      <c r="P1202" s="39" t="str">
        <f t="shared" si="167"/>
        <v/>
      </c>
      <c r="Q1202" s="13" t="str">
        <f t="shared" si="163"/>
        <v/>
      </c>
      <c r="R1202" s="13" t="str">
        <f t="shared" si="168"/>
        <v/>
      </c>
      <c r="S1202" s="13" t="str">
        <f t="shared" si="164"/>
        <v/>
      </c>
      <c r="T1202" s="22" t="str">
        <f>IF(R1202&lt;&gt;"",VLOOKUP(P1202,Constants!$D$3:$E$10,2),"")</f>
        <v/>
      </c>
    </row>
    <row r="1203" spans="12:20" x14ac:dyDescent="0.25">
      <c r="L1203" s="10" t="str">
        <f t="shared" si="161"/>
        <v/>
      </c>
      <c r="M1203" s="10" t="str">
        <f t="shared" si="162"/>
        <v/>
      </c>
      <c r="N1203" s="11" t="str">
        <f t="shared" si="165"/>
        <v/>
      </c>
      <c r="O1203" s="10" t="str">
        <f t="shared" si="166"/>
        <v/>
      </c>
      <c r="P1203" s="39" t="str">
        <f t="shared" si="167"/>
        <v/>
      </c>
      <c r="Q1203" s="13" t="str">
        <f t="shared" si="163"/>
        <v/>
      </c>
      <c r="R1203" s="13" t="str">
        <f t="shared" si="168"/>
        <v/>
      </c>
      <c r="S1203" s="13" t="str">
        <f t="shared" si="164"/>
        <v/>
      </c>
      <c r="T1203" s="22" t="str">
        <f>IF(R1203&lt;&gt;"",VLOOKUP(P1203,Constants!$D$3:$E$10,2),"")</f>
        <v/>
      </c>
    </row>
    <row r="1204" spans="12:20" x14ac:dyDescent="0.25">
      <c r="L1204" s="10" t="str">
        <f t="shared" si="161"/>
        <v/>
      </c>
      <c r="M1204" s="10" t="str">
        <f t="shared" si="162"/>
        <v/>
      </c>
      <c r="N1204" s="11" t="str">
        <f t="shared" si="165"/>
        <v/>
      </c>
      <c r="O1204" s="10" t="str">
        <f t="shared" si="166"/>
        <v/>
      </c>
      <c r="P1204" s="39" t="str">
        <f t="shared" si="167"/>
        <v/>
      </c>
      <c r="Q1204" s="13" t="str">
        <f t="shared" si="163"/>
        <v/>
      </c>
      <c r="R1204" s="13" t="str">
        <f t="shared" si="168"/>
        <v/>
      </c>
      <c r="S1204" s="13" t="str">
        <f t="shared" si="164"/>
        <v/>
      </c>
      <c r="T1204" s="22" t="str">
        <f>IF(R1204&lt;&gt;"",VLOOKUP(P1204,Constants!$D$3:$E$10,2),"")</f>
        <v/>
      </c>
    </row>
    <row r="1205" spans="12:20" x14ac:dyDescent="0.25">
      <c r="L1205" s="10" t="str">
        <f t="shared" si="161"/>
        <v/>
      </c>
      <c r="M1205" s="10" t="str">
        <f t="shared" si="162"/>
        <v/>
      </c>
      <c r="N1205" s="11" t="str">
        <f t="shared" si="165"/>
        <v/>
      </c>
      <c r="O1205" s="10" t="str">
        <f t="shared" si="166"/>
        <v/>
      </c>
      <c r="P1205" s="39" t="str">
        <f t="shared" si="167"/>
        <v/>
      </c>
      <c r="Q1205" s="13" t="str">
        <f t="shared" si="163"/>
        <v/>
      </c>
      <c r="R1205" s="13" t="str">
        <f t="shared" si="168"/>
        <v/>
      </c>
      <c r="S1205" s="13" t="str">
        <f t="shared" si="164"/>
        <v/>
      </c>
      <c r="T1205" s="22" t="str">
        <f>IF(R1205&lt;&gt;"",VLOOKUP(P1205,Constants!$D$3:$E$10,2),"")</f>
        <v/>
      </c>
    </row>
    <row r="1206" spans="12:20" x14ac:dyDescent="0.25">
      <c r="L1206" s="10" t="str">
        <f t="shared" si="161"/>
        <v/>
      </c>
      <c r="M1206" s="10" t="str">
        <f t="shared" si="162"/>
        <v/>
      </c>
      <c r="N1206" s="11" t="str">
        <f t="shared" si="165"/>
        <v/>
      </c>
      <c r="O1206" s="10" t="str">
        <f t="shared" si="166"/>
        <v/>
      </c>
      <c r="P1206" s="39" t="str">
        <f t="shared" si="167"/>
        <v/>
      </c>
      <c r="Q1206" s="13" t="str">
        <f t="shared" si="163"/>
        <v/>
      </c>
      <c r="R1206" s="13" t="str">
        <f t="shared" si="168"/>
        <v/>
      </c>
      <c r="S1206" s="13" t="str">
        <f t="shared" si="164"/>
        <v/>
      </c>
      <c r="T1206" s="22" t="str">
        <f>IF(R1206&lt;&gt;"",VLOOKUP(P1206,Constants!$D$3:$E$10,2),"")</f>
        <v/>
      </c>
    </row>
    <row r="1207" spans="12:20" x14ac:dyDescent="0.25">
      <c r="L1207" s="10" t="str">
        <f t="shared" si="161"/>
        <v/>
      </c>
      <c r="M1207" s="10" t="str">
        <f t="shared" si="162"/>
        <v/>
      </c>
      <c r="N1207" s="11" t="str">
        <f t="shared" si="165"/>
        <v/>
      </c>
      <c r="O1207" s="10" t="str">
        <f t="shared" si="166"/>
        <v/>
      </c>
      <c r="P1207" s="39" t="str">
        <f t="shared" si="167"/>
        <v/>
      </c>
      <c r="Q1207" s="13" t="str">
        <f t="shared" si="163"/>
        <v/>
      </c>
      <c r="R1207" s="13" t="str">
        <f t="shared" si="168"/>
        <v/>
      </c>
      <c r="S1207" s="13" t="str">
        <f t="shared" si="164"/>
        <v/>
      </c>
      <c r="T1207" s="22" t="str">
        <f>IF(R1207&lt;&gt;"",VLOOKUP(P1207,Constants!$D$3:$E$10,2),"")</f>
        <v/>
      </c>
    </row>
    <row r="1208" spans="12:20" x14ac:dyDescent="0.25">
      <c r="L1208" s="10" t="str">
        <f t="shared" si="161"/>
        <v/>
      </c>
      <c r="M1208" s="10" t="str">
        <f t="shared" si="162"/>
        <v/>
      </c>
      <c r="N1208" s="11" t="str">
        <f t="shared" si="165"/>
        <v/>
      </c>
      <c r="O1208" s="10" t="str">
        <f t="shared" si="166"/>
        <v/>
      </c>
      <c r="P1208" s="39" t="str">
        <f t="shared" si="167"/>
        <v/>
      </c>
      <c r="Q1208" s="13" t="str">
        <f t="shared" si="163"/>
        <v/>
      </c>
      <c r="R1208" s="13" t="str">
        <f t="shared" si="168"/>
        <v/>
      </c>
      <c r="S1208" s="13" t="str">
        <f t="shared" si="164"/>
        <v/>
      </c>
      <c r="T1208" s="22" t="str">
        <f>IF(R1208&lt;&gt;"",VLOOKUP(P1208,Constants!$D$3:$E$10,2),"")</f>
        <v/>
      </c>
    </row>
    <row r="1209" spans="12:20" x14ac:dyDescent="0.25">
      <c r="L1209" s="10" t="str">
        <f t="shared" si="161"/>
        <v/>
      </c>
      <c r="M1209" s="10" t="str">
        <f t="shared" si="162"/>
        <v/>
      </c>
      <c r="N1209" s="11" t="str">
        <f t="shared" si="165"/>
        <v/>
      </c>
      <c r="O1209" s="10" t="str">
        <f t="shared" si="166"/>
        <v/>
      </c>
      <c r="P1209" s="39" t="str">
        <f t="shared" si="167"/>
        <v/>
      </c>
      <c r="Q1209" s="13" t="str">
        <f t="shared" si="163"/>
        <v/>
      </c>
      <c r="R1209" s="13" t="str">
        <f t="shared" si="168"/>
        <v/>
      </c>
      <c r="S1209" s="13" t="str">
        <f t="shared" si="164"/>
        <v/>
      </c>
      <c r="T1209" s="22" t="str">
        <f>IF(R1209&lt;&gt;"",VLOOKUP(P1209,Constants!$D$3:$E$10,2),"")</f>
        <v/>
      </c>
    </row>
    <row r="1210" spans="12:20" x14ac:dyDescent="0.25">
      <c r="L1210" s="10" t="str">
        <f t="shared" si="161"/>
        <v/>
      </c>
      <c r="M1210" s="10" t="str">
        <f t="shared" si="162"/>
        <v/>
      </c>
      <c r="N1210" s="11" t="str">
        <f t="shared" si="165"/>
        <v/>
      </c>
      <c r="O1210" s="10" t="str">
        <f t="shared" si="166"/>
        <v/>
      </c>
      <c r="P1210" s="39" t="str">
        <f t="shared" si="167"/>
        <v/>
      </c>
      <c r="Q1210" s="13" t="str">
        <f t="shared" si="163"/>
        <v/>
      </c>
      <c r="R1210" s="13" t="str">
        <f t="shared" si="168"/>
        <v/>
      </c>
      <c r="S1210" s="13" t="str">
        <f t="shared" si="164"/>
        <v/>
      </c>
      <c r="T1210" s="22" t="str">
        <f>IF(R1210&lt;&gt;"",VLOOKUP(P1210,Constants!$D$3:$E$10,2),"")</f>
        <v/>
      </c>
    </row>
    <row r="1211" spans="12:20" x14ac:dyDescent="0.25">
      <c r="L1211" s="10" t="str">
        <f t="shared" si="161"/>
        <v/>
      </c>
      <c r="M1211" s="10" t="str">
        <f t="shared" si="162"/>
        <v/>
      </c>
      <c r="N1211" s="11" t="str">
        <f t="shared" si="165"/>
        <v/>
      </c>
      <c r="O1211" s="10" t="str">
        <f t="shared" si="166"/>
        <v/>
      </c>
      <c r="P1211" s="39" t="str">
        <f t="shared" si="167"/>
        <v/>
      </c>
      <c r="Q1211" s="13" t="str">
        <f t="shared" si="163"/>
        <v/>
      </c>
      <c r="R1211" s="13" t="str">
        <f t="shared" si="168"/>
        <v/>
      </c>
      <c r="S1211" s="13" t="str">
        <f t="shared" si="164"/>
        <v/>
      </c>
      <c r="T1211" s="22" t="str">
        <f>IF(R1211&lt;&gt;"",VLOOKUP(P1211,Constants!$D$3:$E$10,2),"")</f>
        <v/>
      </c>
    </row>
    <row r="1212" spans="12:20" x14ac:dyDescent="0.25">
      <c r="L1212" s="10" t="str">
        <f t="shared" si="161"/>
        <v/>
      </c>
      <c r="M1212" s="10" t="str">
        <f t="shared" si="162"/>
        <v/>
      </c>
      <c r="N1212" s="11" t="str">
        <f t="shared" si="165"/>
        <v/>
      </c>
      <c r="O1212" s="10" t="str">
        <f t="shared" si="166"/>
        <v/>
      </c>
      <c r="P1212" s="39" t="str">
        <f t="shared" si="167"/>
        <v/>
      </c>
      <c r="Q1212" s="13" t="str">
        <f t="shared" si="163"/>
        <v/>
      </c>
      <c r="R1212" s="13" t="str">
        <f t="shared" si="168"/>
        <v/>
      </c>
      <c r="S1212" s="13" t="str">
        <f t="shared" si="164"/>
        <v/>
      </c>
      <c r="T1212" s="22" t="str">
        <f>IF(R1212&lt;&gt;"",VLOOKUP(P1212,Constants!$D$3:$E$10,2),"")</f>
        <v/>
      </c>
    </row>
    <row r="1213" spans="12:20" x14ac:dyDescent="0.25">
      <c r="L1213" s="10" t="str">
        <f t="shared" si="161"/>
        <v/>
      </c>
      <c r="M1213" s="10" t="str">
        <f t="shared" si="162"/>
        <v/>
      </c>
      <c r="N1213" s="11" t="str">
        <f t="shared" si="165"/>
        <v/>
      </c>
      <c r="O1213" s="10" t="str">
        <f t="shared" si="166"/>
        <v/>
      </c>
      <c r="P1213" s="39" t="str">
        <f t="shared" si="167"/>
        <v/>
      </c>
      <c r="Q1213" s="13" t="str">
        <f t="shared" si="163"/>
        <v/>
      </c>
      <c r="R1213" s="13" t="str">
        <f t="shared" si="168"/>
        <v/>
      </c>
      <c r="S1213" s="13" t="str">
        <f t="shared" si="164"/>
        <v/>
      </c>
      <c r="T1213" s="22" t="str">
        <f>IF(R1213&lt;&gt;"",VLOOKUP(P1213,Constants!$D$3:$E$10,2),"")</f>
        <v/>
      </c>
    </row>
    <row r="1214" spans="12:20" x14ac:dyDescent="0.25">
      <c r="L1214" s="10" t="str">
        <f t="shared" si="161"/>
        <v/>
      </c>
      <c r="M1214" s="10" t="str">
        <f t="shared" si="162"/>
        <v/>
      </c>
      <c r="N1214" s="11" t="str">
        <f t="shared" si="165"/>
        <v/>
      </c>
      <c r="O1214" s="10" t="str">
        <f t="shared" si="166"/>
        <v/>
      </c>
      <c r="P1214" s="39" t="str">
        <f t="shared" si="167"/>
        <v/>
      </c>
      <c r="Q1214" s="13" t="str">
        <f t="shared" si="163"/>
        <v/>
      </c>
      <c r="R1214" s="13" t="str">
        <f t="shared" si="168"/>
        <v/>
      </c>
      <c r="S1214" s="13" t="str">
        <f t="shared" si="164"/>
        <v/>
      </c>
      <c r="T1214" s="22" t="str">
        <f>IF(R1214&lt;&gt;"",VLOOKUP(P1214,Constants!$D$3:$E$10,2),"")</f>
        <v/>
      </c>
    </row>
    <row r="1215" spans="12:20" x14ac:dyDescent="0.25">
      <c r="L1215" s="10" t="str">
        <f t="shared" si="161"/>
        <v/>
      </c>
      <c r="M1215" s="10" t="str">
        <f t="shared" si="162"/>
        <v/>
      </c>
      <c r="N1215" s="11" t="str">
        <f t="shared" si="165"/>
        <v/>
      </c>
      <c r="O1215" s="10" t="str">
        <f t="shared" si="166"/>
        <v/>
      </c>
      <c r="P1215" s="39" t="str">
        <f t="shared" si="167"/>
        <v/>
      </c>
      <c r="Q1215" s="13" t="str">
        <f t="shared" si="163"/>
        <v/>
      </c>
      <c r="R1215" s="13" t="str">
        <f t="shared" si="168"/>
        <v/>
      </c>
      <c r="S1215" s="13" t="str">
        <f t="shared" si="164"/>
        <v/>
      </c>
      <c r="T1215" s="22" t="str">
        <f>IF(R1215&lt;&gt;"",VLOOKUP(P1215,Constants!$D$3:$E$10,2),"")</f>
        <v/>
      </c>
    </row>
    <row r="1216" spans="12:20" x14ac:dyDescent="0.25">
      <c r="L1216" s="10" t="str">
        <f t="shared" si="161"/>
        <v/>
      </c>
      <c r="M1216" s="10" t="str">
        <f t="shared" si="162"/>
        <v/>
      </c>
      <c r="N1216" s="11" t="str">
        <f t="shared" si="165"/>
        <v/>
      </c>
      <c r="O1216" s="10" t="str">
        <f t="shared" si="166"/>
        <v/>
      </c>
      <c r="P1216" s="39" t="str">
        <f t="shared" si="167"/>
        <v/>
      </c>
      <c r="Q1216" s="13" t="str">
        <f t="shared" si="163"/>
        <v/>
      </c>
      <c r="R1216" s="13" t="str">
        <f t="shared" si="168"/>
        <v/>
      </c>
      <c r="S1216" s="13" t="str">
        <f t="shared" si="164"/>
        <v/>
      </c>
      <c r="T1216" s="22" t="str">
        <f>IF(R1216&lt;&gt;"",VLOOKUP(P1216,Constants!$D$3:$E$10,2),"")</f>
        <v/>
      </c>
    </row>
    <row r="1217" spans="12:20" x14ac:dyDescent="0.25">
      <c r="L1217" s="10" t="str">
        <f t="shared" si="161"/>
        <v/>
      </c>
      <c r="M1217" s="10" t="str">
        <f t="shared" si="162"/>
        <v/>
      </c>
      <c r="N1217" s="11" t="str">
        <f t="shared" si="165"/>
        <v/>
      </c>
      <c r="O1217" s="10" t="str">
        <f t="shared" si="166"/>
        <v/>
      </c>
      <c r="P1217" s="39" t="str">
        <f t="shared" si="167"/>
        <v/>
      </c>
      <c r="Q1217" s="13" t="str">
        <f t="shared" si="163"/>
        <v/>
      </c>
      <c r="R1217" s="13" t="str">
        <f t="shared" si="168"/>
        <v/>
      </c>
      <c r="S1217" s="13" t="str">
        <f t="shared" si="164"/>
        <v/>
      </c>
      <c r="T1217" s="22" t="str">
        <f>IF(R1217&lt;&gt;"",VLOOKUP(P1217,Constants!$D$3:$E$10,2),"")</f>
        <v/>
      </c>
    </row>
    <row r="1218" spans="12:20" x14ac:dyDescent="0.25">
      <c r="L1218" s="10" t="str">
        <f t="shared" si="161"/>
        <v/>
      </c>
      <c r="M1218" s="10" t="str">
        <f t="shared" si="162"/>
        <v/>
      </c>
      <c r="N1218" s="11" t="str">
        <f t="shared" si="165"/>
        <v/>
      </c>
      <c r="O1218" s="10" t="str">
        <f t="shared" si="166"/>
        <v/>
      </c>
      <c r="P1218" s="39" t="str">
        <f t="shared" si="167"/>
        <v/>
      </c>
      <c r="Q1218" s="13" t="str">
        <f t="shared" si="163"/>
        <v/>
      </c>
      <c r="R1218" s="13" t="str">
        <f t="shared" si="168"/>
        <v/>
      </c>
      <c r="S1218" s="13" t="str">
        <f t="shared" si="164"/>
        <v/>
      </c>
      <c r="T1218" s="22" t="str">
        <f>IF(R1218&lt;&gt;"",VLOOKUP(P1218,Constants!$D$3:$E$10,2),"")</f>
        <v/>
      </c>
    </row>
    <row r="1219" spans="12:20" x14ac:dyDescent="0.25">
      <c r="L1219" s="10" t="str">
        <f t="shared" si="161"/>
        <v/>
      </c>
      <c r="M1219" s="10" t="str">
        <f t="shared" si="162"/>
        <v/>
      </c>
      <c r="N1219" s="11" t="str">
        <f t="shared" si="165"/>
        <v/>
      </c>
      <c r="O1219" s="10" t="str">
        <f t="shared" si="166"/>
        <v/>
      </c>
      <c r="P1219" s="39" t="str">
        <f t="shared" si="167"/>
        <v/>
      </c>
      <c r="Q1219" s="13" t="str">
        <f t="shared" si="163"/>
        <v/>
      </c>
      <c r="R1219" s="13" t="str">
        <f t="shared" si="168"/>
        <v/>
      </c>
      <c r="S1219" s="13" t="str">
        <f t="shared" si="164"/>
        <v/>
      </c>
      <c r="T1219" s="22" t="str">
        <f>IF(R1219&lt;&gt;"",VLOOKUP(P1219,Constants!$D$3:$E$10,2),"")</f>
        <v/>
      </c>
    </row>
    <row r="1220" spans="12:20" x14ac:dyDescent="0.25">
      <c r="L1220" s="10" t="str">
        <f t="shared" si="161"/>
        <v/>
      </c>
      <c r="M1220" s="10" t="str">
        <f t="shared" si="162"/>
        <v/>
      </c>
      <c r="N1220" s="11" t="str">
        <f t="shared" si="165"/>
        <v/>
      </c>
      <c r="O1220" s="10" t="str">
        <f t="shared" si="166"/>
        <v/>
      </c>
      <c r="P1220" s="39" t="str">
        <f t="shared" si="167"/>
        <v/>
      </c>
      <c r="Q1220" s="13" t="str">
        <f t="shared" si="163"/>
        <v/>
      </c>
      <c r="R1220" s="13" t="str">
        <f t="shared" si="168"/>
        <v/>
      </c>
      <c r="S1220" s="13" t="str">
        <f t="shared" si="164"/>
        <v/>
      </c>
      <c r="T1220" s="22" t="str">
        <f>IF(R1220&lt;&gt;"",VLOOKUP(P1220,Constants!$D$3:$E$10,2),"")</f>
        <v/>
      </c>
    </row>
    <row r="1221" spans="12:20" x14ac:dyDescent="0.25">
      <c r="L1221" s="10" t="str">
        <f t="shared" si="161"/>
        <v/>
      </c>
      <c r="M1221" s="10" t="str">
        <f t="shared" si="162"/>
        <v/>
      </c>
      <c r="N1221" s="11" t="str">
        <f t="shared" si="165"/>
        <v/>
      </c>
      <c r="O1221" s="10" t="str">
        <f t="shared" si="166"/>
        <v/>
      </c>
      <c r="P1221" s="39" t="str">
        <f t="shared" si="167"/>
        <v/>
      </c>
      <c r="Q1221" s="13" t="str">
        <f t="shared" si="163"/>
        <v/>
      </c>
      <c r="R1221" s="13" t="str">
        <f t="shared" si="168"/>
        <v/>
      </c>
      <c r="S1221" s="13" t="str">
        <f t="shared" si="164"/>
        <v/>
      </c>
      <c r="T1221" s="22" t="str">
        <f>IF(R1221&lt;&gt;"",VLOOKUP(P1221,Constants!$D$3:$E$10,2),"")</f>
        <v/>
      </c>
    </row>
    <row r="1222" spans="12:20" x14ac:dyDescent="0.25">
      <c r="L1222" s="10" t="str">
        <f t="shared" si="161"/>
        <v/>
      </c>
      <c r="M1222" s="10" t="str">
        <f t="shared" si="162"/>
        <v/>
      </c>
      <c r="N1222" s="11" t="str">
        <f t="shared" si="165"/>
        <v/>
      </c>
      <c r="O1222" s="10" t="str">
        <f t="shared" si="166"/>
        <v/>
      </c>
      <c r="P1222" s="39" t="str">
        <f t="shared" si="167"/>
        <v/>
      </c>
      <c r="Q1222" s="13" t="str">
        <f t="shared" si="163"/>
        <v/>
      </c>
      <c r="R1222" s="13" t="str">
        <f t="shared" si="168"/>
        <v/>
      </c>
      <c r="S1222" s="13" t="str">
        <f t="shared" si="164"/>
        <v/>
      </c>
      <c r="T1222" s="22" t="str">
        <f>IF(R1222&lt;&gt;"",VLOOKUP(P1222,Constants!$D$3:$E$10,2),"")</f>
        <v/>
      </c>
    </row>
    <row r="1223" spans="12:20" x14ac:dyDescent="0.25">
      <c r="L1223" s="10" t="str">
        <f t="shared" si="161"/>
        <v/>
      </c>
      <c r="M1223" s="10" t="str">
        <f t="shared" si="162"/>
        <v/>
      </c>
      <c r="N1223" s="11" t="str">
        <f t="shared" si="165"/>
        <v/>
      </c>
      <c r="O1223" s="10" t="str">
        <f t="shared" si="166"/>
        <v/>
      </c>
      <c r="P1223" s="39" t="str">
        <f t="shared" si="167"/>
        <v/>
      </c>
      <c r="Q1223" s="13" t="str">
        <f t="shared" si="163"/>
        <v/>
      </c>
      <c r="R1223" s="13" t="str">
        <f t="shared" si="168"/>
        <v/>
      </c>
      <c r="S1223" s="13" t="str">
        <f t="shared" si="164"/>
        <v/>
      </c>
      <c r="T1223" s="22" t="str">
        <f>IF(R1223&lt;&gt;"",VLOOKUP(P1223,Constants!$D$3:$E$10,2),"")</f>
        <v/>
      </c>
    </row>
    <row r="1224" spans="12:20" x14ac:dyDescent="0.25">
      <c r="L1224" s="10" t="str">
        <f t="shared" ref="L1224:L1287" si="169">IF($D1224&lt;&gt;"",$D1224*$E1224/1000,"")</f>
        <v/>
      </c>
      <c r="M1224" s="10" t="str">
        <f t="shared" ref="M1224:M1287" si="170">IF($D1224&lt;&gt;"",$D1224*$F1224/1000,"")</f>
        <v/>
      </c>
      <c r="N1224" s="11" t="str">
        <f t="shared" si="165"/>
        <v/>
      </c>
      <c r="O1224" s="10" t="str">
        <f t="shared" si="166"/>
        <v/>
      </c>
      <c r="P1224" s="39" t="str">
        <f t="shared" si="167"/>
        <v/>
      </c>
      <c r="Q1224" s="13" t="str">
        <f t="shared" ref="Q1224:Q1287" si="171">IF(F1224&lt;&gt;"",F1224*E1224/1000,"")</f>
        <v/>
      </c>
      <c r="R1224" s="13" t="str">
        <f t="shared" si="168"/>
        <v/>
      </c>
      <c r="S1224" s="13" t="str">
        <f t="shared" ref="S1224:S1287" si="172">IF(R1224&lt;&gt;"",Q1224/R1224*1000,"")</f>
        <v/>
      </c>
      <c r="T1224" s="22" t="str">
        <f>IF(R1224&lt;&gt;"",VLOOKUP(P1224,Constants!$D$3:$E$10,2),"")</f>
        <v/>
      </c>
    </row>
    <row r="1225" spans="12:20" x14ac:dyDescent="0.25">
      <c r="L1225" s="10" t="str">
        <f t="shared" si="169"/>
        <v/>
      </c>
      <c r="M1225" s="10" t="str">
        <f t="shared" si="170"/>
        <v/>
      </c>
      <c r="N1225" s="11" t="str">
        <f t="shared" si="165"/>
        <v/>
      </c>
      <c r="O1225" s="10" t="str">
        <f t="shared" si="166"/>
        <v/>
      </c>
      <c r="P1225" s="39" t="str">
        <f t="shared" si="167"/>
        <v/>
      </c>
      <c r="Q1225" s="13" t="str">
        <f t="shared" si="171"/>
        <v/>
      </c>
      <c r="R1225" s="13" t="str">
        <f t="shared" si="168"/>
        <v/>
      </c>
      <c r="S1225" s="13" t="str">
        <f t="shared" si="172"/>
        <v/>
      </c>
      <c r="T1225" s="22" t="str">
        <f>IF(R1225&lt;&gt;"",VLOOKUP(P1225,Constants!$D$3:$E$10,2),"")</f>
        <v/>
      </c>
    </row>
    <row r="1226" spans="12:20" x14ac:dyDescent="0.25">
      <c r="L1226" s="10" t="str">
        <f t="shared" si="169"/>
        <v/>
      </c>
      <c r="M1226" s="10" t="str">
        <f t="shared" si="170"/>
        <v/>
      </c>
      <c r="N1226" s="11" t="str">
        <f t="shared" si="165"/>
        <v/>
      </c>
      <c r="O1226" s="10" t="str">
        <f t="shared" si="166"/>
        <v/>
      </c>
      <c r="P1226" s="39" t="str">
        <f t="shared" si="167"/>
        <v/>
      </c>
      <c r="Q1226" s="13" t="str">
        <f t="shared" si="171"/>
        <v/>
      </c>
      <c r="R1226" s="13" t="str">
        <f t="shared" si="168"/>
        <v/>
      </c>
      <c r="S1226" s="13" t="str">
        <f t="shared" si="172"/>
        <v/>
      </c>
      <c r="T1226" s="22" t="str">
        <f>IF(R1226&lt;&gt;"",VLOOKUP(P1226,Constants!$D$3:$E$10,2),"")</f>
        <v/>
      </c>
    </row>
    <row r="1227" spans="12:20" x14ac:dyDescent="0.25">
      <c r="L1227" s="10" t="str">
        <f t="shared" si="169"/>
        <v/>
      </c>
      <c r="M1227" s="10" t="str">
        <f t="shared" si="170"/>
        <v/>
      </c>
      <c r="N1227" s="11" t="str">
        <f t="shared" si="165"/>
        <v/>
      </c>
      <c r="O1227" s="10" t="str">
        <f t="shared" si="166"/>
        <v/>
      </c>
      <c r="P1227" s="39" t="str">
        <f t="shared" si="167"/>
        <v/>
      </c>
      <c r="Q1227" s="13" t="str">
        <f t="shared" si="171"/>
        <v/>
      </c>
      <c r="R1227" s="13" t="str">
        <f t="shared" si="168"/>
        <v/>
      </c>
      <c r="S1227" s="13" t="str">
        <f t="shared" si="172"/>
        <v/>
      </c>
      <c r="T1227" s="22" t="str">
        <f>IF(R1227&lt;&gt;"",VLOOKUP(P1227,Constants!$D$3:$E$10,2),"")</f>
        <v/>
      </c>
    </row>
    <row r="1228" spans="12:20" x14ac:dyDescent="0.25">
      <c r="L1228" s="10" t="str">
        <f t="shared" si="169"/>
        <v/>
      </c>
      <c r="M1228" s="10" t="str">
        <f t="shared" si="170"/>
        <v/>
      </c>
      <c r="N1228" s="11" t="str">
        <f t="shared" si="165"/>
        <v/>
      </c>
      <c r="O1228" s="10" t="str">
        <f t="shared" si="166"/>
        <v/>
      </c>
      <c r="P1228" s="39" t="str">
        <f t="shared" si="167"/>
        <v/>
      </c>
      <c r="Q1228" s="13" t="str">
        <f t="shared" si="171"/>
        <v/>
      </c>
      <c r="R1228" s="13" t="str">
        <f t="shared" si="168"/>
        <v/>
      </c>
      <c r="S1228" s="13" t="str">
        <f t="shared" si="172"/>
        <v/>
      </c>
      <c r="T1228" s="22" t="str">
        <f>IF(R1228&lt;&gt;"",VLOOKUP(P1228,Constants!$D$3:$E$10,2),"")</f>
        <v/>
      </c>
    </row>
    <row r="1229" spans="12:20" x14ac:dyDescent="0.25">
      <c r="L1229" s="10" t="str">
        <f t="shared" si="169"/>
        <v/>
      </c>
      <c r="M1229" s="10" t="str">
        <f t="shared" si="170"/>
        <v/>
      </c>
      <c r="N1229" s="11" t="str">
        <f t="shared" si="165"/>
        <v/>
      </c>
      <c r="O1229" s="10" t="str">
        <f t="shared" si="166"/>
        <v/>
      </c>
      <c r="P1229" s="39" t="str">
        <f t="shared" si="167"/>
        <v/>
      </c>
      <c r="Q1229" s="13" t="str">
        <f t="shared" si="171"/>
        <v/>
      </c>
      <c r="R1229" s="13" t="str">
        <f t="shared" si="168"/>
        <v/>
      </c>
      <c r="S1229" s="13" t="str">
        <f t="shared" si="172"/>
        <v/>
      </c>
      <c r="T1229" s="22" t="str">
        <f>IF(R1229&lt;&gt;"",VLOOKUP(P1229,Constants!$D$3:$E$10,2),"")</f>
        <v/>
      </c>
    </row>
    <row r="1230" spans="12:20" x14ac:dyDescent="0.25">
      <c r="L1230" s="10" t="str">
        <f t="shared" si="169"/>
        <v/>
      </c>
      <c r="M1230" s="10" t="str">
        <f t="shared" si="170"/>
        <v/>
      </c>
      <c r="N1230" s="11" t="str">
        <f t="shared" si="165"/>
        <v/>
      </c>
      <c r="O1230" s="10" t="str">
        <f t="shared" si="166"/>
        <v/>
      </c>
      <c r="P1230" s="39" t="str">
        <f t="shared" si="167"/>
        <v/>
      </c>
      <c r="Q1230" s="13" t="str">
        <f t="shared" si="171"/>
        <v/>
      </c>
      <c r="R1230" s="13" t="str">
        <f t="shared" si="168"/>
        <v/>
      </c>
      <c r="S1230" s="13" t="str">
        <f t="shared" si="172"/>
        <v/>
      </c>
      <c r="T1230" s="22" t="str">
        <f>IF(R1230&lt;&gt;"",VLOOKUP(P1230,Constants!$D$3:$E$10,2),"")</f>
        <v/>
      </c>
    </row>
    <row r="1231" spans="12:20" x14ac:dyDescent="0.25">
      <c r="L1231" s="10" t="str">
        <f t="shared" si="169"/>
        <v/>
      </c>
      <c r="M1231" s="10" t="str">
        <f t="shared" si="170"/>
        <v/>
      </c>
      <c r="N1231" s="11" t="str">
        <f t="shared" si="165"/>
        <v/>
      </c>
      <c r="O1231" s="10" t="str">
        <f t="shared" si="166"/>
        <v/>
      </c>
      <c r="P1231" s="39" t="str">
        <f t="shared" si="167"/>
        <v/>
      </c>
      <c r="Q1231" s="13" t="str">
        <f t="shared" si="171"/>
        <v/>
      </c>
      <c r="R1231" s="13" t="str">
        <f t="shared" si="168"/>
        <v/>
      </c>
      <c r="S1231" s="13" t="str">
        <f t="shared" si="172"/>
        <v/>
      </c>
      <c r="T1231" s="22" t="str">
        <f>IF(R1231&lt;&gt;"",VLOOKUP(P1231,Constants!$D$3:$E$10,2),"")</f>
        <v/>
      </c>
    </row>
    <row r="1232" spans="12:20" x14ac:dyDescent="0.25">
      <c r="L1232" s="10" t="str">
        <f t="shared" si="169"/>
        <v/>
      </c>
      <c r="M1232" s="10" t="str">
        <f t="shared" si="170"/>
        <v/>
      </c>
      <c r="N1232" s="11" t="str">
        <f t="shared" ref="N1232:N1295" si="173">IF($L1232&lt;&gt;"",SQRT($L1232*$L1232+$M1232*$M1232),"")</f>
        <v/>
      </c>
      <c r="O1232" s="10" t="str">
        <f t="shared" si="166"/>
        <v/>
      </c>
      <c r="P1232" s="39" t="str">
        <f t="shared" si="167"/>
        <v/>
      </c>
      <c r="Q1232" s="13" t="str">
        <f t="shared" si="171"/>
        <v/>
      </c>
      <c r="R1232" s="13" t="str">
        <f t="shared" si="168"/>
        <v/>
      </c>
      <c r="S1232" s="13" t="str">
        <f t="shared" si="172"/>
        <v/>
      </c>
      <c r="T1232" s="22" t="str">
        <f>IF(R1232&lt;&gt;"",VLOOKUP(P1232,Constants!$D$3:$E$10,2),"")</f>
        <v/>
      </c>
    </row>
    <row r="1233" spans="12:20" x14ac:dyDescent="0.25">
      <c r="L1233" s="10" t="str">
        <f t="shared" si="169"/>
        <v/>
      </c>
      <c r="M1233" s="10" t="str">
        <f t="shared" si="170"/>
        <v/>
      </c>
      <c r="N1233" s="11" t="str">
        <f t="shared" si="173"/>
        <v/>
      </c>
      <c r="O1233" s="10" t="str">
        <f t="shared" si="166"/>
        <v/>
      </c>
      <c r="P1233" s="39" t="str">
        <f t="shared" si="167"/>
        <v/>
      </c>
      <c r="Q1233" s="13" t="str">
        <f t="shared" si="171"/>
        <v/>
      </c>
      <c r="R1233" s="13" t="str">
        <f t="shared" si="168"/>
        <v/>
      </c>
      <c r="S1233" s="13" t="str">
        <f t="shared" si="172"/>
        <v/>
      </c>
      <c r="T1233" s="22" t="str">
        <f>IF(R1233&lt;&gt;"",VLOOKUP(P1233,Constants!$D$3:$E$10,2),"")</f>
        <v/>
      </c>
    </row>
    <row r="1234" spans="12:20" x14ac:dyDescent="0.25">
      <c r="L1234" s="10" t="str">
        <f t="shared" si="169"/>
        <v/>
      </c>
      <c r="M1234" s="10" t="str">
        <f t="shared" si="170"/>
        <v/>
      </c>
      <c r="N1234" s="11" t="str">
        <f t="shared" si="173"/>
        <v/>
      </c>
      <c r="O1234" s="10" t="str">
        <f t="shared" si="166"/>
        <v/>
      </c>
      <c r="P1234" s="39" t="str">
        <f t="shared" si="167"/>
        <v/>
      </c>
      <c r="Q1234" s="13" t="str">
        <f t="shared" si="171"/>
        <v/>
      </c>
      <c r="R1234" s="13" t="str">
        <f t="shared" si="168"/>
        <v/>
      </c>
      <c r="S1234" s="13" t="str">
        <f t="shared" si="172"/>
        <v/>
      </c>
      <c r="T1234" s="22" t="str">
        <f>IF(R1234&lt;&gt;"",VLOOKUP(P1234,Constants!$D$3:$E$10,2),"")</f>
        <v/>
      </c>
    </row>
    <row r="1235" spans="12:20" x14ac:dyDescent="0.25">
      <c r="L1235" s="10" t="str">
        <f t="shared" si="169"/>
        <v/>
      </c>
      <c r="M1235" s="10" t="str">
        <f t="shared" si="170"/>
        <v/>
      </c>
      <c r="N1235" s="11" t="str">
        <f t="shared" si="173"/>
        <v/>
      </c>
      <c r="O1235" s="10" t="str">
        <f t="shared" si="166"/>
        <v/>
      </c>
      <c r="P1235" s="39" t="str">
        <f t="shared" si="167"/>
        <v/>
      </c>
      <c r="Q1235" s="13" t="str">
        <f t="shared" si="171"/>
        <v/>
      </c>
      <c r="R1235" s="13" t="str">
        <f t="shared" si="168"/>
        <v/>
      </c>
      <c r="S1235" s="13" t="str">
        <f t="shared" si="172"/>
        <v/>
      </c>
      <c r="T1235" s="22" t="str">
        <f>IF(R1235&lt;&gt;"",VLOOKUP(P1235,Constants!$D$3:$E$10,2),"")</f>
        <v/>
      </c>
    </row>
    <row r="1236" spans="12:20" x14ac:dyDescent="0.25">
      <c r="L1236" s="10" t="str">
        <f t="shared" si="169"/>
        <v/>
      </c>
      <c r="M1236" s="10" t="str">
        <f t="shared" si="170"/>
        <v/>
      </c>
      <c r="N1236" s="11" t="str">
        <f t="shared" si="173"/>
        <v/>
      </c>
      <c r="O1236" s="10" t="str">
        <f t="shared" si="166"/>
        <v/>
      </c>
      <c r="P1236" s="39" t="str">
        <f t="shared" si="167"/>
        <v/>
      </c>
      <c r="Q1236" s="13" t="str">
        <f t="shared" si="171"/>
        <v/>
      </c>
      <c r="R1236" s="13" t="str">
        <f t="shared" si="168"/>
        <v/>
      </c>
      <c r="S1236" s="13" t="str">
        <f t="shared" si="172"/>
        <v/>
      </c>
      <c r="T1236" s="22" t="str">
        <f>IF(R1236&lt;&gt;"",VLOOKUP(P1236,Constants!$D$3:$E$10,2),"")</f>
        <v/>
      </c>
    </row>
    <row r="1237" spans="12:20" x14ac:dyDescent="0.25">
      <c r="L1237" s="10" t="str">
        <f t="shared" si="169"/>
        <v/>
      </c>
      <c r="M1237" s="10" t="str">
        <f t="shared" si="170"/>
        <v/>
      </c>
      <c r="N1237" s="11" t="str">
        <f t="shared" si="173"/>
        <v/>
      </c>
      <c r="O1237" s="10" t="str">
        <f t="shared" si="166"/>
        <v/>
      </c>
      <c r="P1237" s="39" t="str">
        <f t="shared" si="167"/>
        <v/>
      </c>
      <c r="Q1237" s="13" t="str">
        <f t="shared" si="171"/>
        <v/>
      </c>
      <c r="R1237" s="13" t="str">
        <f t="shared" si="168"/>
        <v/>
      </c>
      <c r="S1237" s="13" t="str">
        <f t="shared" si="172"/>
        <v/>
      </c>
      <c r="T1237" s="22" t="str">
        <f>IF(R1237&lt;&gt;"",VLOOKUP(P1237,Constants!$D$3:$E$10,2),"")</f>
        <v/>
      </c>
    </row>
    <row r="1238" spans="12:20" x14ac:dyDescent="0.25">
      <c r="L1238" s="10" t="str">
        <f t="shared" si="169"/>
        <v/>
      </c>
      <c r="M1238" s="10" t="str">
        <f t="shared" si="170"/>
        <v/>
      </c>
      <c r="N1238" s="11" t="str">
        <f t="shared" si="173"/>
        <v/>
      </c>
      <c r="O1238" s="10" t="str">
        <f t="shared" si="166"/>
        <v/>
      </c>
      <c r="P1238" s="39" t="str">
        <f t="shared" si="167"/>
        <v/>
      </c>
      <c r="Q1238" s="13" t="str">
        <f t="shared" si="171"/>
        <v/>
      </c>
      <c r="R1238" s="13" t="str">
        <f t="shared" si="168"/>
        <v/>
      </c>
      <c r="S1238" s="13" t="str">
        <f t="shared" si="172"/>
        <v/>
      </c>
      <c r="T1238" s="22" t="str">
        <f>IF(R1238&lt;&gt;"",VLOOKUP(P1238,Constants!$D$3:$E$10,2),"")</f>
        <v/>
      </c>
    </row>
    <row r="1239" spans="12:20" x14ac:dyDescent="0.25">
      <c r="L1239" s="10" t="str">
        <f t="shared" si="169"/>
        <v/>
      </c>
      <c r="M1239" s="10" t="str">
        <f t="shared" si="170"/>
        <v/>
      </c>
      <c r="N1239" s="11" t="str">
        <f t="shared" si="173"/>
        <v/>
      </c>
      <c r="O1239" s="10" t="str">
        <f t="shared" ref="O1239:O1302" si="174">IF(D1239&lt;&gt;"",1000/(2*D1239),"")</f>
        <v/>
      </c>
      <c r="P1239" s="39" t="str">
        <f t="shared" ref="P1239:P1302" si="175">IF($N1239&lt;&gt;"",D1239*SQRT(E1239*E1239+F1239*F1239)/16000,"")</f>
        <v/>
      </c>
      <c r="Q1239" s="13" t="str">
        <f t="shared" si="171"/>
        <v/>
      </c>
      <c r="R1239" s="13" t="str">
        <f t="shared" ref="R1239:R1302" si="176">IF(G1239&lt;&gt;"",1000/G1239,"")</f>
        <v/>
      </c>
      <c r="S1239" s="13" t="str">
        <f t="shared" si="172"/>
        <v/>
      </c>
      <c r="T1239" s="22" t="str">
        <f>IF(R1239&lt;&gt;"",VLOOKUP(P1239,Constants!$D$3:$E$10,2),"")</f>
        <v/>
      </c>
    </row>
    <row r="1240" spans="12:20" x14ac:dyDescent="0.25">
      <c r="L1240" s="10" t="str">
        <f t="shared" si="169"/>
        <v/>
      </c>
      <c r="M1240" s="10" t="str">
        <f t="shared" si="170"/>
        <v/>
      </c>
      <c r="N1240" s="11" t="str">
        <f t="shared" si="173"/>
        <v/>
      </c>
      <c r="O1240" s="10" t="str">
        <f t="shared" si="174"/>
        <v/>
      </c>
      <c r="P1240" s="39" t="str">
        <f t="shared" si="175"/>
        <v/>
      </c>
      <c r="Q1240" s="13" t="str">
        <f t="shared" si="171"/>
        <v/>
      </c>
      <c r="R1240" s="13" t="str">
        <f t="shared" si="176"/>
        <v/>
      </c>
      <c r="S1240" s="13" t="str">
        <f t="shared" si="172"/>
        <v/>
      </c>
      <c r="T1240" s="22" t="str">
        <f>IF(R1240&lt;&gt;"",VLOOKUP(P1240,Constants!$D$3:$E$10,2),"")</f>
        <v/>
      </c>
    </row>
    <row r="1241" spans="12:20" x14ac:dyDescent="0.25">
      <c r="L1241" s="10" t="str">
        <f t="shared" si="169"/>
        <v/>
      </c>
      <c r="M1241" s="10" t="str">
        <f t="shared" si="170"/>
        <v/>
      </c>
      <c r="N1241" s="11" t="str">
        <f t="shared" si="173"/>
        <v/>
      </c>
      <c r="O1241" s="10" t="str">
        <f t="shared" si="174"/>
        <v/>
      </c>
      <c r="P1241" s="39" t="str">
        <f t="shared" si="175"/>
        <v/>
      </c>
      <c r="Q1241" s="13" t="str">
        <f t="shared" si="171"/>
        <v/>
      </c>
      <c r="R1241" s="13" t="str">
        <f t="shared" si="176"/>
        <v/>
      </c>
      <c r="S1241" s="13" t="str">
        <f t="shared" si="172"/>
        <v/>
      </c>
      <c r="T1241" s="22" t="str">
        <f>IF(R1241&lt;&gt;"",VLOOKUP(P1241,Constants!$D$3:$E$10,2),"")</f>
        <v/>
      </c>
    </row>
    <row r="1242" spans="12:20" x14ac:dyDescent="0.25">
      <c r="L1242" s="10" t="str">
        <f t="shared" si="169"/>
        <v/>
      </c>
      <c r="M1242" s="10" t="str">
        <f t="shared" si="170"/>
        <v/>
      </c>
      <c r="N1242" s="11" t="str">
        <f t="shared" si="173"/>
        <v/>
      </c>
      <c r="O1242" s="10" t="str">
        <f t="shared" si="174"/>
        <v/>
      </c>
      <c r="P1242" s="39" t="str">
        <f t="shared" si="175"/>
        <v/>
      </c>
      <c r="Q1242" s="13" t="str">
        <f t="shared" si="171"/>
        <v/>
      </c>
      <c r="R1242" s="13" t="str">
        <f t="shared" si="176"/>
        <v/>
      </c>
      <c r="S1242" s="13" t="str">
        <f t="shared" si="172"/>
        <v/>
      </c>
      <c r="T1242" s="22" t="str">
        <f>IF(R1242&lt;&gt;"",VLOOKUP(P1242,Constants!$D$3:$E$10,2),"")</f>
        <v/>
      </c>
    </row>
    <row r="1243" spans="12:20" x14ac:dyDescent="0.25">
      <c r="L1243" s="10" t="str">
        <f t="shared" si="169"/>
        <v/>
      </c>
      <c r="M1243" s="10" t="str">
        <f t="shared" si="170"/>
        <v/>
      </c>
      <c r="N1243" s="11" t="str">
        <f t="shared" si="173"/>
        <v/>
      </c>
      <c r="O1243" s="10" t="str">
        <f t="shared" si="174"/>
        <v/>
      </c>
      <c r="P1243" s="39" t="str">
        <f t="shared" si="175"/>
        <v/>
      </c>
      <c r="Q1243" s="13" t="str">
        <f t="shared" si="171"/>
        <v/>
      </c>
      <c r="R1243" s="13" t="str">
        <f t="shared" si="176"/>
        <v/>
      </c>
      <c r="S1243" s="13" t="str">
        <f t="shared" si="172"/>
        <v/>
      </c>
      <c r="T1243" s="22" t="str">
        <f>IF(R1243&lt;&gt;"",VLOOKUP(P1243,Constants!$D$3:$E$10,2),"")</f>
        <v/>
      </c>
    </row>
    <row r="1244" spans="12:20" x14ac:dyDescent="0.25">
      <c r="L1244" s="10" t="str">
        <f t="shared" si="169"/>
        <v/>
      </c>
      <c r="M1244" s="10" t="str">
        <f t="shared" si="170"/>
        <v/>
      </c>
      <c r="N1244" s="11" t="str">
        <f t="shared" si="173"/>
        <v/>
      </c>
      <c r="O1244" s="10" t="str">
        <f t="shared" si="174"/>
        <v/>
      </c>
      <c r="P1244" s="39" t="str">
        <f t="shared" si="175"/>
        <v/>
      </c>
      <c r="Q1244" s="13" t="str">
        <f t="shared" si="171"/>
        <v/>
      </c>
      <c r="R1244" s="13" t="str">
        <f t="shared" si="176"/>
        <v/>
      </c>
      <c r="S1244" s="13" t="str">
        <f t="shared" si="172"/>
        <v/>
      </c>
      <c r="T1244" s="22" t="str">
        <f>IF(R1244&lt;&gt;"",VLOOKUP(P1244,Constants!$D$3:$E$10,2),"")</f>
        <v/>
      </c>
    </row>
    <row r="1245" spans="12:20" x14ac:dyDescent="0.25">
      <c r="L1245" s="10" t="str">
        <f t="shared" si="169"/>
        <v/>
      </c>
      <c r="M1245" s="10" t="str">
        <f t="shared" si="170"/>
        <v/>
      </c>
      <c r="N1245" s="11" t="str">
        <f t="shared" si="173"/>
        <v/>
      </c>
      <c r="O1245" s="10" t="str">
        <f t="shared" si="174"/>
        <v/>
      </c>
      <c r="P1245" s="39" t="str">
        <f t="shared" si="175"/>
        <v/>
      </c>
      <c r="Q1245" s="13" t="str">
        <f t="shared" si="171"/>
        <v/>
      </c>
      <c r="R1245" s="13" t="str">
        <f t="shared" si="176"/>
        <v/>
      </c>
      <c r="S1245" s="13" t="str">
        <f t="shared" si="172"/>
        <v/>
      </c>
      <c r="T1245" s="22" t="str">
        <f>IF(R1245&lt;&gt;"",VLOOKUP(P1245,Constants!$D$3:$E$10,2),"")</f>
        <v/>
      </c>
    </row>
    <row r="1246" spans="12:20" x14ac:dyDescent="0.25">
      <c r="L1246" s="10" t="str">
        <f t="shared" si="169"/>
        <v/>
      </c>
      <c r="M1246" s="10" t="str">
        <f t="shared" si="170"/>
        <v/>
      </c>
      <c r="N1246" s="11" t="str">
        <f t="shared" si="173"/>
        <v/>
      </c>
      <c r="O1246" s="10" t="str">
        <f t="shared" si="174"/>
        <v/>
      </c>
      <c r="P1246" s="39" t="str">
        <f t="shared" si="175"/>
        <v/>
      </c>
      <c r="Q1246" s="13" t="str">
        <f t="shared" si="171"/>
        <v/>
      </c>
      <c r="R1246" s="13" t="str">
        <f t="shared" si="176"/>
        <v/>
      </c>
      <c r="S1246" s="13" t="str">
        <f t="shared" si="172"/>
        <v/>
      </c>
      <c r="T1246" s="22" t="str">
        <f>IF(R1246&lt;&gt;"",VLOOKUP(P1246,Constants!$D$3:$E$10,2),"")</f>
        <v/>
      </c>
    </row>
    <row r="1247" spans="12:20" x14ac:dyDescent="0.25">
      <c r="L1247" s="10" t="str">
        <f t="shared" si="169"/>
        <v/>
      </c>
      <c r="M1247" s="10" t="str">
        <f t="shared" si="170"/>
        <v/>
      </c>
      <c r="N1247" s="11" t="str">
        <f t="shared" si="173"/>
        <v/>
      </c>
      <c r="O1247" s="10" t="str">
        <f t="shared" si="174"/>
        <v/>
      </c>
      <c r="P1247" s="39" t="str">
        <f t="shared" si="175"/>
        <v/>
      </c>
      <c r="Q1247" s="13" t="str">
        <f t="shared" si="171"/>
        <v/>
      </c>
      <c r="R1247" s="13" t="str">
        <f t="shared" si="176"/>
        <v/>
      </c>
      <c r="S1247" s="13" t="str">
        <f t="shared" si="172"/>
        <v/>
      </c>
      <c r="T1247" s="22" t="str">
        <f>IF(R1247&lt;&gt;"",VLOOKUP(P1247,Constants!$D$3:$E$10,2),"")</f>
        <v/>
      </c>
    </row>
    <row r="1248" spans="12:20" x14ac:dyDescent="0.25">
      <c r="L1248" s="10" t="str">
        <f t="shared" si="169"/>
        <v/>
      </c>
      <c r="M1248" s="10" t="str">
        <f t="shared" si="170"/>
        <v/>
      </c>
      <c r="N1248" s="11" t="str">
        <f t="shared" si="173"/>
        <v/>
      </c>
      <c r="O1248" s="10" t="str">
        <f t="shared" si="174"/>
        <v/>
      </c>
      <c r="P1248" s="39" t="str">
        <f t="shared" si="175"/>
        <v/>
      </c>
      <c r="Q1248" s="13" t="str">
        <f t="shared" si="171"/>
        <v/>
      </c>
      <c r="R1248" s="13" t="str">
        <f t="shared" si="176"/>
        <v/>
      </c>
      <c r="S1248" s="13" t="str">
        <f t="shared" si="172"/>
        <v/>
      </c>
      <c r="T1248" s="22" t="str">
        <f>IF(R1248&lt;&gt;"",VLOOKUP(P1248,Constants!$D$3:$E$10,2),"")</f>
        <v/>
      </c>
    </row>
    <row r="1249" spans="12:20" x14ac:dyDescent="0.25">
      <c r="L1249" s="10" t="str">
        <f t="shared" si="169"/>
        <v/>
      </c>
      <c r="M1249" s="10" t="str">
        <f t="shared" si="170"/>
        <v/>
      </c>
      <c r="N1249" s="11" t="str">
        <f t="shared" si="173"/>
        <v/>
      </c>
      <c r="O1249" s="10" t="str">
        <f t="shared" si="174"/>
        <v/>
      </c>
      <c r="P1249" s="39" t="str">
        <f t="shared" si="175"/>
        <v/>
      </c>
      <c r="Q1249" s="13" t="str">
        <f t="shared" si="171"/>
        <v/>
      </c>
      <c r="R1249" s="13" t="str">
        <f t="shared" si="176"/>
        <v/>
      </c>
      <c r="S1249" s="13" t="str">
        <f t="shared" si="172"/>
        <v/>
      </c>
      <c r="T1249" s="22" t="str">
        <f>IF(R1249&lt;&gt;"",VLOOKUP(P1249,Constants!$D$3:$E$10,2),"")</f>
        <v/>
      </c>
    </row>
    <row r="1250" spans="12:20" x14ac:dyDescent="0.25">
      <c r="L1250" s="10" t="str">
        <f t="shared" si="169"/>
        <v/>
      </c>
      <c r="M1250" s="10" t="str">
        <f t="shared" si="170"/>
        <v/>
      </c>
      <c r="N1250" s="11" t="str">
        <f t="shared" si="173"/>
        <v/>
      </c>
      <c r="O1250" s="10" t="str">
        <f t="shared" si="174"/>
        <v/>
      </c>
      <c r="P1250" s="39" t="str">
        <f t="shared" si="175"/>
        <v/>
      </c>
      <c r="Q1250" s="13" t="str">
        <f t="shared" si="171"/>
        <v/>
      </c>
      <c r="R1250" s="13" t="str">
        <f t="shared" si="176"/>
        <v/>
      </c>
      <c r="S1250" s="13" t="str">
        <f t="shared" si="172"/>
        <v/>
      </c>
      <c r="T1250" s="22" t="str">
        <f>IF(R1250&lt;&gt;"",VLOOKUP(P1250,Constants!$D$3:$E$10,2),"")</f>
        <v/>
      </c>
    </row>
    <row r="1251" spans="12:20" x14ac:dyDescent="0.25">
      <c r="L1251" s="10" t="str">
        <f t="shared" si="169"/>
        <v/>
      </c>
      <c r="M1251" s="10" t="str">
        <f t="shared" si="170"/>
        <v/>
      </c>
      <c r="N1251" s="11" t="str">
        <f t="shared" si="173"/>
        <v/>
      </c>
      <c r="O1251" s="10" t="str">
        <f t="shared" si="174"/>
        <v/>
      </c>
      <c r="P1251" s="39" t="str">
        <f t="shared" si="175"/>
        <v/>
      </c>
      <c r="Q1251" s="13" t="str">
        <f t="shared" si="171"/>
        <v/>
      </c>
      <c r="R1251" s="13" t="str">
        <f t="shared" si="176"/>
        <v/>
      </c>
      <c r="S1251" s="13" t="str">
        <f t="shared" si="172"/>
        <v/>
      </c>
      <c r="T1251" s="22" t="str">
        <f>IF(R1251&lt;&gt;"",VLOOKUP(P1251,Constants!$D$3:$E$10,2),"")</f>
        <v/>
      </c>
    </row>
    <row r="1252" spans="12:20" x14ac:dyDescent="0.25">
      <c r="L1252" s="10" t="str">
        <f t="shared" si="169"/>
        <v/>
      </c>
      <c r="M1252" s="10" t="str">
        <f t="shared" si="170"/>
        <v/>
      </c>
      <c r="N1252" s="11" t="str">
        <f t="shared" si="173"/>
        <v/>
      </c>
      <c r="O1252" s="10" t="str">
        <f t="shared" si="174"/>
        <v/>
      </c>
      <c r="P1252" s="39" t="str">
        <f t="shared" si="175"/>
        <v/>
      </c>
      <c r="Q1252" s="13" t="str">
        <f t="shared" si="171"/>
        <v/>
      </c>
      <c r="R1252" s="13" t="str">
        <f t="shared" si="176"/>
        <v/>
      </c>
      <c r="S1252" s="13" t="str">
        <f t="shared" si="172"/>
        <v/>
      </c>
      <c r="T1252" s="22" t="str">
        <f>IF(R1252&lt;&gt;"",VLOOKUP(P1252,Constants!$D$3:$E$10,2),"")</f>
        <v/>
      </c>
    </row>
    <row r="1253" spans="12:20" x14ac:dyDescent="0.25">
      <c r="L1253" s="10" t="str">
        <f t="shared" si="169"/>
        <v/>
      </c>
      <c r="M1253" s="10" t="str">
        <f t="shared" si="170"/>
        <v/>
      </c>
      <c r="N1253" s="11" t="str">
        <f t="shared" si="173"/>
        <v/>
      </c>
      <c r="O1253" s="10" t="str">
        <f t="shared" si="174"/>
        <v/>
      </c>
      <c r="P1253" s="39" t="str">
        <f t="shared" si="175"/>
        <v/>
      </c>
      <c r="Q1253" s="13" t="str">
        <f t="shared" si="171"/>
        <v/>
      </c>
      <c r="R1253" s="13" t="str">
        <f t="shared" si="176"/>
        <v/>
      </c>
      <c r="S1253" s="13" t="str">
        <f t="shared" si="172"/>
        <v/>
      </c>
      <c r="T1253" s="22" t="str">
        <f>IF(R1253&lt;&gt;"",VLOOKUP(P1253,Constants!$D$3:$E$10,2),"")</f>
        <v/>
      </c>
    </row>
    <row r="1254" spans="12:20" x14ac:dyDescent="0.25">
      <c r="L1254" s="10" t="str">
        <f t="shared" si="169"/>
        <v/>
      </c>
      <c r="M1254" s="10" t="str">
        <f t="shared" si="170"/>
        <v/>
      </c>
      <c r="N1254" s="11" t="str">
        <f t="shared" si="173"/>
        <v/>
      </c>
      <c r="O1254" s="10" t="str">
        <f t="shared" si="174"/>
        <v/>
      </c>
      <c r="P1254" s="39" t="str">
        <f t="shared" si="175"/>
        <v/>
      </c>
      <c r="Q1254" s="13" t="str">
        <f t="shared" si="171"/>
        <v/>
      </c>
      <c r="R1254" s="13" t="str">
        <f t="shared" si="176"/>
        <v/>
      </c>
      <c r="S1254" s="13" t="str">
        <f t="shared" si="172"/>
        <v/>
      </c>
      <c r="T1254" s="22" t="str">
        <f>IF(R1254&lt;&gt;"",VLOOKUP(P1254,Constants!$D$3:$E$10,2),"")</f>
        <v/>
      </c>
    </row>
    <row r="1255" spans="12:20" x14ac:dyDescent="0.25">
      <c r="L1255" s="10" t="str">
        <f t="shared" si="169"/>
        <v/>
      </c>
      <c r="M1255" s="10" t="str">
        <f t="shared" si="170"/>
        <v/>
      </c>
      <c r="N1255" s="11" t="str">
        <f t="shared" si="173"/>
        <v/>
      </c>
      <c r="O1255" s="10" t="str">
        <f t="shared" si="174"/>
        <v/>
      </c>
      <c r="P1255" s="39" t="str">
        <f t="shared" si="175"/>
        <v/>
      </c>
      <c r="Q1255" s="13" t="str">
        <f t="shared" si="171"/>
        <v/>
      </c>
      <c r="R1255" s="13" t="str">
        <f t="shared" si="176"/>
        <v/>
      </c>
      <c r="S1255" s="13" t="str">
        <f t="shared" si="172"/>
        <v/>
      </c>
      <c r="T1255" s="22" t="str">
        <f>IF(R1255&lt;&gt;"",VLOOKUP(P1255,Constants!$D$3:$E$10,2),"")</f>
        <v/>
      </c>
    </row>
    <row r="1256" spans="12:20" x14ac:dyDescent="0.25">
      <c r="L1256" s="10" t="str">
        <f t="shared" si="169"/>
        <v/>
      </c>
      <c r="M1256" s="10" t="str">
        <f t="shared" si="170"/>
        <v/>
      </c>
      <c r="N1256" s="11" t="str">
        <f t="shared" si="173"/>
        <v/>
      </c>
      <c r="O1256" s="10" t="str">
        <f t="shared" si="174"/>
        <v/>
      </c>
      <c r="P1256" s="39" t="str">
        <f t="shared" si="175"/>
        <v/>
      </c>
      <c r="Q1256" s="13" t="str">
        <f t="shared" si="171"/>
        <v/>
      </c>
      <c r="R1256" s="13" t="str">
        <f t="shared" si="176"/>
        <v/>
      </c>
      <c r="S1256" s="13" t="str">
        <f t="shared" si="172"/>
        <v/>
      </c>
      <c r="T1256" s="22" t="str">
        <f>IF(R1256&lt;&gt;"",VLOOKUP(P1256,Constants!$D$3:$E$10,2),"")</f>
        <v/>
      </c>
    </row>
    <row r="1257" spans="12:20" x14ac:dyDescent="0.25">
      <c r="L1257" s="10" t="str">
        <f t="shared" si="169"/>
        <v/>
      </c>
      <c r="M1257" s="10" t="str">
        <f t="shared" si="170"/>
        <v/>
      </c>
      <c r="N1257" s="11" t="str">
        <f t="shared" si="173"/>
        <v/>
      </c>
      <c r="O1257" s="10" t="str">
        <f t="shared" si="174"/>
        <v/>
      </c>
      <c r="P1257" s="39" t="str">
        <f t="shared" si="175"/>
        <v/>
      </c>
      <c r="Q1257" s="13" t="str">
        <f t="shared" si="171"/>
        <v/>
      </c>
      <c r="R1257" s="13" t="str">
        <f t="shared" si="176"/>
        <v/>
      </c>
      <c r="S1257" s="13" t="str">
        <f t="shared" si="172"/>
        <v/>
      </c>
      <c r="T1257" s="22" t="str">
        <f>IF(R1257&lt;&gt;"",VLOOKUP(P1257,Constants!$D$3:$E$10,2),"")</f>
        <v/>
      </c>
    </row>
    <row r="1258" spans="12:20" x14ac:dyDescent="0.25">
      <c r="L1258" s="10" t="str">
        <f t="shared" si="169"/>
        <v/>
      </c>
      <c r="M1258" s="10" t="str">
        <f t="shared" si="170"/>
        <v/>
      </c>
      <c r="N1258" s="11" t="str">
        <f t="shared" si="173"/>
        <v/>
      </c>
      <c r="O1258" s="10" t="str">
        <f t="shared" si="174"/>
        <v/>
      </c>
      <c r="P1258" s="39" t="str">
        <f t="shared" si="175"/>
        <v/>
      </c>
      <c r="Q1258" s="13" t="str">
        <f t="shared" si="171"/>
        <v/>
      </c>
      <c r="R1258" s="13" t="str">
        <f t="shared" si="176"/>
        <v/>
      </c>
      <c r="S1258" s="13" t="str">
        <f t="shared" si="172"/>
        <v/>
      </c>
      <c r="T1258" s="22" t="str">
        <f>IF(R1258&lt;&gt;"",VLOOKUP(P1258,Constants!$D$3:$E$10,2),"")</f>
        <v/>
      </c>
    </row>
    <row r="1259" spans="12:20" x14ac:dyDescent="0.25">
      <c r="L1259" s="10" t="str">
        <f t="shared" si="169"/>
        <v/>
      </c>
      <c r="M1259" s="10" t="str">
        <f t="shared" si="170"/>
        <v/>
      </c>
      <c r="N1259" s="11" t="str">
        <f t="shared" si="173"/>
        <v/>
      </c>
      <c r="O1259" s="10" t="str">
        <f t="shared" si="174"/>
        <v/>
      </c>
      <c r="P1259" s="39" t="str">
        <f t="shared" si="175"/>
        <v/>
      </c>
      <c r="Q1259" s="13" t="str">
        <f t="shared" si="171"/>
        <v/>
      </c>
      <c r="R1259" s="13" t="str">
        <f t="shared" si="176"/>
        <v/>
      </c>
      <c r="S1259" s="13" t="str">
        <f t="shared" si="172"/>
        <v/>
      </c>
      <c r="T1259" s="22" t="str">
        <f>IF(R1259&lt;&gt;"",VLOOKUP(P1259,Constants!$D$3:$E$10,2),"")</f>
        <v/>
      </c>
    </row>
    <row r="1260" spans="12:20" x14ac:dyDescent="0.25">
      <c r="L1260" s="10" t="str">
        <f t="shared" si="169"/>
        <v/>
      </c>
      <c r="M1260" s="10" t="str">
        <f t="shared" si="170"/>
        <v/>
      </c>
      <c r="N1260" s="11" t="str">
        <f t="shared" si="173"/>
        <v/>
      </c>
      <c r="O1260" s="10" t="str">
        <f t="shared" si="174"/>
        <v/>
      </c>
      <c r="P1260" s="39" t="str">
        <f t="shared" si="175"/>
        <v/>
      </c>
      <c r="Q1260" s="13" t="str">
        <f t="shared" si="171"/>
        <v/>
      </c>
      <c r="R1260" s="13" t="str">
        <f t="shared" si="176"/>
        <v/>
      </c>
      <c r="S1260" s="13" t="str">
        <f t="shared" si="172"/>
        <v/>
      </c>
      <c r="T1260" s="22" t="str">
        <f>IF(R1260&lt;&gt;"",VLOOKUP(P1260,Constants!$D$3:$E$10,2),"")</f>
        <v/>
      </c>
    </row>
    <row r="1261" spans="12:20" x14ac:dyDescent="0.25">
      <c r="L1261" s="10" t="str">
        <f t="shared" si="169"/>
        <v/>
      </c>
      <c r="M1261" s="10" t="str">
        <f t="shared" si="170"/>
        <v/>
      </c>
      <c r="N1261" s="11" t="str">
        <f t="shared" si="173"/>
        <v/>
      </c>
      <c r="O1261" s="10" t="str">
        <f t="shared" si="174"/>
        <v/>
      </c>
      <c r="P1261" s="39" t="str">
        <f t="shared" si="175"/>
        <v/>
      </c>
      <c r="Q1261" s="13" t="str">
        <f t="shared" si="171"/>
        <v/>
      </c>
      <c r="R1261" s="13" t="str">
        <f t="shared" si="176"/>
        <v/>
      </c>
      <c r="S1261" s="13" t="str">
        <f t="shared" si="172"/>
        <v/>
      </c>
      <c r="T1261" s="22" t="str">
        <f>IF(R1261&lt;&gt;"",VLOOKUP(P1261,Constants!$D$3:$E$10,2),"")</f>
        <v/>
      </c>
    </row>
    <row r="1262" spans="12:20" x14ac:dyDescent="0.25">
      <c r="L1262" s="10" t="str">
        <f t="shared" si="169"/>
        <v/>
      </c>
      <c r="M1262" s="10" t="str">
        <f t="shared" si="170"/>
        <v/>
      </c>
      <c r="N1262" s="11" t="str">
        <f t="shared" si="173"/>
        <v/>
      </c>
      <c r="O1262" s="10" t="str">
        <f t="shared" si="174"/>
        <v/>
      </c>
      <c r="P1262" s="39" t="str">
        <f t="shared" si="175"/>
        <v/>
      </c>
      <c r="Q1262" s="13" t="str">
        <f t="shared" si="171"/>
        <v/>
      </c>
      <c r="R1262" s="13" t="str">
        <f t="shared" si="176"/>
        <v/>
      </c>
      <c r="S1262" s="13" t="str">
        <f t="shared" si="172"/>
        <v/>
      </c>
      <c r="T1262" s="22" t="str">
        <f>IF(R1262&lt;&gt;"",VLOOKUP(P1262,Constants!$D$3:$E$10,2),"")</f>
        <v/>
      </c>
    </row>
    <row r="1263" spans="12:20" x14ac:dyDescent="0.25">
      <c r="L1263" s="10" t="str">
        <f t="shared" si="169"/>
        <v/>
      </c>
      <c r="M1263" s="10" t="str">
        <f t="shared" si="170"/>
        <v/>
      </c>
      <c r="N1263" s="11" t="str">
        <f t="shared" si="173"/>
        <v/>
      </c>
      <c r="O1263" s="10" t="str">
        <f t="shared" si="174"/>
        <v/>
      </c>
      <c r="P1263" s="39" t="str">
        <f t="shared" si="175"/>
        <v/>
      </c>
      <c r="Q1263" s="13" t="str">
        <f t="shared" si="171"/>
        <v/>
      </c>
      <c r="R1263" s="13" t="str">
        <f t="shared" si="176"/>
        <v/>
      </c>
      <c r="S1263" s="13" t="str">
        <f t="shared" si="172"/>
        <v/>
      </c>
      <c r="T1263" s="22" t="str">
        <f>IF(R1263&lt;&gt;"",VLOOKUP(P1263,Constants!$D$3:$E$10,2),"")</f>
        <v/>
      </c>
    </row>
    <row r="1264" spans="12:20" x14ac:dyDescent="0.25">
      <c r="L1264" s="10" t="str">
        <f t="shared" si="169"/>
        <v/>
      </c>
      <c r="M1264" s="10" t="str">
        <f t="shared" si="170"/>
        <v/>
      </c>
      <c r="N1264" s="11" t="str">
        <f t="shared" si="173"/>
        <v/>
      </c>
      <c r="O1264" s="10" t="str">
        <f t="shared" si="174"/>
        <v/>
      </c>
      <c r="P1264" s="39" t="str">
        <f t="shared" si="175"/>
        <v/>
      </c>
      <c r="Q1264" s="13" t="str">
        <f t="shared" si="171"/>
        <v/>
      </c>
      <c r="R1264" s="13" t="str">
        <f t="shared" si="176"/>
        <v/>
      </c>
      <c r="S1264" s="13" t="str">
        <f t="shared" si="172"/>
        <v/>
      </c>
      <c r="T1264" s="22" t="str">
        <f>IF(R1264&lt;&gt;"",VLOOKUP(P1264,Constants!$D$3:$E$10,2),"")</f>
        <v/>
      </c>
    </row>
    <row r="1265" spans="12:20" x14ac:dyDescent="0.25">
      <c r="L1265" s="10" t="str">
        <f t="shared" si="169"/>
        <v/>
      </c>
      <c r="M1265" s="10" t="str">
        <f t="shared" si="170"/>
        <v/>
      </c>
      <c r="N1265" s="11" t="str">
        <f t="shared" si="173"/>
        <v/>
      </c>
      <c r="O1265" s="10" t="str">
        <f t="shared" si="174"/>
        <v/>
      </c>
      <c r="P1265" s="39" t="str">
        <f t="shared" si="175"/>
        <v/>
      </c>
      <c r="Q1265" s="13" t="str">
        <f t="shared" si="171"/>
        <v/>
      </c>
      <c r="R1265" s="13" t="str">
        <f t="shared" si="176"/>
        <v/>
      </c>
      <c r="S1265" s="13" t="str">
        <f t="shared" si="172"/>
        <v/>
      </c>
      <c r="T1265" s="22" t="str">
        <f>IF(R1265&lt;&gt;"",VLOOKUP(P1265,Constants!$D$3:$E$10,2),"")</f>
        <v/>
      </c>
    </row>
    <row r="1266" spans="12:20" x14ac:dyDescent="0.25">
      <c r="L1266" s="10" t="str">
        <f t="shared" si="169"/>
        <v/>
      </c>
      <c r="M1266" s="10" t="str">
        <f t="shared" si="170"/>
        <v/>
      </c>
      <c r="N1266" s="11" t="str">
        <f t="shared" si="173"/>
        <v/>
      </c>
      <c r="O1266" s="10" t="str">
        <f t="shared" si="174"/>
        <v/>
      </c>
      <c r="P1266" s="39" t="str">
        <f t="shared" si="175"/>
        <v/>
      </c>
      <c r="Q1266" s="13" t="str">
        <f t="shared" si="171"/>
        <v/>
      </c>
      <c r="R1266" s="13" t="str">
        <f t="shared" si="176"/>
        <v/>
      </c>
      <c r="S1266" s="13" t="str">
        <f t="shared" si="172"/>
        <v/>
      </c>
      <c r="T1266" s="22" t="str">
        <f>IF(R1266&lt;&gt;"",VLOOKUP(P1266,Constants!$D$3:$E$10,2),"")</f>
        <v/>
      </c>
    </row>
    <row r="1267" spans="12:20" x14ac:dyDescent="0.25">
      <c r="L1267" s="10" t="str">
        <f t="shared" si="169"/>
        <v/>
      </c>
      <c r="M1267" s="10" t="str">
        <f t="shared" si="170"/>
        <v/>
      </c>
      <c r="N1267" s="11" t="str">
        <f t="shared" si="173"/>
        <v/>
      </c>
      <c r="O1267" s="10" t="str">
        <f t="shared" si="174"/>
        <v/>
      </c>
      <c r="P1267" s="39" t="str">
        <f t="shared" si="175"/>
        <v/>
      </c>
      <c r="Q1267" s="13" t="str">
        <f t="shared" si="171"/>
        <v/>
      </c>
      <c r="R1267" s="13" t="str">
        <f t="shared" si="176"/>
        <v/>
      </c>
      <c r="S1267" s="13" t="str">
        <f t="shared" si="172"/>
        <v/>
      </c>
      <c r="T1267" s="22" t="str">
        <f>IF(R1267&lt;&gt;"",VLOOKUP(P1267,Constants!$D$3:$E$10,2),"")</f>
        <v/>
      </c>
    </row>
    <row r="1268" spans="12:20" x14ac:dyDescent="0.25">
      <c r="L1268" s="10" t="str">
        <f t="shared" si="169"/>
        <v/>
      </c>
      <c r="M1268" s="10" t="str">
        <f t="shared" si="170"/>
        <v/>
      </c>
      <c r="N1268" s="11" t="str">
        <f t="shared" si="173"/>
        <v/>
      </c>
      <c r="O1268" s="10" t="str">
        <f t="shared" si="174"/>
        <v/>
      </c>
      <c r="P1268" s="39" t="str">
        <f t="shared" si="175"/>
        <v/>
      </c>
      <c r="Q1268" s="13" t="str">
        <f t="shared" si="171"/>
        <v/>
      </c>
      <c r="R1268" s="13" t="str">
        <f t="shared" si="176"/>
        <v/>
      </c>
      <c r="S1268" s="13" t="str">
        <f t="shared" si="172"/>
        <v/>
      </c>
      <c r="T1268" s="22" t="str">
        <f>IF(R1268&lt;&gt;"",VLOOKUP(P1268,Constants!$D$3:$E$10,2),"")</f>
        <v/>
      </c>
    </row>
    <row r="1269" spans="12:20" x14ac:dyDescent="0.25">
      <c r="L1269" s="10" t="str">
        <f t="shared" si="169"/>
        <v/>
      </c>
      <c r="M1269" s="10" t="str">
        <f t="shared" si="170"/>
        <v/>
      </c>
      <c r="N1269" s="11" t="str">
        <f t="shared" si="173"/>
        <v/>
      </c>
      <c r="O1269" s="10" t="str">
        <f t="shared" si="174"/>
        <v/>
      </c>
      <c r="P1269" s="39" t="str">
        <f t="shared" si="175"/>
        <v/>
      </c>
      <c r="Q1269" s="13" t="str">
        <f t="shared" si="171"/>
        <v/>
      </c>
      <c r="R1269" s="13" t="str">
        <f t="shared" si="176"/>
        <v/>
      </c>
      <c r="S1269" s="13" t="str">
        <f t="shared" si="172"/>
        <v/>
      </c>
      <c r="T1269" s="22" t="str">
        <f>IF(R1269&lt;&gt;"",VLOOKUP(P1269,Constants!$D$3:$E$10,2),"")</f>
        <v/>
      </c>
    </row>
    <row r="1270" spans="12:20" x14ac:dyDescent="0.25">
      <c r="L1270" s="10" t="str">
        <f t="shared" si="169"/>
        <v/>
      </c>
      <c r="M1270" s="10" t="str">
        <f t="shared" si="170"/>
        <v/>
      </c>
      <c r="N1270" s="11" t="str">
        <f t="shared" si="173"/>
        <v/>
      </c>
      <c r="O1270" s="10" t="str">
        <f t="shared" si="174"/>
        <v/>
      </c>
      <c r="P1270" s="39" t="str">
        <f t="shared" si="175"/>
        <v/>
      </c>
      <c r="Q1270" s="13" t="str">
        <f t="shared" si="171"/>
        <v/>
      </c>
      <c r="R1270" s="13" t="str">
        <f t="shared" si="176"/>
        <v/>
      </c>
      <c r="S1270" s="13" t="str">
        <f t="shared" si="172"/>
        <v/>
      </c>
      <c r="T1270" s="22" t="str">
        <f>IF(R1270&lt;&gt;"",VLOOKUP(P1270,Constants!$D$3:$E$10,2),"")</f>
        <v/>
      </c>
    </row>
    <row r="1271" spans="12:20" x14ac:dyDescent="0.25">
      <c r="L1271" s="10" t="str">
        <f t="shared" si="169"/>
        <v/>
      </c>
      <c r="M1271" s="10" t="str">
        <f t="shared" si="170"/>
        <v/>
      </c>
      <c r="N1271" s="11" t="str">
        <f t="shared" si="173"/>
        <v/>
      </c>
      <c r="O1271" s="10" t="str">
        <f t="shared" si="174"/>
        <v/>
      </c>
      <c r="P1271" s="39" t="str">
        <f t="shared" si="175"/>
        <v/>
      </c>
      <c r="Q1271" s="13" t="str">
        <f t="shared" si="171"/>
        <v/>
      </c>
      <c r="R1271" s="13" t="str">
        <f t="shared" si="176"/>
        <v/>
      </c>
      <c r="S1271" s="13" t="str">
        <f t="shared" si="172"/>
        <v/>
      </c>
      <c r="T1271" s="22" t="str">
        <f>IF(R1271&lt;&gt;"",VLOOKUP(P1271,Constants!$D$3:$E$10,2),"")</f>
        <v/>
      </c>
    </row>
    <row r="1272" spans="12:20" x14ac:dyDescent="0.25">
      <c r="L1272" s="10" t="str">
        <f t="shared" si="169"/>
        <v/>
      </c>
      <c r="M1272" s="10" t="str">
        <f t="shared" si="170"/>
        <v/>
      </c>
      <c r="N1272" s="11" t="str">
        <f t="shared" si="173"/>
        <v/>
      </c>
      <c r="O1272" s="10" t="str">
        <f t="shared" si="174"/>
        <v/>
      </c>
      <c r="P1272" s="39" t="str">
        <f t="shared" si="175"/>
        <v/>
      </c>
      <c r="Q1272" s="13" t="str">
        <f t="shared" si="171"/>
        <v/>
      </c>
      <c r="R1272" s="13" t="str">
        <f t="shared" si="176"/>
        <v/>
      </c>
      <c r="S1272" s="13" t="str">
        <f t="shared" si="172"/>
        <v/>
      </c>
      <c r="T1272" s="22" t="str">
        <f>IF(R1272&lt;&gt;"",VLOOKUP(P1272,Constants!$D$3:$E$10,2),"")</f>
        <v/>
      </c>
    </row>
    <row r="1273" spans="12:20" x14ac:dyDescent="0.25">
      <c r="L1273" s="10" t="str">
        <f t="shared" si="169"/>
        <v/>
      </c>
      <c r="M1273" s="10" t="str">
        <f t="shared" si="170"/>
        <v/>
      </c>
      <c r="N1273" s="11" t="str">
        <f t="shared" si="173"/>
        <v/>
      </c>
      <c r="O1273" s="10" t="str">
        <f t="shared" si="174"/>
        <v/>
      </c>
      <c r="P1273" s="39" t="str">
        <f t="shared" si="175"/>
        <v/>
      </c>
      <c r="Q1273" s="13" t="str">
        <f t="shared" si="171"/>
        <v/>
      </c>
      <c r="R1273" s="13" t="str">
        <f t="shared" si="176"/>
        <v/>
      </c>
      <c r="S1273" s="13" t="str">
        <f t="shared" si="172"/>
        <v/>
      </c>
      <c r="T1273" s="22" t="str">
        <f>IF(R1273&lt;&gt;"",VLOOKUP(P1273,Constants!$D$3:$E$10,2),"")</f>
        <v/>
      </c>
    </row>
    <row r="1274" spans="12:20" x14ac:dyDescent="0.25">
      <c r="L1274" s="10" t="str">
        <f t="shared" si="169"/>
        <v/>
      </c>
      <c r="M1274" s="10" t="str">
        <f t="shared" si="170"/>
        <v/>
      </c>
      <c r="N1274" s="11" t="str">
        <f t="shared" si="173"/>
        <v/>
      </c>
      <c r="O1274" s="10" t="str">
        <f t="shared" si="174"/>
        <v/>
      </c>
      <c r="P1274" s="39" t="str">
        <f t="shared" si="175"/>
        <v/>
      </c>
      <c r="Q1274" s="13" t="str">
        <f t="shared" si="171"/>
        <v/>
      </c>
      <c r="R1274" s="13" t="str">
        <f t="shared" si="176"/>
        <v/>
      </c>
      <c r="S1274" s="13" t="str">
        <f t="shared" si="172"/>
        <v/>
      </c>
      <c r="T1274" s="22" t="str">
        <f>IF(R1274&lt;&gt;"",VLOOKUP(P1274,Constants!$D$3:$E$10,2),"")</f>
        <v/>
      </c>
    </row>
    <row r="1275" spans="12:20" x14ac:dyDescent="0.25">
      <c r="L1275" s="10" t="str">
        <f t="shared" si="169"/>
        <v/>
      </c>
      <c r="M1275" s="10" t="str">
        <f t="shared" si="170"/>
        <v/>
      </c>
      <c r="N1275" s="11" t="str">
        <f t="shared" si="173"/>
        <v/>
      </c>
      <c r="O1275" s="10" t="str">
        <f t="shared" si="174"/>
        <v/>
      </c>
      <c r="P1275" s="39" t="str">
        <f t="shared" si="175"/>
        <v/>
      </c>
      <c r="Q1275" s="13" t="str">
        <f t="shared" si="171"/>
        <v/>
      </c>
      <c r="R1275" s="13" t="str">
        <f t="shared" si="176"/>
        <v/>
      </c>
      <c r="S1275" s="13" t="str">
        <f t="shared" si="172"/>
        <v/>
      </c>
      <c r="T1275" s="22" t="str">
        <f>IF(R1275&lt;&gt;"",VLOOKUP(P1275,Constants!$D$3:$E$10,2),"")</f>
        <v/>
      </c>
    </row>
    <row r="1276" spans="12:20" x14ac:dyDescent="0.25">
      <c r="L1276" s="10" t="str">
        <f t="shared" si="169"/>
        <v/>
      </c>
      <c r="M1276" s="10" t="str">
        <f t="shared" si="170"/>
        <v/>
      </c>
      <c r="N1276" s="11" t="str">
        <f t="shared" si="173"/>
        <v/>
      </c>
      <c r="O1276" s="10" t="str">
        <f t="shared" si="174"/>
        <v/>
      </c>
      <c r="P1276" s="39" t="str">
        <f t="shared" si="175"/>
        <v/>
      </c>
      <c r="Q1276" s="13" t="str">
        <f t="shared" si="171"/>
        <v/>
      </c>
      <c r="R1276" s="13" t="str">
        <f t="shared" si="176"/>
        <v/>
      </c>
      <c r="S1276" s="13" t="str">
        <f t="shared" si="172"/>
        <v/>
      </c>
      <c r="T1276" s="22" t="str">
        <f>IF(R1276&lt;&gt;"",VLOOKUP(P1276,Constants!$D$3:$E$10,2),"")</f>
        <v/>
      </c>
    </row>
    <row r="1277" spans="12:20" x14ac:dyDescent="0.25">
      <c r="L1277" s="10" t="str">
        <f t="shared" si="169"/>
        <v/>
      </c>
      <c r="M1277" s="10" t="str">
        <f t="shared" si="170"/>
        <v/>
      </c>
      <c r="N1277" s="11" t="str">
        <f t="shared" si="173"/>
        <v/>
      </c>
      <c r="O1277" s="10" t="str">
        <f t="shared" si="174"/>
        <v/>
      </c>
      <c r="P1277" s="39" t="str">
        <f t="shared" si="175"/>
        <v/>
      </c>
      <c r="Q1277" s="13" t="str">
        <f t="shared" si="171"/>
        <v/>
      </c>
      <c r="R1277" s="13" t="str">
        <f t="shared" si="176"/>
        <v/>
      </c>
      <c r="S1277" s="13" t="str">
        <f t="shared" si="172"/>
        <v/>
      </c>
      <c r="T1277" s="22" t="str">
        <f>IF(R1277&lt;&gt;"",VLOOKUP(P1277,Constants!$D$3:$E$10,2),"")</f>
        <v/>
      </c>
    </row>
    <row r="1278" spans="12:20" x14ac:dyDescent="0.25">
      <c r="L1278" s="10" t="str">
        <f t="shared" si="169"/>
        <v/>
      </c>
      <c r="M1278" s="10" t="str">
        <f t="shared" si="170"/>
        <v/>
      </c>
      <c r="N1278" s="11" t="str">
        <f t="shared" si="173"/>
        <v/>
      </c>
      <c r="O1278" s="10" t="str">
        <f t="shared" si="174"/>
        <v/>
      </c>
      <c r="P1278" s="39" t="str">
        <f t="shared" si="175"/>
        <v/>
      </c>
      <c r="Q1278" s="13" t="str">
        <f t="shared" si="171"/>
        <v/>
      </c>
      <c r="R1278" s="13" t="str">
        <f t="shared" si="176"/>
        <v/>
      </c>
      <c r="S1278" s="13" t="str">
        <f t="shared" si="172"/>
        <v/>
      </c>
      <c r="T1278" s="22" t="str">
        <f>IF(R1278&lt;&gt;"",VLOOKUP(P1278,Constants!$D$3:$E$10,2),"")</f>
        <v/>
      </c>
    </row>
    <row r="1279" spans="12:20" x14ac:dyDescent="0.25">
      <c r="L1279" s="10" t="str">
        <f t="shared" si="169"/>
        <v/>
      </c>
      <c r="M1279" s="10" t="str">
        <f t="shared" si="170"/>
        <v/>
      </c>
      <c r="N1279" s="11" t="str">
        <f t="shared" si="173"/>
        <v/>
      </c>
      <c r="O1279" s="10" t="str">
        <f t="shared" si="174"/>
        <v/>
      </c>
      <c r="P1279" s="39" t="str">
        <f t="shared" si="175"/>
        <v/>
      </c>
      <c r="Q1279" s="13" t="str">
        <f t="shared" si="171"/>
        <v/>
      </c>
      <c r="R1279" s="13" t="str">
        <f t="shared" si="176"/>
        <v/>
      </c>
      <c r="S1279" s="13" t="str">
        <f t="shared" si="172"/>
        <v/>
      </c>
      <c r="T1279" s="22" t="str">
        <f>IF(R1279&lt;&gt;"",VLOOKUP(P1279,Constants!$D$3:$E$10,2),"")</f>
        <v/>
      </c>
    </row>
    <row r="1280" spans="12:20" x14ac:dyDescent="0.25">
      <c r="L1280" s="10" t="str">
        <f t="shared" si="169"/>
        <v/>
      </c>
      <c r="M1280" s="10" t="str">
        <f t="shared" si="170"/>
        <v/>
      </c>
      <c r="N1280" s="11" t="str">
        <f t="shared" si="173"/>
        <v/>
      </c>
      <c r="O1280" s="10" t="str">
        <f t="shared" si="174"/>
        <v/>
      </c>
      <c r="P1280" s="39" t="str">
        <f t="shared" si="175"/>
        <v/>
      </c>
      <c r="Q1280" s="13" t="str">
        <f t="shared" si="171"/>
        <v/>
      </c>
      <c r="R1280" s="13" t="str">
        <f t="shared" si="176"/>
        <v/>
      </c>
      <c r="S1280" s="13" t="str">
        <f t="shared" si="172"/>
        <v/>
      </c>
      <c r="T1280" s="22" t="str">
        <f>IF(R1280&lt;&gt;"",VLOOKUP(P1280,Constants!$D$3:$E$10,2),"")</f>
        <v/>
      </c>
    </row>
    <row r="1281" spans="12:20" x14ac:dyDescent="0.25">
      <c r="L1281" s="10" t="str">
        <f t="shared" si="169"/>
        <v/>
      </c>
      <c r="M1281" s="10" t="str">
        <f t="shared" si="170"/>
        <v/>
      </c>
      <c r="N1281" s="11" t="str">
        <f t="shared" si="173"/>
        <v/>
      </c>
      <c r="O1281" s="10" t="str">
        <f t="shared" si="174"/>
        <v/>
      </c>
      <c r="P1281" s="39" t="str">
        <f t="shared" si="175"/>
        <v/>
      </c>
      <c r="Q1281" s="13" t="str">
        <f t="shared" si="171"/>
        <v/>
      </c>
      <c r="R1281" s="13" t="str">
        <f t="shared" si="176"/>
        <v/>
      </c>
      <c r="S1281" s="13" t="str">
        <f t="shared" si="172"/>
        <v/>
      </c>
      <c r="T1281" s="22" t="str">
        <f>IF(R1281&lt;&gt;"",VLOOKUP(P1281,Constants!$D$3:$E$10,2),"")</f>
        <v/>
      </c>
    </row>
    <row r="1282" spans="12:20" x14ac:dyDescent="0.25">
      <c r="L1282" s="10" t="str">
        <f t="shared" si="169"/>
        <v/>
      </c>
      <c r="M1282" s="10" t="str">
        <f t="shared" si="170"/>
        <v/>
      </c>
      <c r="N1282" s="11" t="str">
        <f t="shared" si="173"/>
        <v/>
      </c>
      <c r="O1282" s="10" t="str">
        <f t="shared" si="174"/>
        <v/>
      </c>
      <c r="P1282" s="39" t="str">
        <f t="shared" si="175"/>
        <v/>
      </c>
      <c r="Q1282" s="13" t="str">
        <f t="shared" si="171"/>
        <v/>
      </c>
      <c r="R1282" s="13" t="str">
        <f t="shared" si="176"/>
        <v/>
      </c>
      <c r="S1282" s="13" t="str">
        <f t="shared" si="172"/>
        <v/>
      </c>
      <c r="T1282" s="22" t="str">
        <f>IF(R1282&lt;&gt;"",VLOOKUP(P1282,Constants!$D$3:$E$10,2),"")</f>
        <v/>
      </c>
    </row>
    <row r="1283" spans="12:20" x14ac:dyDescent="0.25">
      <c r="L1283" s="10" t="str">
        <f t="shared" si="169"/>
        <v/>
      </c>
      <c r="M1283" s="10" t="str">
        <f t="shared" si="170"/>
        <v/>
      </c>
      <c r="N1283" s="11" t="str">
        <f t="shared" si="173"/>
        <v/>
      </c>
      <c r="O1283" s="10" t="str">
        <f t="shared" si="174"/>
        <v/>
      </c>
      <c r="P1283" s="39" t="str">
        <f t="shared" si="175"/>
        <v/>
      </c>
      <c r="Q1283" s="13" t="str">
        <f t="shared" si="171"/>
        <v/>
      </c>
      <c r="R1283" s="13" t="str">
        <f t="shared" si="176"/>
        <v/>
      </c>
      <c r="S1283" s="13" t="str">
        <f t="shared" si="172"/>
        <v/>
      </c>
      <c r="T1283" s="22" t="str">
        <f>IF(R1283&lt;&gt;"",VLOOKUP(P1283,Constants!$D$3:$E$10,2),"")</f>
        <v/>
      </c>
    </row>
    <row r="1284" spans="12:20" x14ac:dyDescent="0.25">
      <c r="L1284" s="10" t="str">
        <f t="shared" si="169"/>
        <v/>
      </c>
      <c r="M1284" s="10" t="str">
        <f t="shared" si="170"/>
        <v/>
      </c>
      <c r="N1284" s="11" t="str">
        <f t="shared" si="173"/>
        <v/>
      </c>
      <c r="O1284" s="10" t="str">
        <f t="shared" si="174"/>
        <v/>
      </c>
      <c r="P1284" s="39" t="str">
        <f t="shared" si="175"/>
        <v/>
      </c>
      <c r="Q1284" s="13" t="str">
        <f t="shared" si="171"/>
        <v/>
      </c>
      <c r="R1284" s="13" t="str">
        <f t="shared" si="176"/>
        <v/>
      </c>
      <c r="S1284" s="13" t="str">
        <f t="shared" si="172"/>
        <v/>
      </c>
      <c r="T1284" s="22" t="str">
        <f>IF(R1284&lt;&gt;"",VLOOKUP(P1284,Constants!$D$3:$E$10,2),"")</f>
        <v/>
      </c>
    </row>
    <row r="1285" spans="12:20" x14ac:dyDescent="0.25">
      <c r="L1285" s="10" t="str">
        <f t="shared" si="169"/>
        <v/>
      </c>
      <c r="M1285" s="10" t="str">
        <f t="shared" si="170"/>
        <v/>
      </c>
      <c r="N1285" s="11" t="str">
        <f t="shared" si="173"/>
        <v/>
      </c>
      <c r="O1285" s="10" t="str">
        <f t="shared" si="174"/>
        <v/>
      </c>
      <c r="P1285" s="39" t="str">
        <f t="shared" si="175"/>
        <v/>
      </c>
      <c r="Q1285" s="13" t="str">
        <f t="shared" si="171"/>
        <v/>
      </c>
      <c r="R1285" s="13" t="str">
        <f t="shared" si="176"/>
        <v/>
      </c>
      <c r="S1285" s="13" t="str">
        <f t="shared" si="172"/>
        <v/>
      </c>
      <c r="T1285" s="22" t="str">
        <f>IF(R1285&lt;&gt;"",VLOOKUP(P1285,Constants!$D$3:$E$10,2),"")</f>
        <v/>
      </c>
    </row>
    <row r="1286" spans="12:20" x14ac:dyDescent="0.25">
      <c r="L1286" s="10" t="str">
        <f t="shared" si="169"/>
        <v/>
      </c>
      <c r="M1286" s="10" t="str">
        <f t="shared" si="170"/>
        <v/>
      </c>
      <c r="N1286" s="11" t="str">
        <f t="shared" si="173"/>
        <v/>
      </c>
      <c r="O1286" s="10" t="str">
        <f t="shared" si="174"/>
        <v/>
      </c>
      <c r="P1286" s="39" t="str">
        <f t="shared" si="175"/>
        <v/>
      </c>
      <c r="Q1286" s="13" t="str">
        <f t="shared" si="171"/>
        <v/>
      </c>
      <c r="R1286" s="13" t="str">
        <f t="shared" si="176"/>
        <v/>
      </c>
      <c r="S1286" s="13" t="str">
        <f t="shared" si="172"/>
        <v/>
      </c>
      <c r="T1286" s="22" t="str">
        <f>IF(R1286&lt;&gt;"",VLOOKUP(P1286,Constants!$D$3:$E$10,2),"")</f>
        <v/>
      </c>
    </row>
    <row r="1287" spans="12:20" x14ac:dyDescent="0.25">
      <c r="L1287" s="10" t="str">
        <f t="shared" si="169"/>
        <v/>
      </c>
      <c r="M1287" s="10" t="str">
        <f t="shared" si="170"/>
        <v/>
      </c>
      <c r="N1287" s="11" t="str">
        <f t="shared" si="173"/>
        <v/>
      </c>
      <c r="O1287" s="10" t="str">
        <f t="shared" si="174"/>
        <v/>
      </c>
      <c r="P1287" s="39" t="str">
        <f t="shared" si="175"/>
        <v/>
      </c>
      <c r="Q1287" s="13" t="str">
        <f t="shared" si="171"/>
        <v/>
      </c>
      <c r="R1287" s="13" t="str">
        <f t="shared" si="176"/>
        <v/>
      </c>
      <c r="S1287" s="13" t="str">
        <f t="shared" si="172"/>
        <v/>
      </c>
      <c r="T1287" s="22" t="str">
        <f>IF(R1287&lt;&gt;"",VLOOKUP(P1287,Constants!$D$3:$E$10,2),"")</f>
        <v/>
      </c>
    </row>
    <row r="1288" spans="12:20" x14ac:dyDescent="0.25">
      <c r="L1288" s="10" t="str">
        <f t="shared" ref="L1288:L1351" si="177">IF($D1288&lt;&gt;"",$D1288*$E1288/1000,"")</f>
        <v/>
      </c>
      <c r="M1288" s="10" t="str">
        <f t="shared" ref="M1288:M1351" si="178">IF($D1288&lt;&gt;"",$D1288*$F1288/1000,"")</f>
        <v/>
      </c>
      <c r="N1288" s="11" t="str">
        <f t="shared" si="173"/>
        <v/>
      </c>
      <c r="O1288" s="10" t="str">
        <f t="shared" si="174"/>
        <v/>
      </c>
      <c r="P1288" s="39" t="str">
        <f t="shared" si="175"/>
        <v/>
      </c>
      <c r="Q1288" s="13" t="str">
        <f t="shared" ref="Q1288:Q1351" si="179">IF(F1288&lt;&gt;"",F1288*E1288/1000,"")</f>
        <v/>
      </c>
      <c r="R1288" s="13" t="str">
        <f t="shared" si="176"/>
        <v/>
      </c>
      <c r="S1288" s="13" t="str">
        <f t="shared" ref="S1288:S1351" si="180">IF(R1288&lt;&gt;"",Q1288/R1288*1000,"")</f>
        <v/>
      </c>
      <c r="T1288" s="22" t="str">
        <f>IF(R1288&lt;&gt;"",VLOOKUP(P1288,Constants!$D$3:$E$10,2),"")</f>
        <v/>
      </c>
    </row>
    <row r="1289" spans="12:20" x14ac:dyDescent="0.25">
      <c r="L1289" s="10" t="str">
        <f t="shared" si="177"/>
        <v/>
      </c>
      <c r="M1289" s="10" t="str">
        <f t="shared" si="178"/>
        <v/>
      </c>
      <c r="N1289" s="11" t="str">
        <f t="shared" si="173"/>
        <v/>
      </c>
      <c r="O1289" s="10" t="str">
        <f t="shared" si="174"/>
        <v/>
      </c>
      <c r="P1289" s="39" t="str">
        <f t="shared" si="175"/>
        <v/>
      </c>
      <c r="Q1289" s="13" t="str">
        <f t="shared" si="179"/>
        <v/>
      </c>
      <c r="R1289" s="13" t="str">
        <f t="shared" si="176"/>
        <v/>
      </c>
      <c r="S1289" s="13" t="str">
        <f t="shared" si="180"/>
        <v/>
      </c>
      <c r="T1289" s="22" t="str">
        <f>IF(R1289&lt;&gt;"",VLOOKUP(P1289,Constants!$D$3:$E$10,2),"")</f>
        <v/>
      </c>
    </row>
    <row r="1290" spans="12:20" x14ac:dyDescent="0.25">
      <c r="L1290" s="10" t="str">
        <f t="shared" si="177"/>
        <v/>
      </c>
      <c r="M1290" s="10" t="str">
        <f t="shared" si="178"/>
        <v/>
      </c>
      <c r="N1290" s="11" t="str">
        <f t="shared" si="173"/>
        <v/>
      </c>
      <c r="O1290" s="10" t="str">
        <f t="shared" si="174"/>
        <v/>
      </c>
      <c r="P1290" s="39" t="str">
        <f t="shared" si="175"/>
        <v/>
      </c>
      <c r="Q1290" s="13" t="str">
        <f t="shared" si="179"/>
        <v/>
      </c>
      <c r="R1290" s="13" t="str">
        <f t="shared" si="176"/>
        <v/>
      </c>
      <c r="S1290" s="13" t="str">
        <f t="shared" si="180"/>
        <v/>
      </c>
      <c r="T1290" s="22" t="str">
        <f>IF(R1290&lt;&gt;"",VLOOKUP(P1290,Constants!$D$3:$E$10,2),"")</f>
        <v/>
      </c>
    </row>
    <row r="1291" spans="12:20" x14ac:dyDescent="0.25">
      <c r="L1291" s="10" t="str">
        <f t="shared" si="177"/>
        <v/>
      </c>
      <c r="M1291" s="10" t="str">
        <f t="shared" si="178"/>
        <v/>
      </c>
      <c r="N1291" s="11" t="str">
        <f t="shared" si="173"/>
        <v/>
      </c>
      <c r="O1291" s="10" t="str">
        <f t="shared" si="174"/>
        <v/>
      </c>
      <c r="P1291" s="39" t="str">
        <f t="shared" si="175"/>
        <v/>
      </c>
      <c r="Q1291" s="13" t="str">
        <f t="shared" si="179"/>
        <v/>
      </c>
      <c r="R1291" s="13" t="str">
        <f t="shared" si="176"/>
        <v/>
      </c>
      <c r="S1291" s="13" t="str">
        <f t="shared" si="180"/>
        <v/>
      </c>
      <c r="T1291" s="22" t="str">
        <f>IF(R1291&lt;&gt;"",VLOOKUP(P1291,Constants!$D$3:$E$10,2),"")</f>
        <v/>
      </c>
    </row>
    <row r="1292" spans="12:20" x14ac:dyDescent="0.25">
      <c r="L1292" s="10" t="str">
        <f t="shared" si="177"/>
        <v/>
      </c>
      <c r="M1292" s="10" t="str">
        <f t="shared" si="178"/>
        <v/>
      </c>
      <c r="N1292" s="11" t="str">
        <f t="shared" si="173"/>
        <v/>
      </c>
      <c r="O1292" s="10" t="str">
        <f t="shared" si="174"/>
        <v/>
      </c>
      <c r="P1292" s="39" t="str">
        <f t="shared" si="175"/>
        <v/>
      </c>
      <c r="Q1292" s="13" t="str">
        <f t="shared" si="179"/>
        <v/>
      </c>
      <c r="R1292" s="13" t="str">
        <f t="shared" si="176"/>
        <v/>
      </c>
      <c r="S1292" s="13" t="str">
        <f t="shared" si="180"/>
        <v/>
      </c>
      <c r="T1292" s="22" t="str">
        <f>IF(R1292&lt;&gt;"",VLOOKUP(P1292,Constants!$D$3:$E$10,2),"")</f>
        <v/>
      </c>
    </row>
    <row r="1293" spans="12:20" x14ac:dyDescent="0.25">
      <c r="L1293" s="10" t="str">
        <f t="shared" si="177"/>
        <v/>
      </c>
      <c r="M1293" s="10" t="str">
        <f t="shared" si="178"/>
        <v/>
      </c>
      <c r="N1293" s="11" t="str">
        <f t="shared" si="173"/>
        <v/>
      </c>
      <c r="O1293" s="10" t="str">
        <f t="shared" si="174"/>
        <v/>
      </c>
      <c r="P1293" s="39" t="str">
        <f t="shared" si="175"/>
        <v/>
      </c>
      <c r="Q1293" s="13" t="str">
        <f t="shared" si="179"/>
        <v/>
      </c>
      <c r="R1293" s="13" t="str">
        <f t="shared" si="176"/>
        <v/>
      </c>
      <c r="S1293" s="13" t="str">
        <f t="shared" si="180"/>
        <v/>
      </c>
      <c r="T1293" s="22" t="str">
        <f>IF(R1293&lt;&gt;"",VLOOKUP(P1293,Constants!$D$3:$E$10,2),"")</f>
        <v/>
      </c>
    </row>
    <row r="1294" spans="12:20" x14ac:dyDescent="0.25">
      <c r="L1294" s="10" t="str">
        <f t="shared" si="177"/>
        <v/>
      </c>
      <c r="M1294" s="10" t="str">
        <f t="shared" si="178"/>
        <v/>
      </c>
      <c r="N1294" s="11" t="str">
        <f t="shared" si="173"/>
        <v/>
      </c>
      <c r="O1294" s="10" t="str">
        <f t="shared" si="174"/>
        <v/>
      </c>
      <c r="P1294" s="39" t="str">
        <f t="shared" si="175"/>
        <v/>
      </c>
      <c r="Q1294" s="13" t="str">
        <f t="shared" si="179"/>
        <v/>
      </c>
      <c r="R1294" s="13" t="str">
        <f t="shared" si="176"/>
        <v/>
      </c>
      <c r="S1294" s="13" t="str">
        <f t="shared" si="180"/>
        <v/>
      </c>
      <c r="T1294" s="22" t="str">
        <f>IF(R1294&lt;&gt;"",VLOOKUP(P1294,Constants!$D$3:$E$10,2),"")</f>
        <v/>
      </c>
    </row>
    <row r="1295" spans="12:20" x14ac:dyDescent="0.25">
      <c r="L1295" s="10" t="str">
        <f t="shared" si="177"/>
        <v/>
      </c>
      <c r="M1295" s="10" t="str">
        <f t="shared" si="178"/>
        <v/>
      </c>
      <c r="N1295" s="11" t="str">
        <f t="shared" si="173"/>
        <v/>
      </c>
      <c r="O1295" s="10" t="str">
        <f t="shared" si="174"/>
        <v/>
      </c>
      <c r="P1295" s="39" t="str">
        <f t="shared" si="175"/>
        <v/>
      </c>
      <c r="Q1295" s="13" t="str">
        <f t="shared" si="179"/>
        <v/>
      </c>
      <c r="R1295" s="13" t="str">
        <f t="shared" si="176"/>
        <v/>
      </c>
      <c r="S1295" s="13" t="str">
        <f t="shared" si="180"/>
        <v/>
      </c>
      <c r="T1295" s="22" t="str">
        <f>IF(R1295&lt;&gt;"",VLOOKUP(P1295,Constants!$D$3:$E$10,2),"")</f>
        <v/>
      </c>
    </row>
    <row r="1296" spans="12:20" x14ac:dyDescent="0.25">
      <c r="L1296" s="10" t="str">
        <f t="shared" si="177"/>
        <v/>
      </c>
      <c r="M1296" s="10" t="str">
        <f t="shared" si="178"/>
        <v/>
      </c>
      <c r="N1296" s="11" t="str">
        <f t="shared" ref="N1296:N1359" si="181">IF($L1296&lt;&gt;"",SQRT($L1296*$L1296+$M1296*$M1296),"")</f>
        <v/>
      </c>
      <c r="O1296" s="10" t="str">
        <f t="shared" si="174"/>
        <v/>
      </c>
      <c r="P1296" s="39" t="str">
        <f t="shared" si="175"/>
        <v/>
      </c>
      <c r="Q1296" s="13" t="str">
        <f t="shared" si="179"/>
        <v/>
      </c>
      <c r="R1296" s="13" t="str">
        <f t="shared" si="176"/>
        <v/>
      </c>
      <c r="S1296" s="13" t="str">
        <f t="shared" si="180"/>
        <v/>
      </c>
      <c r="T1296" s="22" t="str">
        <f>IF(R1296&lt;&gt;"",VLOOKUP(P1296,Constants!$D$3:$E$10,2),"")</f>
        <v/>
      </c>
    </row>
    <row r="1297" spans="12:20" x14ac:dyDescent="0.25">
      <c r="L1297" s="10" t="str">
        <f t="shared" si="177"/>
        <v/>
      </c>
      <c r="M1297" s="10" t="str">
        <f t="shared" si="178"/>
        <v/>
      </c>
      <c r="N1297" s="11" t="str">
        <f t="shared" si="181"/>
        <v/>
      </c>
      <c r="O1297" s="10" t="str">
        <f t="shared" si="174"/>
        <v/>
      </c>
      <c r="P1297" s="39" t="str">
        <f t="shared" si="175"/>
        <v/>
      </c>
      <c r="Q1297" s="13" t="str">
        <f t="shared" si="179"/>
        <v/>
      </c>
      <c r="R1297" s="13" t="str">
        <f t="shared" si="176"/>
        <v/>
      </c>
      <c r="S1297" s="13" t="str">
        <f t="shared" si="180"/>
        <v/>
      </c>
      <c r="T1297" s="22" t="str">
        <f>IF(R1297&lt;&gt;"",VLOOKUP(P1297,Constants!$D$3:$E$10,2),"")</f>
        <v/>
      </c>
    </row>
    <row r="1298" spans="12:20" x14ac:dyDescent="0.25">
      <c r="L1298" s="10" t="str">
        <f t="shared" si="177"/>
        <v/>
      </c>
      <c r="M1298" s="10" t="str">
        <f t="shared" si="178"/>
        <v/>
      </c>
      <c r="N1298" s="11" t="str">
        <f t="shared" si="181"/>
        <v/>
      </c>
      <c r="O1298" s="10" t="str">
        <f t="shared" si="174"/>
        <v/>
      </c>
      <c r="P1298" s="39" t="str">
        <f t="shared" si="175"/>
        <v/>
      </c>
      <c r="Q1298" s="13" t="str">
        <f t="shared" si="179"/>
        <v/>
      </c>
      <c r="R1298" s="13" t="str">
        <f t="shared" si="176"/>
        <v/>
      </c>
      <c r="S1298" s="13" t="str">
        <f t="shared" si="180"/>
        <v/>
      </c>
      <c r="T1298" s="22" t="str">
        <f>IF(R1298&lt;&gt;"",VLOOKUP(P1298,Constants!$D$3:$E$10,2),"")</f>
        <v/>
      </c>
    </row>
    <row r="1299" spans="12:20" x14ac:dyDescent="0.25">
      <c r="L1299" s="10" t="str">
        <f t="shared" si="177"/>
        <v/>
      </c>
      <c r="M1299" s="10" t="str">
        <f t="shared" si="178"/>
        <v/>
      </c>
      <c r="N1299" s="11" t="str">
        <f t="shared" si="181"/>
        <v/>
      </c>
      <c r="O1299" s="10" t="str">
        <f t="shared" si="174"/>
        <v/>
      </c>
      <c r="P1299" s="39" t="str">
        <f t="shared" si="175"/>
        <v/>
      </c>
      <c r="Q1299" s="13" t="str">
        <f t="shared" si="179"/>
        <v/>
      </c>
      <c r="R1299" s="13" t="str">
        <f t="shared" si="176"/>
        <v/>
      </c>
      <c r="S1299" s="13" t="str">
        <f t="shared" si="180"/>
        <v/>
      </c>
      <c r="T1299" s="22" t="str">
        <f>IF(R1299&lt;&gt;"",VLOOKUP(P1299,Constants!$D$3:$E$10,2),"")</f>
        <v/>
      </c>
    </row>
    <row r="1300" spans="12:20" x14ac:dyDescent="0.25">
      <c r="L1300" s="10" t="str">
        <f t="shared" si="177"/>
        <v/>
      </c>
      <c r="M1300" s="10" t="str">
        <f t="shared" si="178"/>
        <v/>
      </c>
      <c r="N1300" s="11" t="str">
        <f t="shared" si="181"/>
        <v/>
      </c>
      <c r="O1300" s="10" t="str">
        <f t="shared" si="174"/>
        <v/>
      </c>
      <c r="P1300" s="39" t="str">
        <f t="shared" si="175"/>
        <v/>
      </c>
      <c r="Q1300" s="13" t="str">
        <f t="shared" si="179"/>
        <v/>
      </c>
      <c r="R1300" s="13" t="str">
        <f t="shared" si="176"/>
        <v/>
      </c>
      <c r="S1300" s="13" t="str">
        <f t="shared" si="180"/>
        <v/>
      </c>
      <c r="T1300" s="22" t="str">
        <f>IF(R1300&lt;&gt;"",VLOOKUP(P1300,Constants!$D$3:$E$10,2),"")</f>
        <v/>
      </c>
    </row>
    <row r="1301" spans="12:20" x14ac:dyDescent="0.25">
      <c r="L1301" s="10" t="str">
        <f t="shared" si="177"/>
        <v/>
      </c>
      <c r="M1301" s="10" t="str">
        <f t="shared" si="178"/>
        <v/>
      </c>
      <c r="N1301" s="11" t="str">
        <f t="shared" si="181"/>
        <v/>
      </c>
      <c r="O1301" s="10" t="str">
        <f t="shared" si="174"/>
        <v/>
      </c>
      <c r="P1301" s="39" t="str">
        <f t="shared" si="175"/>
        <v/>
      </c>
      <c r="Q1301" s="13" t="str">
        <f t="shared" si="179"/>
        <v/>
      </c>
      <c r="R1301" s="13" t="str">
        <f t="shared" si="176"/>
        <v/>
      </c>
      <c r="S1301" s="13" t="str">
        <f t="shared" si="180"/>
        <v/>
      </c>
      <c r="T1301" s="22" t="str">
        <f>IF(R1301&lt;&gt;"",VLOOKUP(P1301,Constants!$D$3:$E$10,2),"")</f>
        <v/>
      </c>
    </row>
    <row r="1302" spans="12:20" x14ac:dyDescent="0.25">
      <c r="L1302" s="10" t="str">
        <f t="shared" si="177"/>
        <v/>
      </c>
      <c r="M1302" s="10" t="str">
        <f t="shared" si="178"/>
        <v/>
      </c>
      <c r="N1302" s="11" t="str">
        <f t="shared" si="181"/>
        <v/>
      </c>
      <c r="O1302" s="10" t="str">
        <f t="shared" si="174"/>
        <v/>
      </c>
      <c r="P1302" s="39" t="str">
        <f t="shared" si="175"/>
        <v/>
      </c>
      <c r="Q1302" s="13" t="str">
        <f t="shared" si="179"/>
        <v/>
      </c>
      <c r="R1302" s="13" t="str">
        <f t="shared" si="176"/>
        <v/>
      </c>
      <c r="S1302" s="13" t="str">
        <f t="shared" si="180"/>
        <v/>
      </c>
      <c r="T1302" s="22" t="str">
        <f>IF(R1302&lt;&gt;"",VLOOKUP(P1302,Constants!$D$3:$E$10,2),"")</f>
        <v/>
      </c>
    </row>
    <row r="1303" spans="12:20" x14ac:dyDescent="0.25">
      <c r="L1303" s="10" t="str">
        <f t="shared" si="177"/>
        <v/>
      </c>
      <c r="M1303" s="10" t="str">
        <f t="shared" si="178"/>
        <v/>
      </c>
      <c r="N1303" s="11" t="str">
        <f t="shared" si="181"/>
        <v/>
      </c>
      <c r="O1303" s="10" t="str">
        <f t="shared" ref="O1303:O1366" si="182">IF(D1303&lt;&gt;"",1000/(2*D1303),"")</f>
        <v/>
      </c>
      <c r="P1303" s="39" t="str">
        <f t="shared" ref="P1303:P1366" si="183">IF($N1303&lt;&gt;"",D1303*SQRT(E1303*E1303+F1303*F1303)/16000,"")</f>
        <v/>
      </c>
      <c r="Q1303" s="13" t="str">
        <f t="shared" si="179"/>
        <v/>
      </c>
      <c r="R1303" s="13" t="str">
        <f t="shared" ref="R1303:R1366" si="184">IF(G1303&lt;&gt;"",1000/G1303,"")</f>
        <v/>
      </c>
      <c r="S1303" s="13" t="str">
        <f t="shared" si="180"/>
        <v/>
      </c>
      <c r="T1303" s="22" t="str">
        <f>IF(R1303&lt;&gt;"",VLOOKUP(P1303,Constants!$D$3:$E$10,2),"")</f>
        <v/>
      </c>
    </row>
    <row r="1304" spans="12:20" x14ac:dyDescent="0.25">
      <c r="L1304" s="10" t="str">
        <f t="shared" si="177"/>
        <v/>
      </c>
      <c r="M1304" s="10" t="str">
        <f t="shared" si="178"/>
        <v/>
      </c>
      <c r="N1304" s="11" t="str">
        <f t="shared" si="181"/>
        <v/>
      </c>
      <c r="O1304" s="10" t="str">
        <f t="shared" si="182"/>
        <v/>
      </c>
      <c r="P1304" s="39" t="str">
        <f t="shared" si="183"/>
        <v/>
      </c>
      <c r="Q1304" s="13" t="str">
        <f t="shared" si="179"/>
        <v/>
      </c>
      <c r="R1304" s="13" t="str">
        <f t="shared" si="184"/>
        <v/>
      </c>
      <c r="S1304" s="13" t="str">
        <f t="shared" si="180"/>
        <v/>
      </c>
      <c r="T1304" s="22" t="str">
        <f>IF(R1304&lt;&gt;"",VLOOKUP(P1304,Constants!$D$3:$E$10,2),"")</f>
        <v/>
      </c>
    </row>
    <row r="1305" spans="12:20" x14ac:dyDescent="0.25">
      <c r="L1305" s="10" t="str">
        <f t="shared" si="177"/>
        <v/>
      </c>
      <c r="M1305" s="10" t="str">
        <f t="shared" si="178"/>
        <v/>
      </c>
      <c r="N1305" s="11" t="str">
        <f t="shared" si="181"/>
        <v/>
      </c>
      <c r="O1305" s="10" t="str">
        <f t="shared" si="182"/>
        <v/>
      </c>
      <c r="P1305" s="39" t="str">
        <f t="shared" si="183"/>
        <v/>
      </c>
      <c r="Q1305" s="13" t="str">
        <f t="shared" si="179"/>
        <v/>
      </c>
      <c r="R1305" s="13" t="str">
        <f t="shared" si="184"/>
        <v/>
      </c>
      <c r="S1305" s="13" t="str">
        <f t="shared" si="180"/>
        <v/>
      </c>
      <c r="T1305" s="22" t="str">
        <f>IF(R1305&lt;&gt;"",VLOOKUP(P1305,Constants!$D$3:$E$10,2),"")</f>
        <v/>
      </c>
    </row>
    <row r="1306" spans="12:20" x14ac:dyDescent="0.25">
      <c r="L1306" s="10" t="str">
        <f t="shared" si="177"/>
        <v/>
      </c>
      <c r="M1306" s="10" t="str">
        <f t="shared" si="178"/>
        <v/>
      </c>
      <c r="N1306" s="11" t="str">
        <f t="shared" si="181"/>
        <v/>
      </c>
      <c r="O1306" s="10" t="str">
        <f t="shared" si="182"/>
        <v/>
      </c>
      <c r="P1306" s="39" t="str">
        <f t="shared" si="183"/>
        <v/>
      </c>
      <c r="Q1306" s="13" t="str">
        <f t="shared" si="179"/>
        <v/>
      </c>
      <c r="R1306" s="13" t="str">
        <f t="shared" si="184"/>
        <v/>
      </c>
      <c r="S1306" s="13" t="str">
        <f t="shared" si="180"/>
        <v/>
      </c>
      <c r="T1306" s="22" t="str">
        <f>IF(R1306&lt;&gt;"",VLOOKUP(P1306,Constants!$D$3:$E$10,2),"")</f>
        <v/>
      </c>
    </row>
    <row r="1307" spans="12:20" x14ac:dyDescent="0.25">
      <c r="L1307" s="10" t="str">
        <f t="shared" si="177"/>
        <v/>
      </c>
      <c r="M1307" s="10" t="str">
        <f t="shared" si="178"/>
        <v/>
      </c>
      <c r="N1307" s="11" t="str">
        <f t="shared" si="181"/>
        <v/>
      </c>
      <c r="O1307" s="10" t="str">
        <f t="shared" si="182"/>
        <v/>
      </c>
      <c r="P1307" s="39" t="str">
        <f t="shared" si="183"/>
        <v/>
      </c>
      <c r="Q1307" s="13" t="str">
        <f t="shared" si="179"/>
        <v/>
      </c>
      <c r="R1307" s="13" t="str">
        <f t="shared" si="184"/>
        <v/>
      </c>
      <c r="S1307" s="13" t="str">
        <f t="shared" si="180"/>
        <v/>
      </c>
      <c r="T1307" s="22" t="str">
        <f>IF(R1307&lt;&gt;"",VLOOKUP(P1307,Constants!$D$3:$E$10,2),"")</f>
        <v/>
      </c>
    </row>
    <row r="1308" spans="12:20" x14ac:dyDescent="0.25">
      <c r="L1308" s="10" t="str">
        <f t="shared" si="177"/>
        <v/>
      </c>
      <c r="M1308" s="10" t="str">
        <f t="shared" si="178"/>
        <v/>
      </c>
      <c r="N1308" s="11" t="str">
        <f t="shared" si="181"/>
        <v/>
      </c>
      <c r="O1308" s="10" t="str">
        <f t="shared" si="182"/>
        <v/>
      </c>
      <c r="P1308" s="39" t="str">
        <f t="shared" si="183"/>
        <v/>
      </c>
      <c r="Q1308" s="13" t="str">
        <f t="shared" si="179"/>
        <v/>
      </c>
      <c r="R1308" s="13" t="str">
        <f t="shared" si="184"/>
        <v/>
      </c>
      <c r="S1308" s="13" t="str">
        <f t="shared" si="180"/>
        <v/>
      </c>
      <c r="T1308" s="22" t="str">
        <f>IF(R1308&lt;&gt;"",VLOOKUP(P1308,Constants!$D$3:$E$10,2),"")</f>
        <v/>
      </c>
    </row>
    <row r="1309" spans="12:20" x14ac:dyDescent="0.25">
      <c r="L1309" s="10" t="str">
        <f t="shared" si="177"/>
        <v/>
      </c>
      <c r="M1309" s="10" t="str">
        <f t="shared" si="178"/>
        <v/>
      </c>
      <c r="N1309" s="11" t="str">
        <f t="shared" si="181"/>
        <v/>
      </c>
      <c r="O1309" s="10" t="str">
        <f t="shared" si="182"/>
        <v/>
      </c>
      <c r="P1309" s="39" t="str">
        <f t="shared" si="183"/>
        <v/>
      </c>
      <c r="Q1309" s="13" t="str">
        <f t="shared" si="179"/>
        <v/>
      </c>
      <c r="R1309" s="13" t="str">
        <f t="shared" si="184"/>
        <v/>
      </c>
      <c r="S1309" s="13" t="str">
        <f t="shared" si="180"/>
        <v/>
      </c>
      <c r="T1309" s="22" t="str">
        <f>IF(R1309&lt;&gt;"",VLOOKUP(P1309,Constants!$D$3:$E$10,2),"")</f>
        <v/>
      </c>
    </row>
    <row r="1310" spans="12:20" x14ac:dyDescent="0.25">
      <c r="L1310" s="10" t="str">
        <f t="shared" si="177"/>
        <v/>
      </c>
      <c r="M1310" s="10" t="str">
        <f t="shared" si="178"/>
        <v/>
      </c>
      <c r="N1310" s="11" t="str">
        <f t="shared" si="181"/>
        <v/>
      </c>
      <c r="O1310" s="10" t="str">
        <f t="shared" si="182"/>
        <v/>
      </c>
      <c r="P1310" s="39" t="str">
        <f t="shared" si="183"/>
        <v/>
      </c>
      <c r="Q1310" s="13" t="str">
        <f t="shared" si="179"/>
        <v/>
      </c>
      <c r="R1310" s="13" t="str">
        <f t="shared" si="184"/>
        <v/>
      </c>
      <c r="S1310" s="13" t="str">
        <f t="shared" si="180"/>
        <v/>
      </c>
      <c r="T1310" s="22" t="str">
        <f>IF(R1310&lt;&gt;"",VLOOKUP(P1310,Constants!$D$3:$E$10,2),"")</f>
        <v/>
      </c>
    </row>
    <row r="1311" spans="12:20" x14ac:dyDescent="0.25">
      <c r="L1311" s="10" t="str">
        <f t="shared" si="177"/>
        <v/>
      </c>
      <c r="M1311" s="10" t="str">
        <f t="shared" si="178"/>
        <v/>
      </c>
      <c r="N1311" s="11" t="str">
        <f t="shared" si="181"/>
        <v/>
      </c>
      <c r="O1311" s="10" t="str">
        <f t="shared" si="182"/>
        <v/>
      </c>
      <c r="P1311" s="39" t="str">
        <f t="shared" si="183"/>
        <v/>
      </c>
      <c r="Q1311" s="13" t="str">
        <f t="shared" si="179"/>
        <v/>
      </c>
      <c r="R1311" s="13" t="str">
        <f t="shared" si="184"/>
        <v/>
      </c>
      <c r="S1311" s="13" t="str">
        <f t="shared" si="180"/>
        <v/>
      </c>
      <c r="T1311" s="22" t="str">
        <f>IF(R1311&lt;&gt;"",VLOOKUP(P1311,Constants!$D$3:$E$10,2),"")</f>
        <v/>
      </c>
    </row>
    <row r="1312" spans="12:20" x14ac:dyDescent="0.25">
      <c r="L1312" s="10" t="str">
        <f t="shared" si="177"/>
        <v/>
      </c>
      <c r="M1312" s="10" t="str">
        <f t="shared" si="178"/>
        <v/>
      </c>
      <c r="N1312" s="11" t="str">
        <f t="shared" si="181"/>
        <v/>
      </c>
      <c r="O1312" s="10" t="str">
        <f t="shared" si="182"/>
        <v/>
      </c>
      <c r="P1312" s="39" t="str">
        <f t="shared" si="183"/>
        <v/>
      </c>
      <c r="Q1312" s="13" t="str">
        <f t="shared" si="179"/>
        <v/>
      </c>
      <c r="R1312" s="13" t="str">
        <f t="shared" si="184"/>
        <v/>
      </c>
      <c r="S1312" s="13" t="str">
        <f t="shared" si="180"/>
        <v/>
      </c>
      <c r="T1312" s="22" t="str">
        <f>IF(R1312&lt;&gt;"",VLOOKUP(P1312,Constants!$D$3:$E$10,2),"")</f>
        <v/>
      </c>
    </row>
    <row r="1313" spans="12:20" x14ac:dyDescent="0.25">
      <c r="L1313" s="10" t="str">
        <f t="shared" si="177"/>
        <v/>
      </c>
      <c r="M1313" s="10" t="str">
        <f t="shared" si="178"/>
        <v/>
      </c>
      <c r="N1313" s="11" t="str">
        <f t="shared" si="181"/>
        <v/>
      </c>
      <c r="O1313" s="10" t="str">
        <f t="shared" si="182"/>
        <v/>
      </c>
      <c r="P1313" s="39" t="str">
        <f t="shared" si="183"/>
        <v/>
      </c>
      <c r="Q1313" s="13" t="str">
        <f t="shared" si="179"/>
        <v/>
      </c>
      <c r="R1313" s="13" t="str">
        <f t="shared" si="184"/>
        <v/>
      </c>
      <c r="S1313" s="13" t="str">
        <f t="shared" si="180"/>
        <v/>
      </c>
      <c r="T1313" s="22" t="str">
        <f>IF(R1313&lt;&gt;"",VLOOKUP(P1313,Constants!$D$3:$E$10,2),"")</f>
        <v/>
      </c>
    </row>
    <row r="1314" spans="12:20" x14ac:dyDescent="0.25">
      <c r="L1314" s="10" t="str">
        <f t="shared" si="177"/>
        <v/>
      </c>
      <c r="M1314" s="10" t="str">
        <f t="shared" si="178"/>
        <v/>
      </c>
      <c r="N1314" s="11" t="str">
        <f t="shared" si="181"/>
        <v/>
      </c>
      <c r="O1314" s="10" t="str">
        <f t="shared" si="182"/>
        <v/>
      </c>
      <c r="P1314" s="39" t="str">
        <f t="shared" si="183"/>
        <v/>
      </c>
      <c r="Q1314" s="13" t="str">
        <f t="shared" si="179"/>
        <v/>
      </c>
      <c r="R1314" s="13" t="str">
        <f t="shared" si="184"/>
        <v/>
      </c>
      <c r="S1314" s="13" t="str">
        <f t="shared" si="180"/>
        <v/>
      </c>
      <c r="T1314" s="22" t="str">
        <f>IF(R1314&lt;&gt;"",VLOOKUP(P1314,Constants!$D$3:$E$10,2),"")</f>
        <v/>
      </c>
    </row>
    <row r="1315" spans="12:20" x14ac:dyDescent="0.25">
      <c r="L1315" s="10" t="str">
        <f t="shared" si="177"/>
        <v/>
      </c>
      <c r="M1315" s="10" t="str">
        <f t="shared" si="178"/>
        <v/>
      </c>
      <c r="N1315" s="11" t="str">
        <f t="shared" si="181"/>
        <v/>
      </c>
      <c r="O1315" s="10" t="str">
        <f t="shared" si="182"/>
        <v/>
      </c>
      <c r="P1315" s="39" t="str">
        <f t="shared" si="183"/>
        <v/>
      </c>
      <c r="Q1315" s="13" t="str">
        <f t="shared" si="179"/>
        <v/>
      </c>
      <c r="R1315" s="13" t="str">
        <f t="shared" si="184"/>
        <v/>
      </c>
      <c r="S1315" s="13" t="str">
        <f t="shared" si="180"/>
        <v/>
      </c>
      <c r="T1315" s="22" t="str">
        <f>IF(R1315&lt;&gt;"",VLOOKUP(P1315,Constants!$D$3:$E$10,2),"")</f>
        <v/>
      </c>
    </row>
    <row r="1316" spans="12:20" x14ac:dyDescent="0.25">
      <c r="L1316" s="10" t="str">
        <f t="shared" si="177"/>
        <v/>
      </c>
      <c r="M1316" s="10" t="str">
        <f t="shared" si="178"/>
        <v/>
      </c>
      <c r="N1316" s="11" t="str">
        <f t="shared" si="181"/>
        <v/>
      </c>
      <c r="O1316" s="10" t="str">
        <f t="shared" si="182"/>
        <v/>
      </c>
      <c r="P1316" s="39" t="str">
        <f t="shared" si="183"/>
        <v/>
      </c>
      <c r="Q1316" s="13" t="str">
        <f t="shared" si="179"/>
        <v/>
      </c>
      <c r="R1316" s="13" t="str">
        <f t="shared" si="184"/>
        <v/>
      </c>
      <c r="S1316" s="13" t="str">
        <f t="shared" si="180"/>
        <v/>
      </c>
      <c r="T1316" s="22" t="str">
        <f>IF(R1316&lt;&gt;"",VLOOKUP(P1316,Constants!$D$3:$E$10,2),"")</f>
        <v/>
      </c>
    </row>
    <row r="1317" spans="12:20" x14ac:dyDescent="0.25">
      <c r="L1317" s="10" t="str">
        <f t="shared" si="177"/>
        <v/>
      </c>
      <c r="M1317" s="10" t="str">
        <f t="shared" si="178"/>
        <v/>
      </c>
      <c r="N1317" s="11" t="str">
        <f t="shared" si="181"/>
        <v/>
      </c>
      <c r="O1317" s="10" t="str">
        <f t="shared" si="182"/>
        <v/>
      </c>
      <c r="P1317" s="39" t="str">
        <f t="shared" si="183"/>
        <v/>
      </c>
      <c r="Q1317" s="13" t="str">
        <f t="shared" si="179"/>
        <v/>
      </c>
      <c r="R1317" s="13" t="str">
        <f t="shared" si="184"/>
        <v/>
      </c>
      <c r="S1317" s="13" t="str">
        <f t="shared" si="180"/>
        <v/>
      </c>
      <c r="T1317" s="22" t="str">
        <f>IF(R1317&lt;&gt;"",VLOOKUP(P1317,Constants!$D$3:$E$10,2),"")</f>
        <v/>
      </c>
    </row>
    <row r="1318" spans="12:20" x14ac:dyDescent="0.25">
      <c r="L1318" s="10" t="str">
        <f t="shared" si="177"/>
        <v/>
      </c>
      <c r="M1318" s="10" t="str">
        <f t="shared" si="178"/>
        <v/>
      </c>
      <c r="N1318" s="11" t="str">
        <f t="shared" si="181"/>
        <v/>
      </c>
      <c r="O1318" s="10" t="str">
        <f t="shared" si="182"/>
        <v/>
      </c>
      <c r="P1318" s="39" t="str">
        <f t="shared" si="183"/>
        <v/>
      </c>
      <c r="Q1318" s="13" t="str">
        <f t="shared" si="179"/>
        <v/>
      </c>
      <c r="R1318" s="13" t="str">
        <f t="shared" si="184"/>
        <v/>
      </c>
      <c r="S1318" s="13" t="str">
        <f t="shared" si="180"/>
        <v/>
      </c>
      <c r="T1318" s="22" t="str">
        <f>IF(R1318&lt;&gt;"",VLOOKUP(P1318,Constants!$D$3:$E$10,2),"")</f>
        <v/>
      </c>
    </row>
    <row r="1319" spans="12:20" x14ac:dyDescent="0.25">
      <c r="L1319" s="10" t="str">
        <f t="shared" si="177"/>
        <v/>
      </c>
      <c r="M1319" s="10" t="str">
        <f t="shared" si="178"/>
        <v/>
      </c>
      <c r="N1319" s="11" t="str">
        <f t="shared" si="181"/>
        <v/>
      </c>
      <c r="O1319" s="10" t="str">
        <f t="shared" si="182"/>
        <v/>
      </c>
      <c r="P1319" s="39" t="str">
        <f t="shared" si="183"/>
        <v/>
      </c>
      <c r="Q1319" s="13" t="str">
        <f t="shared" si="179"/>
        <v/>
      </c>
      <c r="R1319" s="13" t="str">
        <f t="shared" si="184"/>
        <v/>
      </c>
      <c r="S1319" s="13" t="str">
        <f t="shared" si="180"/>
        <v/>
      </c>
      <c r="T1319" s="22" t="str">
        <f>IF(R1319&lt;&gt;"",VLOOKUP(P1319,Constants!$D$3:$E$10,2),"")</f>
        <v/>
      </c>
    </row>
    <row r="1320" spans="12:20" x14ac:dyDescent="0.25">
      <c r="L1320" s="10" t="str">
        <f t="shared" si="177"/>
        <v/>
      </c>
      <c r="M1320" s="10" t="str">
        <f t="shared" si="178"/>
        <v/>
      </c>
      <c r="N1320" s="11" t="str">
        <f t="shared" si="181"/>
        <v/>
      </c>
      <c r="O1320" s="10" t="str">
        <f t="shared" si="182"/>
        <v/>
      </c>
      <c r="P1320" s="39" t="str">
        <f t="shared" si="183"/>
        <v/>
      </c>
      <c r="Q1320" s="13" t="str">
        <f t="shared" si="179"/>
        <v/>
      </c>
      <c r="R1320" s="13" t="str">
        <f t="shared" si="184"/>
        <v/>
      </c>
      <c r="S1320" s="13" t="str">
        <f t="shared" si="180"/>
        <v/>
      </c>
      <c r="T1320" s="22" t="str">
        <f>IF(R1320&lt;&gt;"",VLOOKUP(P1320,Constants!$D$3:$E$10,2),"")</f>
        <v/>
      </c>
    </row>
    <row r="1321" spans="12:20" x14ac:dyDescent="0.25">
      <c r="L1321" s="10" t="str">
        <f t="shared" si="177"/>
        <v/>
      </c>
      <c r="M1321" s="10" t="str">
        <f t="shared" si="178"/>
        <v/>
      </c>
      <c r="N1321" s="11" t="str">
        <f t="shared" si="181"/>
        <v/>
      </c>
      <c r="O1321" s="10" t="str">
        <f t="shared" si="182"/>
        <v/>
      </c>
      <c r="P1321" s="39" t="str">
        <f t="shared" si="183"/>
        <v/>
      </c>
      <c r="Q1321" s="13" t="str">
        <f t="shared" si="179"/>
        <v/>
      </c>
      <c r="R1321" s="13" t="str">
        <f t="shared" si="184"/>
        <v/>
      </c>
      <c r="S1321" s="13" t="str">
        <f t="shared" si="180"/>
        <v/>
      </c>
      <c r="T1321" s="22" t="str">
        <f>IF(R1321&lt;&gt;"",VLOOKUP(P1321,Constants!$D$3:$E$10,2),"")</f>
        <v/>
      </c>
    </row>
    <row r="1322" spans="12:20" x14ac:dyDescent="0.25">
      <c r="L1322" s="10" t="str">
        <f t="shared" si="177"/>
        <v/>
      </c>
      <c r="M1322" s="10" t="str">
        <f t="shared" si="178"/>
        <v/>
      </c>
      <c r="N1322" s="11" t="str">
        <f t="shared" si="181"/>
        <v/>
      </c>
      <c r="O1322" s="10" t="str">
        <f t="shared" si="182"/>
        <v/>
      </c>
      <c r="P1322" s="39" t="str">
        <f t="shared" si="183"/>
        <v/>
      </c>
      <c r="Q1322" s="13" t="str">
        <f t="shared" si="179"/>
        <v/>
      </c>
      <c r="R1322" s="13" t="str">
        <f t="shared" si="184"/>
        <v/>
      </c>
      <c r="S1322" s="13" t="str">
        <f t="shared" si="180"/>
        <v/>
      </c>
      <c r="T1322" s="22" t="str">
        <f>IF(R1322&lt;&gt;"",VLOOKUP(P1322,Constants!$D$3:$E$10,2),"")</f>
        <v/>
      </c>
    </row>
    <row r="1323" spans="12:20" x14ac:dyDescent="0.25">
      <c r="L1323" s="10" t="str">
        <f t="shared" si="177"/>
        <v/>
      </c>
      <c r="M1323" s="10" t="str">
        <f t="shared" si="178"/>
        <v/>
      </c>
      <c r="N1323" s="11" t="str">
        <f t="shared" si="181"/>
        <v/>
      </c>
      <c r="O1323" s="10" t="str">
        <f t="shared" si="182"/>
        <v/>
      </c>
      <c r="P1323" s="39" t="str">
        <f t="shared" si="183"/>
        <v/>
      </c>
      <c r="Q1323" s="13" t="str">
        <f t="shared" si="179"/>
        <v/>
      </c>
      <c r="R1323" s="13" t="str">
        <f t="shared" si="184"/>
        <v/>
      </c>
      <c r="S1323" s="13" t="str">
        <f t="shared" si="180"/>
        <v/>
      </c>
      <c r="T1323" s="22" t="str">
        <f>IF(R1323&lt;&gt;"",VLOOKUP(P1323,Constants!$D$3:$E$10,2),"")</f>
        <v/>
      </c>
    </row>
    <row r="1324" spans="12:20" x14ac:dyDescent="0.25">
      <c r="L1324" s="10" t="str">
        <f t="shared" si="177"/>
        <v/>
      </c>
      <c r="M1324" s="10" t="str">
        <f t="shared" si="178"/>
        <v/>
      </c>
      <c r="N1324" s="11" t="str">
        <f t="shared" si="181"/>
        <v/>
      </c>
      <c r="O1324" s="10" t="str">
        <f t="shared" si="182"/>
        <v/>
      </c>
      <c r="P1324" s="39" t="str">
        <f t="shared" si="183"/>
        <v/>
      </c>
      <c r="Q1324" s="13" t="str">
        <f t="shared" si="179"/>
        <v/>
      </c>
      <c r="R1324" s="13" t="str">
        <f t="shared" si="184"/>
        <v/>
      </c>
      <c r="S1324" s="13" t="str">
        <f t="shared" si="180"/>
        <v/>
      </c>
      <c r="T1324" s="22" t="str">
        <f>IF(R1324&lt;&gt;"",VLOOKUP(P1324,Constants!$D$3:$E$10,2),"")</f>
        <v/>
      </c>
    </row>
    <row r="1325" spans="12:20" x14ac:dyDescent="0.25">
      <c r="L1325" s="10" t="str">
        <f t="shared" si="177"/>
        <v/>
      </c>
      <c r="M1325" s="10" t="str">
        <f t="shared" si="178"/>
        <v/>
      </c>
      <c r="N1325" s="11" t="str">
        <f t="shared" si="181"/>
        <v/>
      </c>
      <c r="O1325" s="10" t="str">
        <f t="shared" si="182"/>
        <v/>
      </c>
      <c r="P1325" s="39" t="str">
        <f t="shared" si="183"/>
        <v/>
      </c>
      <c r="Q1325" s="13" t="str">
        <f t="shared" si="179"/>
        <v/>
      </c>
      <c r="R1325" s="13" t="str">
        <f t="shared" si="184"/>
        <v/>
      </c>
      <c r="S1325" s="13" t="str">
        <f t="shared" si="180"/>
        <v/>
      </c>
      <c r="T1325" s="22" t="str">
        <f>IF(R1325&lt;&gt;"",VLOOKUP(P1325,Constants!$D$3:$E$10,2),"")</f>
        <v/>
      </c>
    </row>
    <row r="1326" spans="12:20" x14ac:dyDescent="0.25">
      <c r="L1326" s="10" t="str">
        <f t="shared" si="177"/>
        <v/>
      </c>
      <c r="M1326" s="10" t="str">
        <f t="shared" si="178"/>
        <v/>
      </c>
      <c r="N1326" s="11" t="str">
        <f t="shared" si="181"/>
        <v/>
      </c>
      <c r="O1326" s="10" t="str">
        <f t="shared" si="182"/>
        <v/>
      </c>
      <c r="P1326" s="39" t="str">
        <f t="shared" si="183"/>
        <v/>
      </c>
      <c r="Q1326" s="13" t="str">
        <f t="shared" si="179"/>
        <v/>
      </c>
      <c r="R1326" s="13" t="str">
        <f t="shared" si="184"/>
        <v/>
      </c>
      <c r="S1326" s="13" t="str">
        <f t="shared" si="180"/>
        <v/>
      </c>
      <c r="T1326" s="22" t="str">
        <f>IF(R1326&lt;&gt;"",VLOOKUP(P1326,Constants!$D$3:$E$10,2),"")</f>
        <v/>
      </c>
    </row>
    <row r="1327" spans="12:20" x14ac:dyDescent="0.25">
      <c r="L1327" s="10" t="str">
        <f t="shared" si="177"/>
        <v/>
      </c>
      <c r="M1327" s="10" t="str">
        <f t="shared" si="178"/>
        <v/>
      </c>
      <c r="N1327" s="11" t="str">
        <f t="shared" si="181"/>
        <v/>
      </c>
      <c r="O1327" s="10" t="str">
        <f t="shared" si="182"/>
        <v/>
      </c>
      <c r="P1327" s="39" t="str">
        <f t="shared" si="183"/>
        <v/>
      </c>
      <c r="Q1327" s="13" t="str">
        <f t="shared" si="179"/>
        <v/>
      </c>
      <c r="R1327" s="13" t="str">
        <f t="shared" si="184"/>
        <v/>
      </c>
      <c r="S1327" s="13" t="str">
        <f t="shared" si="180"/>
        <v/>
      </c>
      <c r="T1327" s="22" t="str">
        <f>IF(R1327&lt;&gt;"",VLOOKUP(P1327,Constants!$D$3:$E$10,2),"")</f>
        <v/>
      </c>
    </row>
    <row r="1328" spans="12:20" x14ac:dyDescent="0.25">
      <c r="L1328" s="10" t="str">
        <f t="shared" si="177"/>
        <v/>
      </c>
      <c r="M1328" s="10" t="str">
        <f t="shared" si="178"/>
        <v/>
      </c>
      <c r="N1328" s="11" t="str">
        <f t="shared" si="181"/>
        <v/>
      </c>
      <c r="O1328" s="10" t="str">
        <f t="shared" si="182"/>
        <v/>
      </c>
      <c r="P1328" s="39" t="str">
        <f t="shared" si="183"/>
        <v/>
      </c>
      <c r="Q1328" s="13" t="str">
        <f t="shared" si="179"/>
        <v/>
      </c>
      <c r="R1328" s="13" t="str">
        <f t="shared" si="184"/>
        <v/>
      </c>
      <c r="S1328" s="13" t="str">
        <f t="shared" si="180"/>
        <v/>
      </c>
      <c r="T1328" s="22" t="str">
        <f>IF(R1328&lt;&gt;"",VLOOKUP(P1328,Constants!$D$3:$E$10,2),"")</f>
        <v/>
      </c>
    </row>
    <row r="1329" spans="12:20" x14ac:dyDescent="0.25">
      <c r="L1329" s="10" t="str">
        <f t="shared" si="177"/>
        <v/>
      </c>
      <c r="M1329" s="10" t="str">
        <f t="shared" si="178"/>
        <v/>
      </c>
      <c r="N1329" s="11" t="str">
        <f t="shared" si="181"/>
        <v/>
      </c>
      <c r="O1329" s="10" t="str">
        <f t="shared" si="182"/>
        <v/>
      </c>
      <c r="P1329" s="39" t="str">
        <f t="shared" si="183"/>
        <v/>
      </c>
      <c r="Q1329" s="13" t="str">
        <f t="shared" si="179"/>
        <v/>
      </c>
      <c r="R1329" s="13" t="str">
        <f t="shared" si="184"/>
        <v/>
      </c>
      <c r="S1329" s="13" t="str">
        <f t="shared" si="180"/>
        <v/>
      </c>
      <c r="T1329" s="22" t="str">
        <f>IF(R1329&lt;&gt;"",VLOOKUP(P1329,Constants!$D$3:$E$10,2),"")</f>
        <v/>
      </c>
    </row>
    <row r="1330" spans="12:20" x14ac:dyDescent="0.25">
      <c r="L1330" s="10" t="str">
        <f t="shared" si="177"/>
        <v/>
      </c>
      <c r="M1330" s="10" t="str">
        <f t="shared" si="178"/>
        <v/>
      </c>
      <c r="N1330" s="11" t="str">
        <f t="shared" si="181"/>
        <v/>
      </c>
      <c r="O1330" s="10" t="str">
        <f t="shared" si="182"/>
        <v/>
      </c>
      <c r="P1330" s="39" t="str">
        <f t="shared" si="183"/>
        <v/>
      </c>
      <c r="Q1330" s="13" t="str">
        <f t="shared" si="179"/>
        <v/>
      </c>
      <c r="R1330" s="13" t="str">
        <f t="shared" si="184"/>
        <v/>
      </c>
      <c r="S1330" s="13" t="str">
        <f t="shared" si="180"/>
        <v/>
      </c>
      <c r="T1330" s="22" t="str">
        <f>IF(R1330&lt;&gt;"",VLOOKUP(P1330,Constants!$D$3:$E$10,2),"")</f>
        <v/>
      </c>
    </row>
    <row r="1331" spans="12:20" x14ac:dyDescent="0.25">
      <c r="L1331" s="10" t="str">
        <f t="shared" si="177"/>
        <v/>
      </c>
      <c r="M1331" s="10" t="str">
        <f t="shared" si="178"/>
        <v/>
      </c>
      <c r="N1331" s="11" t="str">
        <f t="shared" si="181"/>
        <v/>
      </c>
      <c r="O1331" s="10" t="str">
        <f t="shared" si="182"/>
        <v/>
      </c>
      <c r="P1331" s="39" t="str">
        <f t="shared" si="183"/>
        <v/>
      </c>
      <c r="Q1331" s="13" t="str">
        <f t="shared" si="179"/>
        <v/>
      </c>
      <c r="R1331" s="13" t="str">
        <f t="shared" si="184"/>
        <v/>
      </c>
      <c r="S1331" s="13" t="str">
        <f t="shared" si="180"/>
        <v/>
      </c>
      <c r="T1331" s="22" t="str">
        <f>IF(R1331&lt;&gt;"",VLOOKUP(P1331,Constants!$D$3:$E$10,2),"")</f>
        <v/>
      </c>
    </row>
    <row r="1332" spans="12:20" x14ac:dyDescent="0.25">
      <c r="L1332" s="10" t="str">
        <f t="shared" si="177"/>
        <v/>
      </c>
      <c r="M1332" s="10" t="str">
        <f t="shared" si="178"/>
        <v/>
      </c>
      <c r="N1332" s="11" t="str">
        <f t="shared" si="181"/>
        <v/>
      </c>
      <c r="O1332" s="10" t="str">
        <f t="shared" si="182"/>
        <v/>
      </c>
      <c r="P1332" s="39" t="str">
        <f t="shared" si="183"/>
        <v/>
      </c>
      <c r="Q1332" s="13" t="str">
        <f t="shared" si="179"/>
        <v/>
      </c>
      <c r="R1332" s="13" t="str">
        <f t="shared" si="184"/>
        <v/>
      </c>
      <c r="S1332" s="13" t="str">
        <f t="shared" si="180"/>
        <v/>
      </c>
      <c r="T1332" s="22" t="str">
        <f>IF(R1332&lt;&gt;"",VLOOKUP(P1332,Constants!$D$3:$E$10,2),"")</f>
        <v/>
      </c>
    </row>
    <row r="1333" spans="12:20" x14ac:dyDescent="0.25">
      <c r="L1333" s="10" t="str">
        <f t="shared" si="177"/>
        <v/>
      </c>
      <c r="M1333" s="10" t="str">
        <f t="shared" si="178"/>
        <v/>
      </c>
      <c r="N1333" s="11" t="str">
        <f t="shared" si="181"/>
        <v/>
      </c>
      <c r="O1333" s="10" t="str">
        <f t="shared" si="182"/>
        <v/>
      </c>
      <c r="P1333" s="39" t="str">
        <f t="shared" si="183"/>
        <v/>
      </c>
      <c r="Q1333" s="13" t="str">
        <f t="shared" si="179"/>
        <v/>
      </c>
      <c r="R1333" s="13" t="str">
        <f t="shared" si="184"/>
        <v/>
      </c>
      <c r="S1333" s="13" t="str">
        <f t="shared" si="180"/>
        <v/>
      </c>
      <c r="T1333" s="22" t="str">
        <f>IF(R1333&lt;&gt;"",VLOOKUP(P1333,Constants!$D$3:$E$10,2),"")</f>
        <v/>
      </c>
    </row>
    <row r="1334" spans="12:20" x14ac:dyDescent="0.25">
      <c r="L1334" s="10" t="str">
        <f t="shared" si="177"/>
        <v/>
      </c>
      <c r="M1334" s="10" t="str">
        <f t="shared" si="178"/>
        <v/>
      </c>
      <c r="N1334" s="11" t="str">
        <f t="shared" si="181"/>
        <v/>
      </c>
      <c r="O1334" s="10" t="str">
        <f t="shared" si="182"/>
        <v/>
      </c>
      <c r="P1334" s="39" t="str">
        <f t="shared" si="183"/>
        <v/>
      </c>
      <c r="Q1334" s="13" t="str">
        <f t="shared" si="179"/>
        <v/>
      </c>
      <c r="R1334" s="13" t="str">
        <f t="shared" si="184"/>
        <v/>
      </c>
      <c r="S1334" s="13" t="str">
        <f t="shared" si="180"/>
        <v/>
      </c>
      <c r="T1334" s="22" t="str">
        <f>IF(R1334&lt;&gt;"",VLOOKUP(P1334,Constants!$D$3:$E$10,2),"")</f>
        <v/>
      </c>
    </row>
    <row r="1335" spans="12:20" x14ac:dyDescent="0.25">
      <c r="L1335" s="10" t="str">
        <f t="shared" si="177"/>
        <v/>
      </c>
      <c r="M1335" s="10" t="str">
        <f t="shared" si="178"/>
        <v/>
      </c>
      <c r="N1335" s="11" t="str">
        <f t="shared" si="181"/>
        <v/>
      </c>
      <c r="O1335" s="10" t="str">
        <f t="shared" si="182"/>
        <v/>
      </c>
      <c r="P1335" s="39" t="str">
        <f t="shared" si="183"/>
        <v/>
      </c>
      <c r="Q1335" s="13" t="str">
        <f t="shared" si="179"/>
        <v/>
      </c>
      <c r="R1335" s="13" t="str">
        <f t="shared" si="184"/>
        <v/>
      </c>
      <c r="S1335" s="13" t="str">
        <f t="shared" si="180"/>
        <v/>
      </c>
      <c r="T1335" s="22" t="str">
        <f>IF(R1335&lt;&gt;"",VLOOKUP(P1335,Constants!$D$3:$E$10,2),"")</f>
        <v/>
      </c>
    </row>
    <row r="1336" spans="12:20" x14ac:dyDescent="0.25">
      <c r="L1336" s="10" t="str">
        <f t="shared" si="177"/>
        <v/>
      </c>
      <c r="M1336" s="10" t="str">
        <f t="shared" si="178"/>
        <v/>
      </c>
      <c r="N1336" s="11" t="str">
        <f t="shared" si="181"/>
        <v/>
      </c>
      <c r="O1336" s="10" t="str">
        <f t="shared" si="182"/>
        <v/>
      </c>
      <c r="P1336" s="39" t="str">
        <f t="shared" si="183"/>
        <v/>
      </c>
      <c r="Q1336" s="13" t="str">
        <f t="shared" si="179"/>
        <v/>
      </c>
      <c r="R1336" s="13" t="str">
        <f t="shared" si="184"/>
        <v/>
      </c>
      <c r="S1336" s="13" t="str">
        <f t="shared" si="180"/>
        <v/>
      </c>
      <c r="T1336" s="22" t="str">
        <f>IF(R1336&lt;&gt;"",VLOOKUP(P1336,Constants!$D$3:$E$10,2),"")</f>
        <v/>
      </c>
    </row>
    <row r="1337" spans="12:20" x14ac:dyDescent="0.25">
      <c r="L1337" s="10" t="str">
        <f t="shared" si="177"/>
        <v/>
      </c>
      <c r="M1337" s="10" t="str">
        <f t="shared" si="178"/>
        <v/>
      </c>
      <c r="N1337" s="11" t="str">
        <f t="shared" si="181"/>
        <v/>
      </c>
      <c r="O1337" s="10" t="str">
        <f t="shared" si="182"/>
        <v/>
      </c>
      <c r="P1337" s="39" t="str">
        <f t="shared" si="183"/>
        <v/>
      </c>
      <c r="Q1337" s="13" t="str">
        <f t="shared" si="179"/>
        <v/>
      </c>
      <c r="R1337" s="13" t="str">
        <f t="shared" si="184"/>
        <v/>
      </c>
      <c r="S1337" s="13" t="str">
        <f t="shared" si="180"/>
        <v/>
      </c>
      <c r="T1337" s="22" t="str">
        <f>IF(R1337&lt;&gt;"",VLOOKUP(P1337,Constants!$D$3:$E$10,2),"")</f>
        <v/>
      </c>
    </row>
    <row r="1338" spans="12:20" x14ac:dyDescent="0.25">
      <c r="L1338" s="10" t="str">
        <f t="shared" si="177"/>
        <v/>
      </c>
      <c r="M1338" s="10" t="str">
        <f t="shared" si="178"/>
        <v/>
      </c>
      <c r="N1338" s="11" t="str">
        <f t="shared" si="181"/>
        <v/>
      </c>
      <c r="O1338" s="10" t="str">
        <f t="shared" si="182"/>
        <v/>
      </c>
      <c r="P1338" s="39" t="str">
        <f t="shared" si="183"/>
        <v/>
      </c>
      <c r="Q1338" s="13" t="str">
        <f t="shared" si="179"/>
        <v/>
      </c>
      <c r="R1338" s="13" t="str">
        <f t="shared" si="184"/>
        <v/>
      </c>
      <c r="S1338" s="13" t="str">
        <f t="shared" si="180"/>
        <v/>
      </c>
      <c r="T1338" s="22" t="str">
        <f>IF(R1338&lt;&gt;"",VLOOKUP(P1338,Constants!$D$3:$E$10,2),"")</f>
        <v/>
      </c>
    </row>
    <row r="1339" spans="12:20" x14ac:dyDescent="0.25">
      <c r="L1339" s="10" t="str">
        <f t="shared" si="177"/>
        <v/>
      </c>
      <c r="M1339" s="10" t="str">
        <f t="shared" si="178"/>
        <v/>
      </c>
      <c r="N1339" s="11" t="str">
        <f t="shared" si="181"/>
        <v/>
      </c>
      <c r="O1339" s="10" t="str">
        <f t="shared" si="182"/>
        <v/>
      </c>
      <c r="P1339" s="39" t="str">
        <f t="shared" si="183"/>
        <v/>
      </c>
      <c r="Q1339" s="13" t="str">
        <f t="shared" si="179"/>
        <v/>
      </c>
      <c r="R1339" s="13" t="str">
        <f t="shared" si="184"/>
        <v/>
      </c>
      <c r="S1339" s="13" t="str">
        <f t="shared" si="180"/>
        <v/>
      </c>
      <c r="T1339" s="22" t="str">
        <f>IF(R1339&lt;&gt;"",VLOOKUP(P1339,Constants!$D$3:$E$10,2),"")</f>
        <v/>
      </c>
    </row>
    <row r="1340" spans="12:20" x14ac:dyDescent="0.25">
      <c r="L1340" s="10" t="str">
        <f t="shared" si="177"/>
        <v/>
      </c>
      <c r="M1340" s="10" t="str">
        <f t="shared" si="178"/>
        <v/>
      </c>
      <c r="N1340" s="11" t="str">
        <f t="shared" si="181"/>
        <v/>
      </c>
      <c r="O1340" s="10" t="str">
        <f t="shared" si="182"/>
        <v/>
      </c>
      <c r="P1340" s="39" t="str">
        <f t="shared" si="183"/>
        <v/>
      </c>
      <c r="Q1340" s="13" t="str">
        <f t="shared" si="179"/>
        <v/>
      </c>
      <c r="R1340" s="13" t="str">
        <f t="shared" si="184"/>
        <v/>
      </c>
      <c r="S1340" s="13" t="str">
        <f t="shared" si="180"/>
        <v/>
      </c>
      <c r="T1340" s="22" t="str">
        <f>IF(R1340&lt;&gt;"",VLOOKUP(P1340,Constants!$D$3:$E$10,2),"")</f>
        <v/>
      </c>
    </row>
    <row r="1341" spans="12:20" x14ac:dyDescent="0.25">
      <c r="L1341" s="10" t="str">
        <f t="shared" si="177"/>
        <v/>
      </c>
      <c r="M1341" s="10" t="str">
        <f t="shared" si="178"/>
        <v/>
      </c>
      <c r="N1341" s="11" t="str">
        <f t="shared" si="181"/>
        <v/>
      </c>
      <c r="O1341" s="10" t="str">
        <f t="shared" si="182"/>
        <v/>
      </c>
      <c r="P1341" s="39" t="str">
        <f t="shared" si="183"/>
        <v/>
      </c>
      <c r="Q1341" s="13" t="str">
        <f t="shared" si="179"/>
        <v/>
      </c>
      <c r="R1341" s="13" t="str">
        <f t="shared" si="184"/>
        <v/>
      </c>
      <c r="S1341" s="13" t="str">
        <f t="shared" si="180"/>
        <v/>
      </c>
      <c r="T1341" s="22" t="str">
        <f>IF(R1341&lt;&gt;"",VLOOKUP(P1341,Constants!$D$3:$E$10,2),"")</f>
        <v/>
      </c>
    </row>
    <row r="1342" spans="12:20" x14ac:dyDescent="0.25">
      <c r="L1342" s="10" t="str">
        <f t="shared" si="177"/>
        <v/>
      </c>
      <c r="M1342" s="10" t="str">
        <f t="shared" si="178"/>
        <v/>
      </c>
      <c r="N1342" s="11" t="str">
        <f t="shared" si="181"/>
        <v/>
      </c>
      <c r="O1342" s="10" t="str">
        <f t="shared" si="182"/>
        <v/>
      </c>
      <c r="P1342" s="39" t="str">
        <f t="shared" si="183"/>
        <v/>
      </c>
      <c r="Q1342" s="13" t="str">
        <f t="shared" si="179"/>
        <v/>
      </c>
      <c r="R1342" s="13" t="str">
        <f t="shared" si="184"/>
        <v/>
      </c>
      <c r="S1342" s="13" t="str">
        <f t="shared" si="180"/>
        <v/>
      </c>
      <c r="T1342" s="22" t="str">
        <f>IF(R1342&lt;&gt;"",VLOOKUP(P1342,Constants!$D$3:$E$10,2),"")</f>
        <v/>
      </c>
    </row>
    <row r="1343" spans="12:20" x14ac:dyDescent="0.25">
      <c r="L1343" s="10" t="str">
        <f t="shared" si="177"/>
        <v/>
      </c>
      <c r="M1343" s="10" t="str">
        <f t="shared" si="178"/>
        <v/>
      </c>
      <c r="N1343" s="11" t="str">
        <f t="shared" si="181"/>
        <v/>
      </c>
      <c r="O1343" s="10" t="str">
        <f t="shared" si="182"/>
        <v/>
      </c>
      <c r="P1343" s="39" t="str">
        <f t="shared" si="183"/>
        <v/>
      </c>
      <c r="Q1343" s="13" t="str">
        <f t="shared" si="179"/>
        <v/>
      </c>
      <c r="R1343" s="13" t="str">
        <f t="shared" si="184"/>
        <v/>
      </c>
      <c r="S1343" s="13" t="str">
        <f t="shared" si="180"/>
        <v/>
      </c>
      <c r="T1343" s="22" t="str">
        <f>IF(R1343&lt;&gt;"",VLOOKUP(P1343,Constants!$D$3:$E$10,2),"")</f>
        <v/>
      </c>
    </row>
    <row r="1344" spans="12:20" x14ac:dyDescent="0.25">
      <c r="L1344" s="10" t="str">
        <f t="shared" si="177"/>
        <v/>
      </c>
      <c r="M1344" s="10" t="str">
        <f t="shared" si="178"/>
        <v/>
      </c>
      <c r="N1344" s="11" t="str">
        <f t="shared" si="181"/>
        <v/>
      </c>
      <c r="O1344" s="10" t="str">
        <f t="shared" si="182"/>
        <v/>
      </c>
      <c r="P1344" s="39" t="str">
        <f t="shared" si="183"/>
        <v/>
      </c>
      <c r="Q1344" s="13" t="str">
        <f t="shared" si="179"/>
        <v/>
      </c>
      <c r="R1344" s="13" t="str">
        <f t="shared" si="184"/>
        <v/>
      </c>
      <c r="S1344" s="13" t="str">
        <f t="shared" si="180"/>
        <v/>
      </c>
      <c r="T1344" s="22" t="str">
        <f>IF(R1344&lt;&gt;"",VLOOKUP(P1344,Constants!$D$3:$E$10,2),"")</f>
        <v/>
      </c>
    </row>
    <row r="1345" spans="12:20" x14ac:dyDescent="0.25">
      <c r="L1345" s="10" t="str">
        <f t="shared" si="177"/>
        <v/>
      </c>
      <c r="M1345" s="10" t="str">
        <f t="shared" si="178"/>
        <v/>
      </c>
      <c r="N1345" s="11" t="str">
        <f t="shared" si="181"/>
        <v/>
      </c>
      <c r="O1345" s="10" t="str">
        <f t="shared" si="182"/>
        <v/>
      </c>
      <c r="P1345" s="39" t="str">
        <f t="shared" si="183"/>
        <v/>
      </c>
      <c r="Q1345" s="13" t="str">
        <f t="shared" si="179"/>
        <v/>
      </c>
      <c r="R1345" s="13" t="str">
        <f t="shared" si="184"/>
        <v/>
      </c>
      <c r="S1345" s="13" t="str">
        <f t="shared" si="180"/>
        <v/>
      </c>
      <c r="T1345" s="22" t="str">
        <f>IF(R1345&lt;&gt;"",VLOOKUP(P1345,Constants!$D$3:$E$10,2),"")</f>
        <v/>
      </c>
    </row>
    <row r="1346" spans="12:20" x14ac:dyDescent="0.25">
      <c r="L1346" s="10" t="str">
        <f t="shared" si="177"/>
        <v/>
      </c>
      <c r="M1346" s="10" t="str">
        <f t="shared" si="178"/>
        <v/>
      </c>
      <c r="N1346" s="11" t="str">
        <f t="shared" si="181"/>
        <v/>
      </c>
      <c r="O1346" s="10" t="str">
        <f t="shared" si="182"/>
        <v/>
      </c>
      <c r="P1346" s="39" t="str">
        <f t="shared" si="183"/>
        <v/>
      </c>
      <c r="Q1346" s="13" t="str">
        <f t="shared" si="179"/>
        <v/>
      </c>
      <c r="R1346" s="13" t="str">
        <f t="shared" si="184"/>
        <v/>
      </c>
      <c r="S1346" s="13" t="str">
        <f t="shared" si="180"/>
        <v/>
      </c>
      <c r="T1346" s="22" t="str">
        <f>IF(R1346&lt;&gt;"",VLOOKUP(P1346,Constants!$D$3:$E$10,2),"")</f>
        <v/>
      </c>
    </row>
    <row r="1347" spans="12:20" x14ac:dyDescent="0.25">
      <c r="L1347" s="10" t="str">
        <f t="shared" si="177"/>
        <v/>
      </c>
      <c r="M1347" s="10" t="str">
        <f t="shared" si="178"/>
        <v/>
      </c>
      <c r="N1347" s="11" t="str">
        <f t="shared" si="181"/>
        <v/>
      </c>
      <c r="O1347" s="10" t="str">
        <f t="shared" si="182"/>
        <v/>
      </c>
      <c r="P1347" s="39" t="str">
        <f t="shared" si="183"/>
        <v/>
      </c>
      <c r="Q1347" s="13" t="str">
        <f t="shared" si="179"/>
        <v/>
      </c>
      <c r="R1347" s="13" t="str">
        <f t="shared" si="184"/>
        <v/>
      </c>
      <c r="S1347" s="13" t="str">
        <f t="shared" si="180"/>
        <v/>
      </c>
      <c r="T1347" s="22" t="str">
        <f>IF(R1347&lt;&gt;"",VLOOKUP(P1347,Constants!$D$3:$E$10,2),"")</f>
        <v/>
      </c>
    </row>
    <row r="1348" spans="12:20" x14ac:dyDescent="0.25">
      <c r="L1348" s="10" t="str">
        <f t="shared" si="177"/>
        <v/>
      </c>
      <c r="M1348" s="10" t="str">
        <f t="shared" si="178"/>
        <v/>
      </c>
      <c r="N1348" s="11" t="str">
        <f t="shared" si="181"/>
        <v/>
      </c>
      <c r="O1348" s="10" t="str">
        <f t="shared" si="182"/>
        <v/>
      </c>
      <c r="P1348" s="39" t="str">
        <f t="shared" si="183"/>
        <v/>
      </c>
      <c r="Q1348" s="13" t="str">
        <f t="shared" si="179"/>
        <v/>
      </c>
      <c r="R1348" s="13" t="str">
        <f t="shared" si="184"/>
        <v/>
      </c>
      <c r="S1348" s="13" t="str">
        <f t="shared" si="180"/>
        <v/>
      </c>
      <c r="T1348" s="22" t="str">
        <f>IF(R1348&lt;&gt;"",VLOOKUP(P1348,Constants!$D$3:$E$10,2),"")</f>
        <v/>
      </c>
    </row>
    <row r="1349" spans="12:20" x14ac:dyDescent="0.25">
      <c r="L1349" s="10" t="str">
        <f t="shared" si="177"/>
        <v/>
      </c>
      <c r="M1349" s="10" t="str">
        <f t="shared" si="178"/>
        <v/>
      </c>
      <c r="N1349" s="11" t="str">
        <f t="shared" si="181"/>
        <v/>
      </c>
      <c r="O1349" s="10" t="str">
        <f t="shared" si="182"/>
        <v/>
      </c>
      <c r="P1349" s="39" t="str">
        <f t="shared" si="183"/>
        <v/>
      </c>
      <c r="Q1349" s="13" t="str">
        <f t="shared" si="179"/>
        <v/>
      </c>
      <c r="R1349" s="13" t="str">
        <f t="shared" si="184"/>
        <v/>
      </c>
      <c r="S1349" s="13" t="str">
        <f t="shared" si="180"/>
        <v/>
      </c>
      <c r="T1349" s="22" t="str">
        <f>IF(R1349&lt;&gt;"",VLOOKUP(P1349,Constants!$D$3:$E$10,2),"")</f>
        <v/>
      </c>
    </row>
    <row r="1350" spans="12:20" x14ac:dyDescent="0.25">
      <c r="L1350" s="10" t="str">
        <f t="shared" si="177"/>
        <v/>
      </c>
      <c r="M1350" s="10" t="str">
        <f t="shared" si="178"/>
        <v/>
      </c>
      <c r="N1350" s="11" t="str">
        <f t="shared" si="181"/>
        <v/>
      </c>
      <c r="O1350" s="10" t="str">
        <f t="shared" si="182"/>
        <v/>
      </c>
      <c r="P1350" s="39" t="str">
        <f t="shared" si="183"/>
        <v/>
      </c>
      <c r="Q1350" s="13" t="str">
        <f t="shared" si="179"/>
        <v/>
      </c>
      <c r="R1350" s="13" t="str">
        <f t="shared" si="184"/>
        <v/>
      </c>
      <c r="S1350" s="13" t="str">
        <f t="shared" si="180"/>
        <v/>
      </c>
      <c r="T1350" s="22" t="str">
        <f>IF(R1350&lt;&gt;"",VLOOKUP(P1350,Constants!$D$3:$E$10,2),"")</f>
        <v/>
      </c>
    </row>
    <row r="1351" spans="12:20" x14ac:dyDescent="0.25">
      <c r="L1351" s="10" t="str">
        <f t="shared" si="177"/>
        <v/>
      </c>
      <c r="M1351" s="10" t="str">
        <f t="shared" si="178"/>
        <v/>
      </c>
      <c r="N1351" s="11" t="str">
        <f t="shared" si="181"/>
        <v/>
      </c>
      <c r="O1351" s="10" t="str">
        <f t="shared" si="182"/>
        <v/>
      </c>
      <c r="P1351" s="39" t="str">
        <f t="shared" si="183"/>
        <v/>
      </c>
      <c r="Q1351" s="13" t="str">
        <f t="shared" si="179"/>
        <v/>
      </c>
      <c r="R1351" s="13" t="str">
        <f t="shared" si="184"/>
        <v/>
      </c>
      <c r="S1351" s="13" t="str">
        <f t="shared" si="180"/>
        <v/>
      </c>
      <c r="T1351" s="22" t="str">
        <f>IF(R1351&lt;&gt;"",VLOOKUP(P1351,Constants!$D$3:$E$10,2),"")</f>
        <v/>
      </c>
    </row>
    <row r="1352" spans="12:20" x14ac:dyDescent="0.25">
      <c r="L1352" s="10" t="str">
        <f t="shared" ref="L1352:L1415" si="185">IF($D1352&lt;&gt;"",$D1352*$E1352/1000,"")</f>
        <v/>
      </c>
      <c r="M1352" s="10" t="str">
        <f t="shared" ref="M1352:M1415" si="186">IF($D1352&lt;&gt;"",$D1352*$F1352/1000,"")</f>
        <v/>
      </c>
      <c r="N1352" s="11" t="str">
        <f t="shared" si="181"/>
        <v/>
      </c>
      <c r="O1352" s="10" t="str">
        <f t="shared" si="182"/>
        <v/>
      </c>
      <c r="P1352" s="39" t="str">
        <f t="shared" si="183"/>
        <v/>
      </c>
      <c r="Q1352" s="13" t="str">
        <f t="shared" ref="Q1352:Q1415" si="187">IF(F1352&lt;&gt;"",F1352*E1352/1000,"")</f>
        <v/>
      </c>
      <c r="R1352" s="13" t="str">
        <f t="shared" si="184"/>
        <v/>
      </c>
      <c r="S1352" s="13" t="str">
        <f t="shared" ref="S1352:S1415" si="188">IF(R1352&lt;&gt;"",Q1352/R1352*1000,"")</f>
        <v/>
      </c>
      <c r="T1352" s="22" t="str">
        <f>IF(R1352&lt;&gt;"",VLOOKUP(P1352,Constants!$D$3:$E$10,2),"")</f>
        <v/>
      </c>
    </row>
    <row r="1353" spans="12:20" x14ac:dyDescent="0.25">
      <c r="L1353" s="10" t="str">
        <f t="shared" si="185"/>
        <v/>
      </c>
      <c r="M1353" s="10" t="str">
        <f t="shared" si="186"/>
        <v/>
      </c>
      <c r="N1353" s="11" t="str">
        <f t="shared" si="181"/>
        <v/>
      </c>
      <c r="O1353" s="10" t="str">
        <f t="shared" si="182"/>
        <v/>
      </c>
      <c r="P1353" s="39" t="str">
        <f t="shared" si="183"/>
        <v/>
      </c>
      <c r="Q1353" s="13" t="str">
        <f t="shared" si="187"/>
        <v/>
      </c>
      <c r="R1353" s="13" t="str">
        <f t="shared" si="184"/>
        <v/>
      </c>
      <c r="S1353" s="13" t="str">
        <f t="shared" si="188"/>
        <v/>
      </c>
      <c r="T1353" s="22" t="str">
        <f>IF(R1353&lt;&gt;"",VLOOKUP(P1353,Constants!$D$3:$E$10,2),"")</f>
        <v/>
      </c>
    </row>
    <row r="1354" spans="12:20" x14ac:dyDescent="0.25">
      <c r="L1354" s="10" t="str">
        <f t="shared" si="185"/>
        <v/>
      </c>
      <c r="M1354" s="10" t="str">
        <f t="shared" si="186"/>
        <v/>
      </c>
      <c r="N1354" s="11" t="str">
        <f t="shared" si="181"/>
        <v/>
      </c>
      <c r="O1354" s="10" t="str">
        <f t="shared" si="182"/>
        <v/>
      </c>
      <c r="P1354" s="39" t="str">
        <f t="shared" si="183"/>
        <v/>
      </c>
      <c r="Q1354" s="13" t="str">
        <f t="shared" si="187"/>
        <v/>
      </c>
      <c r="R1354" s="13" t="str">
        <f t="shared" si="184"/>
        <v/>
      </c>
      <c r="S1354" s="13" t="str">
        <f t="shared" si="188"/>
        <v/>
      </c>
      <c r="T1354" s="22" t="str">
        <f>IF(R1354&lt;&gt;"",VLOOKUP(P1354,Constants!$D$3:$E$10,2),"")</f>
        <v/>
      </c>
    </row>
    <row r="1355" spans="12:20" x14ac:dyDescent="0.25">
      <c r="L1355" s="10" t="str">
        <f t="shared" si="185"/>
        <v/>
      </c>
      <c r="M1355" s="10" t="str">
        <f t="shared" si="186"/>
        <v/>
      </c>
      <c r="N1355" s="11" t="str">
        <f t="shared" si="181"/>
        <v/>
      </c>
      <c r="O1355" s="10" t="str">
        <f t="shared" si="182"/>
        <v/>
      </c>
      <c r="P1355" s="39" t="str">
        <f t="shared" si="183"/>
        <v/>
      </c>
      <c r="Q1355" s="13" t="str">
        <f t="shared" si="187"/>
        <v/>
      </c>
      <c r="R1355" s="13" t="str">
        <f t="shared" si="184"/>
        <v/>
      </c>
      <c r="S1355" s="13" t="str">
        <f t="shared" si="188"/>
        <v/>
      </c>
      <c r="T1355" s="22" t="str">
        <f>IF(R1355&lt;&gt;"",VLOOKUP(P1355,Constants!$D$3:$E$10,2),"")</f>
        <v/>
      </c>
    </row>
    <row r="1356" spans="12:20" x14ac:dyDescent="0.25">
      <c r="L1356" s="10" t="str">
        <f t="shared" si="185"/>
        <v/>
      </c>
      <c r="M1356" s="10" t="str">
        <f t="shared" si="186"/>
        <v/>
      </c>
      <c r="N1356" s="11" t="str">
        <f t="shared" si="181"/>
        <v/>
      </c>
      <c r="O1356" s="10" t="str">
        <f t="shared" si="182"/>
        <v/>
      </c>
      <c r="P1356" s="39" t="str">
        <f t="shared" si="183"/>
        <v/>
      </c>
      <c r="Q1356" s="13" t="str">
        <f t="shared" si="187"/>
        <v/>
      </c>
      <c r="R1356" s="13" t="str">
        <f t="shared" si="184"/>
        <v/>
      </c>
      <c r="S1356" s="13" t="str">
        <f t="shared" si="188"/>
        <v/>
      </c>
      <c r="T1356" s="22" t="str">
        <f>IF(R1356&lt;&gt;"",VLOOKUP(P1356,Constants!$D$3:$E$10,2),"")</f>
        <v/>
      </c>
    </row>
    <row r="1357" spans="12:20" x14ac:dyDescent="0.25">
      <c r="L1357" s="10" t="str">
        <f t="shared" si="185"/>
        <v/>
      </c>
      <c r="M1357" s="10" t="str">
        <f t="shared" si="186"/>
        <v/>
      </c>
      <c r="N1357" s="11" t="str">
        <f t="shared" si="181"/>
        <v/>
      </c>
      <c r="O1357" s="10" t="str">
        <f t="shared" si="182"/>
        <v/>
      </c>
      <c r="P1357" s="39" t="str">
        <f t="shared" si="183"/>
        <v/>
      </c>
      <c r="Q1357" s="13" t="str">
        <f t="shared" si="187"/>
        <v/>
      </c>
      <c r="R1357" s="13" t="str">
        <f t="shared" si="184"/>
        <v/>
      </c>
      <c r="S1357" s="13" t="str">
        <f t="shared" si="188"/>
        <v/>
      </c>
      <c r="T1357" s="22" t="str">
        <f>IF(R1357&lt;&gt;"",VLOOKUP(P1357,Constants!$D$3:$E$10,2),"")</f>
        <v/>
      </c>
    </row>
    <row r="1358" spans="12:20" x14ac:dyDescent="0.25">
      <c r="L1358" s="10" t="str">
        <f t="shared" si="185"/>
        <v/>
      </c>
      <c r="M1358" s="10" t="str">
        <f t="shared" si="186"/>
        <v/>
      </c>
      <c r="N1358" s="11" t="str">
        <f t="shared" si="181"/>
        <v/>
      </c>
      <c r="O1358" s="10" t="str">
        <f t="shared" si="182"/>
        <v/>
      </c>
      <c r="P1358" s="39" t="str">
        <f t="shared" si="183"/>
        <v/>
      </c>
      <c r="Q1358" s="13" t="str">
        <f t="shared" si="187"/>
        <v/>
      </c>
      <c r="R1358" s="13" t="str">
        <f t="shared" si="184"/>
        <v/>
      </c>
      <c r="S1358" s="13" t="str">
        <f t="shared" si="188"/>
        <v/>
      </c>
      <c r="T1358" s="22" t="str">
        <f>IF(R1358&lt;&gt;"",VLOOKUP(P1358,Constants!$D$3:$E$10,2),"")</f>
        <v/>
      </c>
    </row>
    <row r="1359" spans="12:20" x14ac:dyDescent="0.25">
      <c r="L1359" s="10" t="str">
        <f t="shared" si="185"/>
        <v/>
      </c>
      <c r="M1359" s="10" t="str">
        <f t="shared" si="186"/>
        <v/>
      </c>
      <c r="N1359" s="11" t="str">
        <f t="shared" si="181"/>
        <v/>
      </c>
      <c r="O1359" s="10" t="str">
        <f t="shared" si="182"/>
        <v/>
      </c>
      <c r="P1359" s="39" t="str">
        <f t="shared" si="183"/>
        <v/>
      </c>
      <c r="Q1359" s="13" t="str">
        <f t="shared" si="187"/>
        <v/>
      </c>
      <c r="R1359" s="13" t="str">
        <f t="shared" si="184"/>
        <v/>
      </c>
      <c r="S1359" s="13" t="str">
        <f t="shared" si="188"/>
        <v/>
      </c>
      <c r="T1359" s="22" t="str">
        <f>IF(R1359&lt;&gt;"",VLOOKUP(P1359,Constants!$D$3:$E$10,2),"")</f>
        <v/>
      </c>
    </row>
    <row r="1360" spans="12:20" x14ac:dyDescent="0.25">
      <c r="L1360" s="10" t="str">
        <f t="shared" si="185"/>
        <v/>
      </c>
      <c r="M1360" s="10" t="str">
        <f t="shared" si="186"/>
        <v/>
      </c>
      <c r="N1360" s="11" t="str">
        <f t="shared" ref="N1360:N1423" si="189">IF($L1360&lt;&gt;"",SQRT($L1360*$L1360+$M1360*$M1360),"")</f>
        <v/>
      </c>
      <c r="O1360" s="10" t="str">
        <f t="shared" si="182"/>
        <v/>
      </c>
      <c r="P1360" s="39" t="str">
        <f t="shared" si="183"/>
        <v/>
      </c>
      <c r="Q1360" s="13" t="str">
        <f t="shared" si="187"/>
        <v/>
      </c>
      <c r="R1360" s="13" t="str">
        <f t="shared" si="184"/>
        <v/>
      </c>
      <c r="S1360" s="13" t="str">
        <f t="shared" si="188"/>
        <v/>
      </c>
      <c r="T1360" s="22" t="str">
        <f>IF(R1360&lt;&gt;"",VLOOKUP(P1360,Constants!$D$3:$E$10,2),"")</f>
        <v/>
      </c>
    </row>
    <row r="1361" spans="12:20" x14ac:dyDescent="0.25">
      <c r="L1361" s="10" t="str">
        <f t="shared" si="185"/>
        <v/>
      </c>
      <c r="M1361" s="10" t="str">
        <f t="shared" si="186"/>
        <v/>
      </c>
      <c r="N1361" s="11" t="str">
        <f t="shared" si="189"/>
        <v/>
      </c>
      <c r="O1361" s="10" t="str">
        <f t="shared" si="182"/>
        <v/>
      </c>
      <c r="P1361" s="39" t="str">
        <f t="shared" si="183"/>
        <v/>
      </c>
      <c r="Q1361" s="13" t="str">
        <f t="shared" si="187"/>
        <v/>
      </c>
      <c r="R1361" s="13" t="str">
        <f t="shared" si="184"/>
        <v/>
      </c>
      <c r="S1361" s="13" t="str">
        <f t="shared" si="188"/>
        <v/>
      </c>
      <c r="T1361" s="22" t="str">
        <f>IF(R1361&lt;&gt;"",VLOOKUP(P1361,Constants!$D$3:$E$10,2),"")</f>
        <v/>
      </c>
    </row>
    <row r="1362" spans="12:20" x14ac:dyDescent="0.25">
      <c r="L1362" s="10" t="str">
        <f t="shared" si="185"/>
        <v/>
      </c>
      <c r="M1362" s="10" t="str">
        <f t="shared" si="186"/>
        <v/>
      </c>
      <c r="N1362" s="11" t="str">
        <f t="shared" si="189"/>
        <v/>
      </c>
      <c r="O1362" s="10" t="str">
        <f t="shared" si="182"/>
        <v/>
      </c>
      <c r="P1362" s="39" t="str">
        <f t="shared" si="183"/>
        <v/>
      </c>
      <c r="Q1362" s="13" t="str">
        <f t="shared" si="187"/>
        <v/>
      </c>
      <c r="R1362" s="13" t="str">
        <f t="shared" si="184"/>
        <v/>
      </c>
      <c r="S1362" s="13" t="str">
        <f t="shared" si="188"/>
        <v/>
      </c>
      <c r="T1362" s="22" t="str">
        <f>IF(R1362&lt;&gt;"",VLOOKUP(P1362,Constants!$D$3:$E$10,2),"")</f>
        <v/>
      </c>
    </row>
    <row r="1363" spans="12:20" x14ac:dyDescent="0.25">
      <c r="L1363" s="10" t="str">
        <f t="shared" si="185"/>
        <v/>
      </c>
      <c r="M1363" s="10" t="str">
        <f t="shared" si="186"/>
        <v/>
      </c>
      <c r="N1363" s="11" t="str">
        <f t="shared" si="189"/>
        <v/>
      </c>
      <c r="O1363" s="10" t="str">
        <f t="shared" si="182"/>
        <v/>
      </c>
      <c r="P1363" s="39" t="str">
        <f t="shared" si="183"/>
        <v/>
      </c>
      <c r="Q1363" s="13" t="str">
        <f t="shared" si="187"/>
        <v/>
      </c>
      <c r="R1363" s="13" t="str">
        <f t="shared" si="184"/>
        <v/>
      </c>
      <c r="S1363" s="13" t="str">
        <f t="shared" si="188"/>
        <v/>
      </c>
      <c r="T1363" s="22" t="str">
        <f>IF(R1363&lt;&gt;"",VLOOKUP(P1363,Constants!$D$3:$E$10,2),"")</f>
        <v/>
      </c>
    </row>
    <row r="1364" spans="12:20" x14ac:dyDescent="0.25">
      <c r="L1364" s="10" t="str">
        <f t="shared" si="185"/>
        <v/>
      </c>
      <c r="M1364" s="10" t="str">
        <f t="shared" si="186"/>
        <v/>
      </c>
      <c r="N1364" s="11" t="str">
        <f t="shared" si="189"/>
        <v/>
      </c>
      <c r="O1364" s="10" t="str">
        <f t="shared" si="182"/>
        <v/>
      </c>
      <c r="P1364" s="39" t="str">
        <f t="shared" si="183"/>
        <v/>
      </c>
      <c r="Q1364" s="13" t="str">
        <f t="shared" si="187"/>
        <v/>
      </c>
      <c r="R1364" s="13" t="str">
        <f t="shared" si="184"/>
        <v/>
      </c>
      <c r="S1364" s="13" t="str">
        <f t="shared" si="188"/>
        <v/>
      </c>
      <c r="T1364" s="22" t="str">
        <f>IF(R1364&lt;&gt;"",VLOOKUP(P1364,Constants!$D$3:$E$10,2),"")</f>
        <v/>
      </c>
    </row>
    <row r="1365" spans="12:20" x14ac:dyDescent="0.25">
      <c r="L1365" s="10" t="str">
        <f t="shared" si="185"/>
        <v/>
      </c>
      <c r="M1365" s="10" t="str">
        <f t="shared" si="186"/>
        <v/>
      </c>
      <c r="N1365" s="11" t="str">
        <f t="shared" si="189"/>
        <v/>
      </c>
      <c r="O1365" s="10" t="str">
        <f t="shared" si="182"/>
        <v/>
      </c>
      <c r="P1365" s="39" t="str">
        <f t="shared" si="183"/>
        <v/>
      </c>
      <c r="Q1365" s="13" t="str">
        <f t="shared" si="187"/>
        <v/>
      </c>
      <c r="R1365" s="13" t="str">
        <f t="shared" si="184"/>
        <v/>
      </c>
      <c r="S1365" s="13" t="str">
        <f t="shared" si="188"/>
        <v/>
      </c>
      <c r="T1365" s="22" t="str">
        <f>IF(R1365&lt;&gt;"",VLOOKUP(P1365,Constants!$D$3:$E$10,2),"")</f>
        <v/>
      </c>
    </row>
    <row r="1366" spans="12:20" x14ac:dyDescent="0.25">
      <c r="L1366" s="10" t="str">
        <f t="shared" si="185"/>
        <v/>
      </c>
      <c r="M1366" s="10" t="str">
        <f t="shared" si="186"/>
        <v/>
      </c>
      <c r="N1366" s="11" t="str">
        <f t="shared" si="189"/>
        <v/>
      </c>
      <c r="O1366" s="10" t="str">
        <f t="shared" si="182"/>
        <v/>
      </c>
      <c r="P1366" s="39" t="str">
        <f t="shared" si="183"/>
        <v/>
      </c>
      <c r="Q1366" s="13" t="str">
        <f t="shared" si="187"/>
        <v/>
      </c>
      <c r="R1366" s="13" t="str">
        <f t="shared" si="184"/>
        <v/>
      </c>
      <c r="S1366" s="13" t="str">
        <f t="shared" si="188"/>
        <v/>
      </c>
      <c r="T1366" s="22" t="str">
        <f>IF(R1366&lt;&gt;"",VLOOKUP(P1366,Constants!$D$3:$E$10,2),"")</f>
        <v/>
      </c>
    </row>
    <row r="1367" spans="12:20" x14ac:dyDescent="0.25">
      <c r="L1367" s="10" t="str">
        <f t="shared" si="185"/>
        <v/>
      </c>
      <c r="M1367" s="10" t="str">
        <f t="shared" si="186"/>
        <v/>
      </c>
      <c r="N1367" s="11" t="str">
        <f t="shared" si="189"/>
        <v/>
      </c>
      <c r="O1367" s="10" t="str">
        <f t="shared" ref="O1367:O1430" si="190">IF(D1367&lt;&gt;"",1000/(2*D1367),"")</f>
        <v/>
      </c>
      <c r="P1367" s="39" t="str">
        <f t="shared" ref="P1367:P1430" si="191">IF($N1367&lt;&gt;"",D1367*SQRT(E1367*E1367+F1367*F1367)/16000,"")</f>
        <v/>
      </c>
      <c r="Q1367" s="13" t="str">
        <f t="shared" si="187"/>
        <v/>
      </c>
      <c r="R1367" s="13" t="str">
        <f t="shared" ref="R1367:R1430" si="192">IF(G1367&lt;&gt;"",1000/G1367,"")</f>
        <v/>
      </c>
      <c r="S1367" s="13" t="str">
        <f t="shared" si="188"/>
        <v/>
      </c>
      <c r="T1367" s="22" t="str">
        <f>IF(R1367&lt;&gt;"",VLOOKUP(P1367,Constants!$D$3:$E$10,2),"")</f>
        <v/>
      </c>
    </row>
    <row r="1368" spans="12:20" x14ac:dyDescent="0.25">
      <c r="L1368" s="10" t="str">
        <f t="shared" si="185"/>
        <v/>
      </c>
      <c r="M1368" s="10" t="str">
        <f t="shared" si="186"/>
        <v/>
      </c>
      <c r="N1368" s="11" t="str">
        <f t="shared" si="189"/>
        <v/>
      </c>
      <c r="O1368" s="10" t="str">
        <f t="shared" si="190"/>
        <v/>
      </c>
      <c r="P1368" s="39" t="str">
        <f t="shared" si="191"/>
        <v/>
      </c>
      <c r="Q1368" s="13" t="str">
        <f t="shared" si="187"/>
        <v/>
      </c>
      <c r="R1368" s="13" t="str">
        <f t="shared" si="192"/>
        <v/>
      </c>
      <c r="S1368" s="13" t="str">
        <f t="shared" si="188"/>
        <v/>
      </c>
      <c r="T1368" s="22" t="str">
        <f>IF(R1368&lt;&gt;"",VLOOKUP(P1368,Constants!$D$3:$E$10,2),"")</f>
        <v/>
      </c>
    </row>
    <row r="1369" spans="12:20" x14ac:dyDescent="0.25">
      <c r="L1369" s="10" t="str">
        <f t="shared" si="185"/>
        <v/>
      </c>
      <c r="M1369" s="10" t="str">
        <f t="shared" si="186"/>
        <v/>
      </c>
      <c r="N1369" s="11" t="str">
        <f t="shared" si="189"/>
        <v/>
      </c>
      <c r="O1369" s="10" t="str">
        <f t="shared" si="190"/>
        <v/>
      </c>
      <c r="P1369" s="39" t="str">
        <f t="shared" si="191"/>
        <v/>
      </c>
      <c r="Q1369" s="13" t="str">
        <f t="shared" si="187"/>
        <v/>
      </c>
      <c r="R1369" s="13" t="str">
        <f t="shared" si="192"/>
        <v/>
      </c>
      <c r="S1369" s="13" t="str">
        <f t="shared" si="188"/>
        <v/>
      </c>
      <c r="T1369" s="22" t="str">
        <f>IF(R1369&lt;&gt;"",VLOOKUP(P1369,Constants!$D$3:$E$10,2),"")</f>
        <v/>
      </c>
    </row>
    <row r="1370" spans="12:20" x14ac:dyDescent="0.25">
      <c r="L1370" s="10" t="str">
        <f t="shared" si="185"/>
        <v/>
      </c>
      <c r="M1370" s="10" t="str">
        <f t="shared" si="186"/>
        <v/>
      </c>
      <c r="N1370" s="11" t="str">
        <f t="shared" si="189"/>
        <v/>
      </c>
      <c r="O1370" s="10" t="str">
        <f t="shared" si="190"/>
        <v/>
      </c>
      <c r="P1370" s="39" t="str">
        <f t="shared" si="191"/>
        <v/>
      </c>
      <c r="Q1370" s="13" t="str">
        <f t="shared" si="187"/>
        <v/>
      </c>
      <c r="R1370" s="13" t="str">
        <f t="shared" si="192"/>
        <v/>
      </c>
      <c r="S1370" s="13" t="str">
        <f t="shared" si="188"/>
        <v/>
      </c>
      <c r="T1370" s="22" t="str">
        <f>IF(R1370&lt;&gt;"",VLOOKUP(P1370,Constants!$D$3:$E$10,2),"")</f>
        <v/>
      </c>
    </row>
    <row r="1371" spans="12:20" x14ac:dyDescent="0.25">
      <c r="L1371" s="10" t="str">
        <f t="shared" si="185"/>
        <v/>
      </c>
      <c r="M1371" s="10" t="str">
        <f t="shared" si="186"/>
        <v/>
      </c>
      <c r="N1371" s="11" t="str">
        <f t="shared" si="189"/>
        <v/>
      </c>
      <c r="O1371" s="10" t="str">
        <f t="shared" si="190"/>
        <v/>
      </c>
      <c r="P1371" s="39" t="str">
        <f t="shared" si="191"/>
        <v/>
      </c>
      <c r="Q1371" s="13" t="str">
        <f t="shared" si="187"/>
        <v/>
      </c>
      <c r="R1371" s="13" t="str">
        <f t="shared" si="192"/>
        <v/>
      </c>
      <c r="S1371" s="13" t="str">
        <f t="shared" si="188"/>
        <v/>
      </c>
      <c r="T1371" s="22" t="str">
        <f>IF(R1371&lt;&gt;"",VLOOKUP(P1371,Constants!$D$3:$E$10,2),"")</f>
        <v/>
      </c>
    </row>
    <row r="1372" spans="12:20" x14ac:dyDescent="0.25">
      <c r="L1372" s="10" t="str">
        <f t="shared" si="185"/>
        <v/>
      </c>
      <c r="M1372" s="10" t="str">
        <f t="shared" si="186"/>
        <v/>
      </c>
      <c r="N1372" s="11" t="str">
        <f t="shared" si="189"/>
        <v/>
      </c>
      <c r="O1372" s="10" t="str">
        <f t="shared" si="190"/>
        <v/>
      </c>
      <c r="P1372" s="39" t="str">
        <f t="shared" si="191"/>
        <v/>
      </c>
      <c r="Q1372" s="13" t="str">
        <f t="shared" si="187"/>
        <v/>
      </c>
      <c r="R1372" s="13" t="str">
        <f t="shared" si="192"/>
        <v/>
      </c>
      <c r="S1372" s="13" t="str">
        <f t="shared" si="188"/>
        <v/>
      </c>
      <c r="T1372" s="22" t="str">
        <f>IF(R1372&lt;&gt;"",VLOOKUP(P1372,Constants!$D$3:$E$10,2),"")</f>
        <v/>
      </c>
    </row>
    <row r="1373" spans="12:20" x14ac:dyDescent="0.25">
      <c r="L1373" s="10" t="str">
        <f t="shared" si="185"/>
        <v/>
      </c>
      <c r="M1373" s="10" t="str">
        <f t="shared" si="186"/>
        <v/>
      </c>
      <c r="N1373" s="11" t="str">
        <f t="shared" si="189"/>
        <v/>
      </c>
      <c r="O1373" s="10" t="str">
        <f t="shared" si="190"/>
        <v/>
      </c>
      <c r="P1373" s="39" t="str">
        <f t="shared" si="191"/>
        <v/>
      </c>
      <c r="Q1373" s="13" t="str">
        <f t="shared" si="187"/>
        <v/>
      </c>
      <c r="R1373" s="13" t="str">
        <f t="shared" si="192"/>
        <v/>
      </c>
      <c r="S1373" s="13" t="str">
        <f t="shared" si="188"/>
        <v/>
      </c>
      <c r="T1373" s="22" t="str">
        <f>IF(R1373&lt;&gt;"",VLOOKUP(P1373,Constants!$D$3:$E$10,2),"")</f>
        <v/>
      </c>
    </row>
    <row r="1374" spans="12:20" x14ac:dyDescent="0.25">
      <c r="L1374" s="10" t="str">
        <f t="shared" si="185"/>
        <v/>
      </c>
      <c r="M1374" s="10" t="str">
        <f t="shared" si="186"/>
        <v/>
      </c>
      <c r="N1374" s="11" t="str">
        <f t="shared" si="189"/>
        <v/>
      </c>
      <c r="O1374" s="10" t="str">
        <f t="shared" si="190"/>
        <v/>
      </c>
      <c r="P1374" s="39" t="str">
        <f t="shared" si="191"/>
        <v/>
      </c>
      <c r="Q1374" s="13" t="str">
        <f t="shared" si="187"/>
        <v/>
      </c>
      <c r="R1374" s="13" t="str">
        <f t="shared" si="192"/>
        <v/>
      </c>
      <c r="S1374" s="13" t="str">
        <f t="shared" si="188"/>
        <v/>
      </c>
      <c r="T1374" s="22" t="str">
        <f>IF(R1374&lt;&gt;"",VLOOKUP(P1374,Constants!$D$3:$E$10,2),"")</f>
        <v/>
      </c>
    </row>
    <row r="1375" spans="12:20" x14ac:dyDescent="0.25">
      <c r="L1375" s="10" t="str">
        <f t="shared" si="185"/>
        <v/>
      </c>
      <c r="M1375" s="10" t="str">
        <f t="shared" si="186"/>
        <v/>
      </c>
      <c r="N1375" s="11" t="str">
        <f t="shared" si="189"/>
        <v/>
      </c>
      <c r="O1375" s="10" t="str">
        <f t="shared" si="190"/>
        <v/>
      </c>
      <c r="P1375" s="39" t="str">
        <f t="shared" si="191"/>
        <v/>
      </c>
      <c r="Q1375" s="13" t="str">
        <f t="shared" si="187"/>
        <v/>
      </c>
      <c r="R1375" s="13" t="str">
        <f t="shared" si="192"/>
        <v/>
      </c>
      <c r="S1375" s="13" t="str">
        <f t="shared" si="188"/>
        <v/>
      </c>
      <c r="T1375" s="22" t="str">
        <f>IF(R1375&lt;&gt;"",VLOOKUP(P1375,Constants!$D$3:$E$10,2),"")</f>
        <v/>
      </c>
    </row>
    <row r="1376" spans="12:20" x14ac:dyDescent="0.25">
      <c r="L1376" s="10" t="str">
        <f t="shared" si="185"/>
        <v/>
      </c>
      <c r="M1376" s="10" t="str">
        <f t="shared" si="186"/>
        <v/>
      </c>
      <c r="N1376" s="11" t="str">
        <f t="shared" si="189"/>
        <v/>
      </c>
      <c r="O1376" s="10" t="str">
        <f t="shared" si="190"/>
        <v/>
      </c>
      <c r="P1376" s="39" t="str">
        <f t="shared" si="191"/>
        <v/>
      </c>
      <c r="Q1376" s="13" t="str">
        <f t="shared" si="187"/>
        <v/>
      </c>
      <c r="R1376" s="13" t="str">
        <f t="shared" si="192"/>
        <v/>
      </c>
      <c r="S1376" s="13" t="str">
        <f t="shared" si="188"/>
        <v/>
      </c>
      <c r="T1376" s="22" t="str">
        <f>IF(R1376&lt;&gt;"",VLOOKUP(P1376,Constants!$D$3:$E$10,2),"")</f>
        <v/>
      </c>
    </row>
    <row r="1377" spans="12:20" x14ac:dyDescent="0.25">
      <c r="L1377" s="10" t="str">
        <f t="shared" si="185"/>
        <v/>
      </c>
      <c r="M1377" s="10" t="str">
        <f t="shared" si="186"/>
        <v/>
      </c>
      <c r="N1377" s="11" t="str">
        <f t="shared" si="189"/>
        <v/>
      </c>
      <c r="O1377" s="10" t="str">
        <f t="shared" si="190"/>
        <v/>
      </c>
      <c r="P1377" s="39" t="str">
        <f t="shared" si="191"/>
        <v/>
      </c>
      <c r="Q1377" s="13" t="str">
        <f t="shared" si="187"/>
        <v/>
      </c>
      <c r="R1377" s="13" t="str">
        <f t="shared" si="192"/>
        <v/>
      </c>
      <c r="S1377" s="13" t="str">
        <f t="shared" si="188"/>
        <v/>
      </c>
      <c r="T1377" s="22" t="str">
        <f>IF(R1377&lt;&gt;"",VLOOKUP(P1377,Constants!$D$3:$E$10,2),"")</f>
        <v/>
      </c>
    </row>
    <row r="1378" spans="12:20" x14ac:dyDescent="0.25">
      <c r="L1378" s="10" t="str">
        <f t="shared" si="185"/>
        <v/>
      </c>
      <c r="M1378" s="10" t="str">
        <f t="shared" si="186"/>
        <v/>
      </c>
      <c r="N1378" s="11" t="str">
        <f t="shared" si="189"/>
        <v/>
      </c>
      <c r="O1378" s="10" t="str">
        <f t="shared" si="190"/>
        <v/>
      </c>
      <c r="P1378" s="39" t="str">
        <f t="shared" si="191"/>
        <v/>
      </c>
      <c r="Q1378" s="13" t="str">
        <f t="shared" si="187"/>
        <v/>
      </c>
      <c r="R1378" s="13" t="str">
        <f t="shared" si="192"/>
        <v/>
      </c>
      <c r="S1378" s="13" t="str">
        <f t="shared" si="188"/>
        <v/>
      </c>
      <c r="T1378" s="22" t="str">
        <f>IF(R1378&lt;&gt;"",VLOOKUP(P1378,Constants!$D$3:$E$10,2),"")</f>
        <v/>
      </c>
    </row>
    <row r="1379" spans="12:20" x14ac:dyDescent="0.25">
      <c r="L1379" s="10" t="str">
        <f t="shared" si="185"/>
        <v/>
      </c>
      <c r="M1379" s="10" t="str">
        <f t="shared" si="186"/>
        <v/>
      </c>
      <c r="N1379" s="11" t="str">
        <f t="shared" si="189"/>
        <v/>
      </c>
      <c r="O1379" s="10" t="str">
        <f t="shared" si="190"/>
        <v/>
      </c>
      <c r="P1379" s="39" t="str">
        <f t="shared" si="191"/>
        <v/>
      </c>
      <c r="Q1379" s="13" t="str">
        <f t="shared" si="187"/>
        <v/>
      </c>
      <c r="R1379" s="13" t="str">
        <f t="shared" si="192"/>
        <v/>
      </c>
      <c r="S1379" s="13" t="str">
        <f t="shared" si="188"/>
        <v/>
      </c>
      <c r="T1379" s="22" t="str">
        <f>IF(R1379&lt;&gt;"",VLOOKUP(P1379,Constants!$D$3:$E$10,2),"")</f>
        <v/>
      </c>
    </row>
    <row r="1380" spans="12:20" x14ac:dyDescent="0.25">
      <c r="L1380" s="10" t="str">
        <f t="shared" si="185"/>
        <v/>
      </c>
      <c r="M1380" s="10" t="str">
        <f t="shared" si="186"/>
        <v/>
      </c>
      <c r="N1380" s="11" t="str">
        <f t="shared" si="189"/>
        <v/>
      </c>
      <c r="O1380" s="10" t="str">
        <f t="shared" si="190"/>
        <v/>
      </c>
      <c r="P1380" s="39" t="str">
        <f t="shared" si="191"/>
        <v/>
      </c>
      <c r="Q1380" s="13" t="str">
        <f t="shared" si="187"/>
        <v/>
      </c>
      <c r="R1380" s="13" t="str">
        <f t="shared" si="192"/>
        <v/>
      </c>
      <c r="S1380" s="13" t="str">
        <f t="shared" si="188"/>
        <v/>
      </c>
      <c r="T1380" s="22" t="str">
        <f>IF(R1380&lt;&gt;"",VLOOKUP(P1380,Constants!$D$3:$E$10,2),"")</f>
        <v/>
      </c>
    </row>
    <row r="1381" spans="12:20" x14ac:dyDescent="0.25">
      <c r="L1381" s="10" t="str">
        <f t="shared" si="185"/>
        <v/>
      </c>
      <c r="M1381" s="10" t="str">
        <f t="shared" si="186"/>
        <v/>
      </c>
      <c r="N1381" s="11" t="str">
        <f t="shared" si="189"/>
        <v/>
      </c>
      <c r="O1381" s="10" t="str">
        <f t="shared" si="190"/>
        <v/>
      </c>
      <c r="P1381" s="39" t="str">
        <f t="shared" si="191"/>
        <v/>
      </c>
      <c r="Q1381" s="13" t="str">
        <f t="shared" si="187"/>
        <v/>
      </c>
      <c r="R1381" s="13" t="str">
        <f t="shared" si="192"/>
        <v/>
      </c>
      <c r="S1381" s="13" t="str">
        <f t="shared" si="188"/>
        <v/>
      </c>
      <c r="T1381" s="22" t="str">
        <f>IF(R1381&lt;&gt;"",VLOOKUP(P1381,Constants!$D$3:$E$10,2),"")</f>
        <v/>
      </c>
    </row>
    <row r="1382" spans="12:20" x14ac:dyDescent="0.25">
      <c r="L1382" s="10" t="str">
        <f t="shared" si="185"/>
        <v/>
      </c>
      <c r="M1382" s="10" t="str">
        <f t="shared" si="186"/>
        <v/>
      </c>
      <c r="N1382" s="11" t="str">
        <f t="shared" si="189"/>
        <v/>
      </c>
      <c r="O1382" s="10" t="str">
        <f t="shared" si="190"/>
        <v/>
      </c>
      <c r="P1382" s="39" t="str">
        <f t="shared" si="191"/>
        <v/>
      </c>
      <c r="Q1382" s="13" t="str">
        <f t="shared" si="187"/>
        <v/>
      </c>
      <c r="R1382" s="13" t="str">
        <f t="shared" si="192"/>
        <v/>
      </c>
      <c r="S1382" s="13" t="str">
        <f t="shared" si="188"/>
        <v/>
      </c>
      <c r="T1382" s="22" t="str">
        <f>IF(R1382&lt;&gt;"",VLOOKUP(P1382,Constants!$D$3:$E$10,2),"")</f>
        <v/>
      </c>
    </row>
    <row r="1383" spans="12:20" x14ac:dyDescent="0.25">
      <c r="L1383" s="10" t="str">
        <f t="shared" si="185"/>
        <v/>
      </c>
      <c r="M1383" s="10" t="str">
        <f t="shared" si="186"/>
        <v/>
      </c>
      <c r="N1383" s="11" t="str">
        <f t="shared" si="189"/>
        <v/>
      </c>
      <c r="O1383" s="10" t="str">
        <f t="shared" si="190"/>
        <v/>
      </c>
      <c r="P1383" s="39" t="str">
        <f t="shared" si="191"/>
        <v/>
      </c>
      <c r="Q1383" s="13" t="str">
        <f t="shared" si="187"/>
        <v/>
      </c>
      <c r="R1383" s="13" t="str">
        <f t="shared" si="192"/>
        <v/>
      </c>
      <c r="S1383" s="13" t="str">
        <f t="shared" si="188"/>
        <v/>
      </c>
      <c r="T1383" s="22" t="str">
        <f>IF(R1383&lt;&gt;"",VLOOKUP(P1383,Constants!$D$3:$E$10,2),"")</f>
        <v/>
      </c>
    </row>
    <row r="1384" spans="12:20" x14ac:dyDescent="0.25">
      <c r="L1384" s="10" t="str">
        <f t="shared" si="185"/>
        <v/>
      </c>
      <c r="M1384" s="10" t="str">
        <f t="shared" si="186"/>
        <v/>
      </c>
      <c r="N1384" s="11" t="str">
        <f t="shared" si="189"/>
        <v/>
      </c>
      <c r="O1384" s="10" t="str">
        <f t="shared" si="190"/>
        <v/>
      </c>
      <c r="P1384" s="39" t="str">
        <f t="shared" si="191"/>
        <v/>
      </c>
      <c r="Q1384" s="13" t="str">
        <f t="shared" si="187"/>
        <v/>
      </c>
      <c r="R1384" s="13" t="str">
        <f t="shared" si="192"/>
        <v/>
      </c>
      <c r="S1384" s="13" t="str">
        <f t="shared" si="188"/>
        <v/>
      </c>
      <c r="T1384" s="22" t="str">
        <f>IF(R1384&lt;&gt;"",VLOOKUP(P1384,Constants!$D$3:$E$10,2),"")</f>
        <v/>
      </c>
    </row>
    <row r="1385" spans="12:20" x14ac:dyDescent="0.25">
      <c r="L1385" s="10" t="str">
        <f t="shared" si="185"/>
        <v/>
      </c>
      <c r="M1385" s="10" t="str">
        <f t="shared" si="186"/>
        <v/>
      </c>
      <c r="N1385" s="11" t="str">
        <f t="shared" si="189"/>
        <v/>
      </c>
      <c r="O1385" s="10" t="str">
        <f t="shared" si="190"/>
        <v/>
      </c>
      <c r="P1385" s="39" t="str">
        <f t="shared" si="191"/>
        <v/>
      </c>
      <c r="Q1385" s="13" t="str">
        <f t="shared" si="187"/>
        <v/>
      </c>
      <c r="R1385" s="13" t="str">
        <f t="shared" si="192"/>
        <v/>
      </c>
      <c r="S1385" s="13" t="str">
        <f t="shared" si="188"/>
        <v/>
      </c>
      <c r="T1385" s="22" t="str">
        <f>IF(R1385&lt;&gt;"",VLOOKUP(P1385,Constants!$D$3:$E$10,2),"")</f>
        <v/>
      </c>
    </row>
    <row r="1386" spans="12:20" x14ac:dyDescent="0.25">
      <c r="L1386" s="10" t="str">
        <f t="shared" si="185"/>
        <v/>
      </c>
      <c r="M1386" s="10" t="str">
        <f t="shared" si="186"/>
        <v/>
      </c>
      <c r="N1386" s="11" t="str">
        <f t="shared" si="189"/>
        <v/>
      </c>
      <c r="O1386" s="10" t="str">
        <f t="shared" si="190"/>
        <v/>
      </c>
      <c r="P1386" s="39" t="str">
        <f t="shared" si="191"/>
        <v/>
      </c>
      <c r="Q1386" s="13" t="str">
        <f t="shared" si="187"/>
        <v/>
      </c>
      <c r="R1386" s="13" t="str">
        <f t="shared" si="192"/>
        <v/>
      </c>
      <c r="S1386" s="13" t="str">
        <f t="shared" si="188"/>
        <v/>
      </c>
      <c r="T1386" s="22" t="str">
        <f>IF(R1386&lt;&gt;"",VLOOKUP(P1386,Constants!$D$3:$E$10,2),"")</f>
        <v/>
      </c>
    </row>
    <row r="1387" spans="12:20" x14ac:dyDescent="0.25">
      <c r="L1387" s="10" t="str">
        <f t="shared" si="185"/>
        <v/>
      </c>
      <c r="M1387" s="10" t="str">
        <f t="shared" si="186"/>
        <v/>
      </c>
      <c r="N1387" s="11" t="str">
        <f t="shared" si="189"/>
        <v/>
      </c>
      <c r="O1387" s="10" t="str">
        <f t="shared" si="190"/>
        <v/>
      </c>
      <c r="P1387" s="39" t="str">
        <f t="shared" si="191"/>
        <v/>
      </c>
      <c r="Q1387" s="13" t="str">
        <f t="shared" si="187"/>
        <v/>
      </c>
      <c r="R1387" s="13" t="str">
        <f t="shared" si="192"/>
        <v/>
      </c>
      <c r="S1387" s="13" t="str">
        <f t="shared" si="188"/>
        <v/>
      </c>
      <c r="T1387" s="22" t="str">
        <f>IF(R1387&lt;&gt;"",VLOOKUP(P1387,Constants!$D$3:$E$10,2),"")</f>
        <v/>
      </c>
    </row>
    <row r="1388" spans="12:20" x14ac:dyDescent="0.25">
      <c r="L1388" s="10" t="str">
        <f t="shared" si="185"/>
        <v/>
      </c>
      <c r="M1388" s="10" t="str">
        <f t="shared" si="186"/>
        <v/>
      </c>
      <c r="N1388" s="11" t="str">
        <f t="shared" si="189"/>
        <v/>
      </c>
      <c r="O1388" s="10" t="str">
        <f t="shared" si="190"/>
        <v/>
      </c>
      <c r="P1388" s="39" t="str">
        <f t="shared" si="191"/>
        <v/>
      </c>
      <c r="Q1388" s="13" t="str">
        <f t="shared" si="187"/>
        <v/>
      </c>
      <c r="R1388" s="13" t="str">
        <f t="shared" si="192"/>
        <v/>
      </c>
      <c r="S1388" s="13" t="str">
        <f t="shared" si="188"/>
        <v/>
      </c>
      <c r="T1388" s="22" t="str">
        <f>IF(R1388&lt;&gt;"",VLOOKUP(P1388,Constants!$D$3:$E$10,2),"")</f>
        <v/>
      </c>
    </row>
    <row r="1389" spans="12:20" x14ac:dyDescent="0.25">
      <c r="L1389" s="10" t="str">
        <f t="shared" si="185"/>
        <v/>
      </c>
      <c r="M1389" s="10" t="str">
        <f t="shared" si="186"/>
        <v/>
      </c>
      <c r="N1389" s="11" t="str">
        <f t="shared" si="189"/>
        <v/>
      </c>
      <c r="O1389" s="10" t="str">
        <f t="shared" si="190"/>
        <v/>
      </c>
      <c r="P1389" s="39" t="str">
        <f t="shared" si="191"/>
        <v/>
      </c>
      <c r="Q1389" s="13" t="str">
        <f t="shared" si="187"/>
        <v/>
      </c>
      <c r="R1389" s="13" t="str">
        <f t="shared" si="192"/>
        <v/>
      </c>
      <c r="S1389" s="13" t="str">
        <f t="shared" si="188"/>
        <v/>
      </c>
      <c r="T1389" s="22" t="str">
        <f>IF(R1389&lt;&gt;"",VLOOKUP(P1389,Constants!$D$3:$E$10,2),"")</f>
        <v/>
      </c>
    </row>
    <row r="1390" spans="12:20" x14ac:dyDescent="0.25">
      <c r="L1390" s="10" t="str">
        <f t="shared" si="185"/>
        <v/>
      </c>
      <c r="M1390" s="10" t="str">
        <f t="shared" si="186"/>
        <v/>
      </c>
      <c r="N1390" s="11" t="str">
        <f t="shared" si="189"/>
        <v/>
      </c>
      <c r="O1390" s="10" t="str">
        <f t="shared" si="190"/>
        <v/>
      </c>
      <c r="P1390" s="39" t="str">
        <f t="shared" si="191"/>
        <v/>
      </c>
      <c r="Q1390" s="13" t="str">
        <f t="shared" si="187"/>
        <v/>
      </c>
      <c r="R1390" s="13" t="str">
        <f t="shared" si="192"/>
        <v/>
      </c>
      <c r="S1390" s="13" t="str">
        <f t="shared" si="188"/>
        <v/>
      </c>
      <c r="T1390" s="22" t="str">
        <f>IF(R1390&lt;&gt;"",VLOOKUP(P1390,Constants!$D$3:$E$10,2),"")</f>
        <v/>
      </c>
    </row>
    <row r="1391" spans="12:20" x14ac:dyDescent="0.25">
      <c r="L1391" s="10" t="str">
        <f t="shared" si="185"/>
        <v/>
      </c>
      <c r="M1391" s="10" t="str">
        <f t="shared" si="186"/>
        <v/>
      </c>
      <c r="N1391" s="11" t="str">
        <f t="shared" si="189"/>
        <v/>
      </c>
      <c r="O1391" s="10" t="str">
        <f t="shared" si="190"/>
        <v/>
      </c>
      <c r="P1391" s="39" t="str">
        <f t="shared" si="191"/>
        <v/>
      </c>
      <c r="Q1391" s="13" t="str">
        <f t="shared" si="187"/>
        <v/>
      </c>
      <c r="R1391" s="13" t="str">
        <f t="shared" si="192"/>
        <v/>
      </c>
      <c r="S1391" s="13" t="str">
        <f t="shared" si="188"/>
        <v/>
      </c>
      <c r="T1391" s="22" t="str">
        <f>IF(R1391&lt;&gt;"",VLOOKUP(P1391,Constants!$D$3:$E$10,2),"")</f>
        <v/>
      </c>
    </row>
    <row r="1392" spans="12:20" x14ac:dyDescent="0.25">
      <c r="L1392" s="10" t="str">
        <f t="shared" si="185"/>
        <v/>
      </c>
      <c r="M1392" s="10" t="str">
        <f t="shared" si="186"/>
        <v/>
      </c>
      <c r="N1392" s="11" t="str">
        <f t="shared" si="189"/>
        <v/>
      </c>
      <c r="O1392" s="10" t="str">
        <f t="shared" si="190"/>
        <v/>
      </c>
      <c r="P1392" s="39" t="str">
        <f t="shared" si="191"/>
        <v/>
      </c>
      <c r="Q1392" s="13" t="str">
        <f t="shared" si="187"/>
        <v/>
      </c>
      <c r="R1392" s="13" t="str">
        <f t="shared" si="192"/>
        <v/>
      </c>
      <c r="S1392" s="13" t="str">
        <f t="shared" si="188"/>
        <v/>
      </c>
      <c r="T1392" s="22" t="str">
        <f>IF(R1392&lt;&gt;"",VLOOKUP(P1392,Constants!$D$3:$E$10,2),"")</f>
        <v/>
      </c>
    </row>
    <row r="1393" spans="12:20" x14ac:dyDescent="0.25">
      <c r="L1393" s="10" t="str">
        <f t="shared" si="185"/>
        <v/>
      </c>
      <c r="M1393" s="10" t="str">
        <f t="shared" si="186"/>
        <v/>
      </c>
      <c r="N1393" s="11" t="str">
        <f t="shared" si="189"/>
        <v/>
      </c>
      <c r="O1393" s="10" t="str">
        <f t="shared" si="190"/>
        <v/>
      </c>
      <c r="P1393" s="39" t="str">
        <f t="shared" si="191"/>
        <v/>
      </c>
      <c r="Q1393" s="13" t="str">
        <f t="shared" si="187"/>
        <v/>
      </c>
      <c r="R1393" s="13" t="str">
        <f t="shared" si="192"/>
        <v/>
      </c>
      <c r="S1393" s="13" t="str">
        <f t="shared" si="188"/>
        <v/>
      </c>
      <c r="T1393" s="22" t="str">
        <f>IF(R1393&lt;&gt;"",VLOOKUP(P1393,Constants!$D$3:$E$10,2),"")</f>
        <v/>
      </c>
    </row>
    <row r="1394" spans="12:20" x14ac:dyDescent="0.25">
      <c r="L1394" s="10" t="str">
        <f t="shared" si="185"/>
        <v/>
      </c>
      <c r="M1394" s="10" t="str">
        <f t="shared" si="186"/>
        <v/>
      </c>
      <c r="N1394" s="11" t="str">
        <f t="shared" si="189"/>
        <v/>
      </c>
      <c r="O1394" s="10" t="str">
        <f t="shared" si="190"/>
        <v/>
      </c>
      <c r="P1394" s="39" t="str">
        <f t="shared" si="191"/>
        <v/>
      </c>
      <c r="Q1394" s="13" t="str">
        <f t="shared" si="187"/>
        <v/>
      </c>
      <c r="R1394" s="13" t="str">
        <f t="shared" si="192"/>
        <v/>
      </c>
      <c r="S1394" s="13" t="str">
        <f t="shared" si="188"/>
        <v/>
      </c>
      <c r="T1394" s="22" t="str">
        <f>IF(R1394&lt;&gt;"",VLOOKUP(P1394,Constants!$D$3:$E$10,2),"")</f>
        <v/>
      </c>
    </row>
    <row r="1395" spans="12:20" x14ac:dyDescent="0.25">
      <c r="L1395" s="10" t="str">
        <f t="shared" si="185"/>
        <v/>
      </c>
      <c r="M1395" s="10" t="str">
        <f t="shared" si="186"/>
        <v/>
      </c>
      <c r="N1395" s="11" t="str">
        <f t="shared" si="189"/>
        <v/>
      </c>
      <c r="O1395" s="10" t="str">
        <f t="shared" si="190"/>
        <v/>
      </c>
      <c r="P1395" s="39" t="str">
        <f t="shared" si="191"/>
        <v/>
      </c>
      <c r="Q1395" s="13" t="str">
        <f t="shared" si="187"/>
        <v/>
      </c>
      <c r="R1395" s="13" t="str">
        <f t="shared" si="192"/>
        <v/>
      </c>
      <c r="S1395" s="13" t="str">
        <f t="shared" si="188"/>
        <v/>
      </c>
      <c r="T1395" s="22" t="str">
        <f>IF(R1395&lt;&gt;"",VLOOKUP(P1395,Constants!$D$3:$E$10,2),"")</f>
        <v/>
      </c>
    </row>
    <row r="1396" spans="12:20" x14ac:dyDescent="0.25">
      <c r="L1396" s="10" t="str">
        <f t="shared" si="185"/>
        <v/>
      </c>
      <c r="M1396" s="10" t="str">
        <f t="shared" si="186"/>
        <v/>
      </c>
      <c r="N1396" s="11" t="str">
        <f t="shared" si="189"/>
        <v/>
      </c>
      <c r="O1396" s="10" t="str">
        <f t="shared" si="190"/>
        <v/>
      </c>
      <c r="P1396" s="39" t="str">
        <f t="shared" si="191"/>
        <v/>
      </c>
      <c r="Q1396" s="13" t="str">
        <f t="shared" si="187"/>
        <v/>
      </c>
      <c r="R1396" s="13" t="str">
        <f t="shared" si="192"/>
        <v/>
      </c>
      <c r="S1396" s="13" t="str">
        <f t="shared" si="188"/>
        <v/>
      </c>
      <c r="T1396" s="22" t="str">
        <f>IF(R1396&lt;&gt;"",VLOOKUP(P1396,Constants!$D$3:$E$10,2),"")</f>
        <v/>
      </c>
    </row>
    <row r="1397" spans="12:20" x14ac:dyDescent="0.25">
      <c r="L1397" s="10" t="str">
        <f t="shared" si="185"/>
        <v/>
      </c>
      <c r="M1397" s="10" t="str">
        <f t="shared" si="186"/>
        <v/>
      </c>
      <c r="N1397" s="11" t="str">
        <f t="shared" si="189"/>
        <v/>
      </c>
      <c r="O1397" s="10" t="str">
        <f t="shared" si="190"/>
        <v/>
      </c>
      <c r="P1397" s="39" t="str">
        <f t="shared" si="191"/>
        <v/>
      </c>
      <c r="Q1397" s="13" t="str">
        <f t="shared" si="187"/>
        <v/>
      </c>
      <c r="R1397" s="13" t="str">
        <f t="shared" si="192"/>
        <v/>
      </c>
      <c r="S1397" s="13" t="str">
        <f t="shared" si="188"/>
        <v/>
      </c>
      <c r="T1397" s="22" t="str">
        <f>IF(R1397&lt;&gt;"",VLOOKUP(P1397,Constants!$D$3:$E$10,2),"")</f>
        <v/>
      </c>
    </row>
    <row r="1398" spans="12:20" x14ac:dyDescent="0.25">
      <c r="L1398" s="10" t="str">
        <f t="shared" si="185"/>
        <v/>
      </c>
      <c r="M1398" s="10" t="str">
        <f t="shared" si="186"/>
        <v/>
      </c>
      <c r="N1398" s="11" t="str">
        <f t="shared" si="189"/>
        <v/>
      </c>
      <c r="O1398" s="10" t="str">
        <f t="shared" si="190"/>
        <v/>
      </c>
      <c r="P1398" s="39" t="str">
        <f t="shared" si="191"/>
        <v/>
      </c>
      <c r="Q1398" s="13" t="str">
        <f t="shared" si="187"/>
        <v/>
      </c>
      <c r="R1398" s="13" t="str">
        <f t="shared" si="192"/>
        <v/>
      </c>
      <c r="S1398" s="13" t="str">
        <f t="shared" si="188"/>
        <v/>
      </c>
      <c r="T1398" s="22" t="str">
        <f>IF(R1398&lt;&gt;"",VLOOKUP(P1398,Constants!$D$3:$E$10,2),"")</f>
        <v/>
      </c>
    </row>
    <row r="1399" spans="12:20" x14ac:dyDescent="0.25">
      <c r="L1399" s="10" t="str">
        <f t="shared" si="185"/>
        <v/>
      </c>
      <c r="M1399" s="10" t="str">
        <f t="shared" si="186"/>
        <v/>
      </c>
      <c r="N1399" s="11" t="str">
        <f t="shared" si="189"/>
        <v/>
      </c>
      <c r="O1399" s="10" t="str">
        <f t="shared" si="190"/>
        <v/>
      </c>
      <c r="P1399" s="39" t="str">
        <f t="shared" si="191"/>
        <v/>
      </c>
      <c r="Q1399" s="13" t="str">
        <f t="shared" si="187"/>
        <v/>
      </c>
      <c r="R1399" s="13" t="str">
        <f t="shared" si="192"/>
        <v/>
      </c>
      <c r="S1399" s="13" t="str">
        <f t="shared" si="188"/>
        <v/>
      </c>
      <c r="T1399" s="22" t="str">
        <f>IF(R1399&lt;&gt;"",VLOOKUP(P1399,Constants!$D$3:$E$10,2),"")</f>
        <v/>
      </c>
    </row>
    <row r="1400" spans="12:20" x14ac:dyDescent="0.25">
      <c r="L1400" s="10" t="str">
        <f t="shared" si="185"/>
        <v/>
      </c>
      <c r="M1400" s="10" t="str">
        <f t="shared" si="186"/>
        <v/>
      </c>
      <c r="N1400" s="11" t="str">
        <f t="shared" si="189"/>
        <v/>
      </c>
      <c r="O1400" s="10" t="str">
        <f t="shared" si="190"/>
        <v/>
      </c>
      <c r="P1400" s="39" t="str">
        <f t="shared" si="191"/>
        <v/>
      </c>
      <c r="Q1400" s="13" t="str">
        <f t="shared" si="187"/>
        <v/>
      </c>
      <c r="R1400" s="13" t="str">
        <f t="shared" si="192"/>
        <v/>
      </c>
      <c r="S1400" s="13" t="str">
        <f t="shared" si="188"/>
        <v/>
      </c>
      <c r="T1400" s="22" t="str">
        <f>IF(R1400&lt;&gt;"",VLOOKUP(P1400,Constants!$D$3:$E$10,2),"")</f>
        <v/>
      </c>
    </row>
    <row r="1401" spans="12:20" x14ac:dyDescent="0.25">
      <c r="L1401" s="10" t="str">
        <f t="shared" si="185"/>
        <v/>
      </c>
      <c r="M1401" s="10" t="str">
        <f t="shared" si="186"/>
        <v/>
      </c>
      <c r="N1401" s="11" t="str">
        <f t="shared" si="189"/>
        <v/>
      </c>
      <c r="O1401" s="10" t="str">
        <f t="shared" si="190"/>
        <v/>
      </c>
      <c r="P1401" s="39" t="str">
        <f t="shared" si="191"/>
        <v/>
      </c>
      <c r="Q1401" s="13" t="str">
        <f t="shared" si="187"/>
        <v/>
      </c>
      <c r="R1401" s="13" t="str">
        <f t="shared" si="192"/>
        <v/>
      </c>
      <c r="S1401" s="13" t="str">
        <f t="shared" si="188"/>
        <v/>
      </c>
      <c r="T1401" s="22" t="str">
        <f>IF(R1401&lt;&gt;"",VLOOKUP(P1401,Constants!$D$3:$E$10,2),"")</f>
        <v/>
      </c>
    </row>
    <row r="1402" spans="12:20" x14ac:dyDescent="0.25">
      <c r="L1402" s="10" t="str">
        <f t="shared" si="185"/>
        <v/>
      </c>
      <c r="M1402" s="10" t="str">
        <f t="shared" si="186"/>
        <v/>
      </c>
      <c r="N1402" s="11" t="str">
        <f t="shared" si="189"/>
        <v/>
      </c>
      <c r="O1402" s="10" t="str">
        <f t="shared" si="190"/>
        <v/>
      </c>
      <c r="P1402" s="39" t="str">
        <f t="shared" si="191"/>
        <v/>
      </c>
      <c r="Q1402" s="13" t="str">
        <f t="shared" si="187"/>
        <v/>
      </c>
      <c r="R1402" s="13" t="str">
        <f t="shared" si="192"/>
        <v/>
      </c>
      <c r="S1402" s="13" t="str">
        <f t="shared" si="188"/>
        <v/>
      </c>
      <c r="T1402" s="22" t="str">
        <f>IF(R1402&lt;&gt;"",VLOOKUP(P1402,Constants!$D$3:$E$10,2),"")</f>
        <v/>
      </c>
    </row>
    <row r="1403" spans="12:20" x14ac:dyDescent="0.25">
      <c r="L1403" s="10" t="str">
        <f t="shared" si="185"/>
        <v/>
      </c>
      <c r="M1403" s="10" t="str">
        <f t="shared" si="186"/>
        <v/>
      </c>
      <c r="N1403" s="11" t="str">
        <f t="shared" si="189"/>
        <v/>
      </c>
      <c r="O1403" s="10" t="str">
        <f t="shared" si="190"/>
        <v/>
      </c>
      <c r="P1403" s="39" t="str">
        <f t="shared" si="191"/>
        <v/>
      </c>
      <c r="Q1403" s="13" t="str">
        <f t="shared" si="187"/>
        <v/>
      </c>
      <c r="R1403" s="13" t="str">
        <f t="shared" si="192"/>
        <v/>
      </c>
      <c r="S1403" s="13" t="str">
        <f t="shared" si="188"/>
        <v/>
      </c>
      <c r="T1403" s="22" t="str">
        <f>IF(R1403&lt;&gt;"",VLOOKUP(P1403,Constants!$D$3:$E$10,2),"")</f>
        <v/>
      </c>
    </row>
    <row r="1404" spans="12:20" x14ac:dyDescent="0.25">
      <c r="L1404" s="10" t="str">
        <f t="shared" si="185"/>
        <v/>
      </c>
      <c r="M1404" s="10" t="str">
        <f t="shared" si="186"/>
        <v/>
      </c>
      <c r="N1404" s="11" t="str">
        <f t="shared" si="189"/>
        <v/>
      </c>
      <c r="O1404" s="10" t="str">
        <f t="shared" si="190"/>
        <v/>
      </c>
      <c r="P1404" s="39" t="str">
        <f t="shared" si="191"/>
        <v/>
      </c>
      <c r="Q1404" s="13" t="str">
        <f t="shared" si="187"/>
        <v/>
      </c>
      <c r="R1404" s="13" t="str">
        <f t="shared" si="192"/>
        <v/>
      </c>
      <c r="S1404" s="13" t="str">
        <f t="shared" si="188"/>
        <v/>
      </c>
      <c r="T1404" s="22" t="str">
        <f>IF(R1404&lt;&gt;"",VLOOKUP(P1404,Constants!$D$3:$E$10,2),"")</f>
        <v/>
      </c>
    </row>
    <row r="1405" spans="12:20" x14ac:dyDescent="0.25">
      <c r="L1405" s="10" t="str">
        <f t="shared" si="185"/>
        <v/>
      </c>
      <c r="M1405" s="10" t="str">
        <f t="shared" si="186"/>
        <v/>
      </c>
      <c r="N1405" s="11" t="str">
        <f t="shared" si="189"/>
        <v/>
      </c>
      <c r="O1405" s="10" t="str">
        <f t="shared" si="190"/>
        <v/>
      </c>
      <c r="P1405" s="39" t="str">
        <f t="shared" si="191"/>
        <v/>
      </c>
      <c r="Q1405" s="13" t="str">
        <f t="shared" si="187"/>
        <v/>
      </c>
      <c r="R1405" s="13" t="str">
        <f t="shared" si="192"/>
        <v/>
      </c>
      <c r="S1405" s="13" t="str">
        <f t="shared" si="188"/>
        <v/>
      </c>
      <c r="T1405" s="22" t="str">
        <f>IF(R1405&lt;&gt;"",VLOOKUP(P1405,Constants!$D$3:$E$10,2),"")</f>
        <v/>
      </c>
    </row>
    <row r="1406" spans="12:20" x14ac:dyDescent="0.25">
      <c r="L1406" s="10" t="str">
        <f t="shared" si="185"/>
        <v/>
      </c>
      <c r="M1406" s="10" t="str">
        <f t="shared" si="186"/>
        <v/>
      </c>
      <c r="N1406" s="11" t="str">
        <f t="shared" si="189"/>
        <v/>
      </c>
      <c r="O1406" s="10" t="str">
        <f t="shared" si="190"/>
        <v/>
      </c>
      <c r="P1406" s="39" t="str">
        <f t="shared" si="191"/>
        <v/>
      </c>
      <c r="Q1406" s="13" t="str">
        <f t="shared" si="187"/>
        <v/>
      </c>
      <c r="R1406" s="13" t="str">
        <f t="shared" si="192"/>
        <v/>
      </c>
      <c r="S1406" s="13" t="str">
        <f t="shared" si="188"/>
        <v/>
      </c>
      <c r="T1406" s="22" t="str">
        <f>IF(R1406&lt;&gt;"",VLOOKUP(P1406,Constants!$D$3:$E$10,2),"")</f>
        <v/>
      </c>
    </row>
    <row r="1407" spans="12:20" x14ac:dyDescent="0.25">
      <c r="L1407" s="10" t="str">
        <f t="shared" si="185"/>
        <v/>
      </c>
      <c r="M1407" s="10" t="str">
        <f t="shared" si="186"/>
        <v/>
      </c>
      <c r="N1407" s="11" t="str">
        <f t="shared" si="189"/>
        <v/>
      </c>
      <c r="O1407" s="10" t="str">
        <f t="shared" si="190"/>
        <v/>
      </c>
      <c r="P1407" s="39" t="str">
        <f t="shared" si="191"/>
        <v/>
      </c>
      <c r="Q1407" s="13" t="str">
        <f t="shared" si="187"/>
        <v/>
      </c>
      <c r="R1407" s="13" t="str">
        <f t="shared" si="192"/>
        <v/>
      </c>
      <c r="S1407" s="13" t="str">
        <f t="shared" si="188"/>
        <v/>
      </c>
      <c r="T1407" s="22" t="str">
        <f>IF(R1407&lt;&gt;"",VLOOKUP(P1407,Constants!$D$3:$E$10,2),"")</f>
        <v/>
      </c>
    </row>
    <row r="1408" spans="12:20" x14ac:dyDescent="0.25">
      <c r="L1408" s="10" t="str">
        <f t="shared" si="185"/>
        <v/>
      </c>
      <c r="M1408" s="10" t="str">
        <f t="shared" si="186"/>
        <v/>
      </c>
      <c r="N1408" s="11" t="str">
        <f t="shared" si="189"/>
        <v/>
      </c>
      <c r="O1408" s="10" t="str">
        <f t="shared" si="190"/>
        <v/>
      </c>
      <c r="P1408" s="39" t="str">
        <f t="shared" si="191"/>
        <v/>
      </c>
      <c r="Q1408" s="13" t="str">
        <f t="shared" si="187"/>
        <v/>
      </c>
      <c r="R1408" s="13" t="str">
        <f t="shared" si="192"/>
        <v/>
      </c>
      <c r="S1408" s="13" t="str">
        <f t="shared" si="188"/>
        <v/>
      </c>
      <c r="T1408" s="22" t="str">
        <f>IF(R1408&lt;&gt;"",VLOOKUP(P1408,Constants!$D$3:$E$10,2),"")</f>
        <v/>
      </c>
    </row>
    <row r="1409" spans="12:20" x14ac:dyDescent="0.25">
      <c r="L1409" s="10" t="str">
        <f t="shared" si="185"/>
        <v/>
      </c>
      <c r="M1409" s="10" t="str">
        <f t="shared" si="186"/>
        <v/>
      </c>
      <c r="N1409" s="11" t="str">
        <f t="shared" si="189"/>
        <v/>
      </c>
      <c r="O1409" s="10" t="str">
        <f t="shared" si="190"/>
        <v/>
      </c>
      <c r="P1409" s="39" t="str">
        <f t="shared" si="191"/>
        <v/>
      </c>
      <c r="Q1409" s="13" t="str">
        <f t="shared" si="187"/>
        <v/>
      </c>
      <c r="R1409" s="13" t="str">
        <f t="shared" si="192"/>
        <v/>
      </c>
      <c r="S1409" s="13" t="str">
        <f t="shared" si="188"/>
        <v/>
      </c>
      <c r="T1409" s="22" t="str">
        <f>IF(R1409&lt;&gt;"",VLOOKUP(P1409,Constants!$D$3:$E$10,2),"")</f>
        <v/>
      </c>
    </row>
    <row r="1410" spans="12:20" x14ac:dyDescent="0.25">
      <c r="L1410" s="10" t="str">
        <f t="shared" si="185"/>
        <v/>
      </c>
      <c r="M1410" s="10" t="str">
        <f t="shared" si="186"/>
        <v/>
      </c>
      <c r="N1410" s="11" t="str">
        <f t="shared" si="189"/>
        <v/>
      </c>
      <c r="O1410" s="10" t="str">
        <f t="shared" si="190"/>
        <v/>
      </c>
      <c r="P1410" s="39" t="str">
        <f t="shared" si="191"/>
        <v/>
      </c>
      <c r="Q1410" s="13" t="str">
        <f t="shared" si="187"/>
        <v/>
      </c>
      <c r="R1410" s="13" t="str">
        <f t="shared" si="192"/>
        <v/>
      </c>
      <c r="S1410" s="13" t="str">
        <f t="shared" si="188"/>
        <v/>
      </c>
      <c r="T1410" s="22" t="str">
        <f>IF(R1410&lt;&gt;"",VLOOKUP(P1410,Constants!$D$3:$E$10,2),"")</f>
        <v/>
      </c>
    </row>
    <row r="1411" spans="12:20" x14ac:dyDescent="0.25">
      <c r="L1411" s="10" t="str">
        <f t="shared" si="185"/>
        <v/>
      </c>
      <c r="M1411" s="10" t="str">
        <f t="shared" si="186"/>
        <v/>
      </c>
      <c r="N1411" s="11" t="str">
        <f t="shared" si="189"/>
        <v/>
      </c>
      <c r="O1411" s="10" t="str">
        <f t="shared" si="190"/>
        <v/>
      </c>
      <c r="P1411" s="39" t="str">
        <f t="shared" si="191"/>
        <v/>
      </c>
      <c r="Q1411" s="13" t="str">
        <f t="shared" si="187"/>
        <v/>
      </c>
      <c r="R1411" s="13" t="str">
        <f t="shared" si="192"/>
        <v/>
      </c>
      <c r="S1411" s="13" t="str">
        <f t="shared" si="188"/>
        <v/>
      </c>
      <c r="T1411" s="22" t="str">
        <f>IF(R1411&lt;&gt;"",VLOOKUP(P1411,Constants!$D$3:$E$10,2),"")</f>
        <v/>
      </c>
    </row>
    <row r="1412" spans="12:20" x14ac:dyDescent="0.25">
      <c r="L1412" s="10" t="str">
        <f t="shared" si="185"/>
        <v/>
      </c>
      <c r="M1412" s="10" t="str">
        <f t="shared" si="186"/>
        <v/>
      </c>
      <c r="N1412" s="11" t="str">
        <f t="shared" si="189"/>
        <v/>
      </c>
      <c r="O1412" s="10" t="str">
        <f t="shared" si="190"/>
        <v/>
      </c>
      <c r="P1412" s="39" t="str">
        <f t="shared" si="191"/>
        <v/>
      </c>
      <c r="Q1412" s="13" t="str">
        <f t="shared" si="187"/>
        <v/>
      </c>
      <c r="R1412" s="13" t="str">
        <f t="shared" si="192"/>
        <v/>
      </c>
      <c r="S1412" s="13" t="str">
        <f t="shared" si="188"/>
        <v/>
      </c>
      <c r="T1412" s="22" t="str">
        <f>IF(R1412&lt;&gt;"",VLOOKUP(P1412,Constants!$D$3:$E$10,2),"")</f>
        <v/>
      </c>
    </row>
    <row r="1413" spans="12:20" x14ac:dyDescent="0.25">
      <c r="L1413" s="10" t="str">
        <f t="shared" si="185"/>
        <v/>
      </c>
      <c r="M1413" s="10" t="str">
        <f t="shared" si="186"/>
        <v/>
      </c>
      <c r="N1413" s="11" t="str">
        <f t="shared" si="189"/>
        <v/>
      </c>
      <c r="O1413" s="10" t="str">
        <f t="shared" si="190"/>
        <v/>
      </c>
      <c r="P1413" s="39" t="str">
        <f t="shared" si="191"/>
        <v/>
      </c>
      <c r="Q1413" s="13" t="str">
        <f t="shared" si="187"/>
        <v/>
      </c>
      <c r="R1413" s="13" t="str">
        <f t="shared" si="192"/>
        <v/>
      </c>
      <c r="S1413" s="13" t="str">
        <f t="shared" si="188"/>
        <v/>
      </c>
      <c r="T1413" s="22" t="str">
        <f>IF(R1413&lt;&gt;"",VLOOKUP(P1413,Constants!$D$3:$E$10,2),"")</f>
        <v/>
      </c>
    </row>
    <row r="1414" spans="12:20" x14ac:dyDescent="0.25">
      <c r="L1414" s="10" t="str">
        <f t="shared" si="185"/>
        <v/>
      </c>
      <c r="M1414" s="10" t="str">
        <f t="shared" si="186"/>
        <v/>
      </c>
      <c r="N1414" s="11" t="str">
        <f t="shared" si="189"/>
        <v/>
      </c>
      <c r="O1414" s="10" t="str">
        <f t="shared" si="190"/>
        <v/>
      </c>
      <c r="P1414" s="39" t="str">
        <f t="shared" si="191"/>
        <v/>
      </c>
      <c r="Q1414" s="13" t="str">
        <f t="shared" si="187"/>
        <v/>
      </c>
      <c r="R1414" s="13" t="str">
        <f t="shared" si="192"/>
        <v/>
      </c>
      <c r="S1414" s="13" t="str">
        <f t="shared" si="188"/>
        <v/>
      </c>
      <c r="T1414" s="22" t="str">
        <f>IF(R1414&lt;&gt;"",VLOOKUP(P1414,Constants!$D$3:$E$10,2),"")</f>
        <v/>
      </c>
    </row>
    <row r="1415" spans="12:20" x14ac:dyDescent="0.25">
      <c r="L1415" s="10" t="str">
        <f t="shared" si="185"/>
        <v/>
      </c>
      <c r="M1415" s="10" t="str">
        <f t="shared" si="186"/>
        <v/>
      </c>
      <c r="N1415" s="11" t="str">
        <f t="shared" si="189"/>
        <v/>
      </c>
      <c r="O1415" s="10" t="str">
        <f t="shared" si="190"/>
        <v/>
      </c>
      <c r="P1415" s="39" t="str">
        <f t="shared" si="191"/>
        <v/>
      </c>
      <c r="Q1415" s="13" t="str">
        <f t="shared" si="187"/>
        <v/>
      </c>
      <c r="R1415" s="13" t="str">
        <f t="shared" si="192"/>
        <v/>
      </c>
      <c r="S1415" s="13" t="str">
        <f t="shared" si="188"/>
        <v/>
      </c>
      <c r="T1415" s="22" t="str">
        <f>IF(R1415&lt;&gt;"",VLOOKUP(P1415,Constants!$D$3:$E$10,2),"")</f>
        <v/>
      </c>
    </row>
    <row r="1416" spans="12:20" x14ac:dyDescent="0.25">
      <c r="L1416" s="10" t="str">
        <f t="shared" ref="L1416:L1479" si="193">IF($D1416&lt;&gt;"",$D1416*$E1416/1000,"")</f>
        <v/>
      </c>
      <c r="M1416" s="10" t="str">
        <f t="shared" ref="M1416:M1479" si="194">IF($D1416&lt;&gt;"",$D1416*$F1416/1000,"")</f>
        <v/>
      </c>
      <c r="N1416" s="11" t="str">
        <f t="shared" si="189"/>
        <v/>
      </c>
      <c r="O1416" s="10" t="str">
        <f t="shared" si="190"/>
        <v/>
      </c>
      <c r="P1416" s="39" t="str">
        <f t="shared" si="191"/>
        <v/>
      </c>
      <c r="Q1416" s="13" t="str">
        <f t="shared" ref="Q1416:Q1479" si="195">IF(F1416&lt;&gt;"",F1416*E1416/1000,"")</f>
        <v/>
      </c>
      <c r="R1416" s="13" t="str">
        <f t="shared" si="192"/>
        <v/>
      </c>
      <c r="S1416" s="13" t="str">
        <f t="shared" ref="S1416:S1479" si="196">IF(R1416&lt;&gt;"",Q1416/R1416*1000,"")</f>
        <v/>
      </c>
      <c r="T1416" s="22" t="str">
        <f>IF(R1416&lt;&gt;"",VLOOKUP(P1416,Constants!$D$3:$E$10,2),"")</f>
        <v/>
      </c>
    </row>
    <row r="1417" spans="12:20" x14ac:dyDescent="0.25">
      <c r="L1417" s="10" t="str">
        <f t="shared" si="193"/>
        <v/>
      </c>
      <c r="M1417" s="10" t="str">
        <f t="shared" si="194"/>
        <v/>
      </c>
      <c r="N1417" s="11" t="str">
        <f t="shared" si="189"/>
        <v/>
      </c>
      <c r="O1417" s="10" t="str">
        <f t="shared" si="190"/>
        <v/>
      </c>
      <c r="P1417" s="39" t="str">
        <f t="shared" si="191"/>
        <v/>
      </c>
      <c r="Q1417" s="13" t="str">
        <f t="shared" si="195"/>
        <v/>
      </c>
      <c r="R1417" s="13" t="str">
        <f t="shared" si="192"/>
        <v/>
      </c>
      <c r="S1417" s="13" t="str">
        <f t="shared" si="196"/>
        <v/>
      </c>
      <c r="T1417" s="22" t="str">
        <f>IF(R1417&lt;&gt;"",VLOOKUP(P1417,Constants!$D$3:$E$10,2),"")</f>
        <v/>
      </c>
    </row>
    <row r="1418" spans="12:20" x14ac:dyDescent="0.25">
      <c r="L1418" s="10" t="str">
        <f t="shared" si="193"/>
        <v/>
      </c>
      <c r="M1418" s="10" t="str">
        <f t="shared" si="194"/>
        <v/>
      </c>
      <c r="N1418" s="11" t="str">
        <f t="shared" si="189"/>
        <v/>
      </c>
      <c r="O1418" s="10" t="str">
        <f t="shared" si="190"/>
        <v/>
      </c>
      <c r="P1418" s="39" t="str">
        <f t="shared" si="191"/>
        <v/>
      </c>
      <c r="Q1418" s="13" t="str">
        <f t="shared" si="195"/>
        <v/>
      </c>
      <c r="R1418" s="13" t="str">
        <f t="shared" si="192"/>
        <v/>
      </c>
      <c r="S1418" s="13" t="str">
        <f t="shared" si="196"/>
        <v/>
      </c>
      <c r="T1418" s="22" t="str">
        <f>IF(R1418&lt;&gt;"",VLOOKUP(P1418,Constants!$D$3:$E$10,2),"")</f>
        <v/>
      </c>
    </row>
    <row r="1419" spans="12:20" x14ac:dyDescent="0.25">
      <c r="L1419" s="10" t="str">
        <f t="shared" si="193"/>
        <v/>
      </c>
      <c r="M1419" s="10" t="str">
        <f t="shared" si="194"/>
        <v/>
      </c>
      <c r="N1419" s="11" t="str">
        <f t="shared" si="189"/>
        <v/>
      </c>
      <c r="O1419" s="10" t="str">
        <f t="shared" si="190"/>
        <v/>
      </c>
      <c r="P1419" s="39" t="str">
        <f t="shared" si="191"/>
        <v/>
      </c>
      <c r="Q1419" s="13" t="str">
        <f t="shared" si="195"/>
        <v/>
      </c>
      <c r="R1419" s="13" t="str">
        <f t="shared" si="192"/>
        <v/>
      </c>
      <c r="S1419" s="13" t="str">
        <f t="shared" si="196"/>
        <v/>
      </c>
      <c r="T1419" s="22" t="str">
        <f>IF(R1419&lt;&gt;"",VLOOKUP(P1419,Constants!$D$3:$E$10,2),"")</f>
        <v/>
      </c>
    </row>
    <row r="1420" spans="12:20" x14ac:dyDescent="0.25">
      <c r="L1420" s="10" t="str">
        <f t="shared" si="193"/>
        <v/>
      </c>
      <c r="M1420" s="10" t="str">
        <f t="shared" si="194"/>
        <v/>
      </c>
      <c r="N1420" s="11" t="str">
        <f t="shared" si="189"/>
        <v/>
      </c>
      <c r="O1420" s="10" t="str">
        <f t="shared" si="190"/>
        <v/>
      </c>
      <c r="P1420" s="39" t="str">
        <f t="shared" si="191"/>
        <v/>
      </c>
      <c r="Q1420" s="13" t="str">
        <f t="shared" si="195"/>
        <v/>
      </c>
      <c r="R1420" s="13" t="str">
        <f t="shared" si="192"/>
        <v/>
      </c>
      <c r="S1420" s="13" t="str">
        <f t="shared" si="196"/>
        <v/>
      </c>
      <c r="T1420" s="22" t="str">
        <f>IF(R1420&lt;&gt;"",VLOOKUP(P1420,Constants!$D$3:$E$10,2),"")</f>
        <v/>
      </c>
    </row>
    <row r="1421" spans="12:20" x14ac:dyDescent="0.25">
      <c r="L1421" s="10" t="str">
        <f t="shared" si="193"/>
        <v/>
      </c>
      <c r="M1421" s="10" t="str">
        <f t="shared" si="194"/>
        <v/>
      </c>
      <c r="N1421" s="11" t="str">
        <f t="shared" si="189"/>
        <v/>
      </c>
      <c r="O1421" s="10" t="str">
        <f t="shared" si="190"/>
        <v/>
      </c>
      <c r="P1421" s="39" t="str">
        <f t="shared" si="191"/>
        <v/>
      </c>
      <c r="Q1421" s="13" t="str">
        <f t="shared" si="195"/>
        <v/>
      </c>
      <c r="R1421" s="13" t="str">
        <f t="shared" si="192"/>
        <v/>
      </c>
      <c r="S1421" s="13" t="str">
        <f t="shared" si="196"/>
        <v/>
      </c>
      <c r="T1421" s="22" t="str">
        <f>IF(R1421&lt;&gt;"",VLOOKUP(P1421,Constants!$D$3:$E$10,2),"")</f>
        <v/>
      </c>
    </row>
    <row r="1422" spans="12:20" x14ac:dyDescent="0.25">
      <c r="L1422" s="10" t="str">
        <f t="shared" si="193"/>
        <v/>
      </c>
      <c r="M1422" s="10" t="str">
        <f t="shared" si="194"/>
        <v/>
      </c>
      <c r="N1422" s="11" t="str">
        <f t="shared" si="189"/>
        <v/>
      </c>
      <c r="O1422" s="10" t="str">
        <f t="shared" si="190"/>
        <v/>
      </c>
      <c r="P1422" s="39" t="str">
        <f t="shared" si="191"/>
        <v/>
      </c>
      <c r="Q1422" s="13" t="str">
        <f t="shared" si="195"/>
        <v/>
      </c>
      <c r="R1422" s="13" t="str">
        <f t="shared" si="192"/>
        <v/>
      </c>
      <c r="S1422" s="13" t="str">
        <f t="shared" si="196"/>
        <v/>
      </c>
      <c r="T1422" s="22" t="str">
        <f>IF(R1422&lt;&gt;"",VLOOKUP(P1422,Constants!$D$3:$E$10,2),"")</f>
        <v/>
      </c>
    </row>
    <row r="1423" spans="12:20" x14ac:dyDescent="0.25">
      <c r="L1423" s="10" t="str">
        <f t="shared" si="193"/>
        <v/>
      </c>
      <c r="M1423" s="10" t="str">
        <f t="shared" si="194"/>
        <v/>
      </c>
      <c r="N1423" s="11" t="str">
        <f t="shared" si="189"/>
        <v/>
      </c>
      <c r="O1423" s="10" t="str">
        <f t="shared" si="190"/>
        <v/>
      </c>
      <c r="P1423" s="39" t="str">
        <f t="shared" si="191"/>
        <v/>
      </c>
      <c r="Q1423" s="13" t="str">
        <f t="shared" si="195"/>
        <v/>
      </c>
      <c r="R1423" s="13" t="str">
        <f t="shared" si="192"/>
        <v/>
      </c>
      <c r="S1423" s="13" t="str">
        <f t="shared" si="196"/>
        <v/>
      </c>
      <c r="T1423" s="22" t="str">
        <f>IF(R1423&lt;&gt;"",VLOOKUP(P1423,Constants!$D$3:$E$10,2),"")</f>
        <v/>
      </c>
    </row>
    <row r="1424" spans="12:20" x14ac:dyDescent="0.25">
      <c r="L1424" s="10" t="str">
        <f t="shared" si="193"/>
        <v/>
      </c>
      <c r="M1424" s="10" t="str">
        <f t="shared" si="194"/>
        <v/>
      </c>
      <c r="N1424" s="11" t="str">
        <f t="shared" ref="N1424:N1487" si="197">IF($L1424&lt;&gt;"",SQRT($L1424*$L1424+$M1424*$M1424),"")</f>
        <v/>
      </c>
      <c r="O1424" s="10" t="str">
        <f t="shared" si="190"/>
        <v/>
      </c>
      <c r="P1424" s="39" t="str">
        <f t="shared" si="191"/>
        <v/>
      </c>
      <c r="Q1424" s="13" t="str">
        <f t="shared" si="195"/>
        <v/>
      </c>
      <c r="R1424" s="13" t="str">
        <f t="shared" si="192"/>
        <v/>
      </c>
      <c r="S1424" s="13" t="str">
        <f t="shared" si="196"/>
        <v/>
      </c>
      <c r="T1424" s="22" t="str">
        <f>IF(R1424&lt;&gt;"",VLOOKUP(P1424,Constants!$D$3:$E$10,2),"")</f>
        <v/>
      </c>
    </row>
    <row r="1425" spans="12:20" x14ac:dyDescent="0.25">
      <c r="L1425" s="10" t="str">
        <f t="shared" si="193"/>
        <v/>
      </c>
      <c r="M1425" s="10" t="str">
        <f t="shared" si="194"/>
        <v/>
      </c>
      <c r="N1425" s="11" t="str">
        <f t="shared" si="197"/>
        <v/>
      </c>
      <c r="O1425" s="10" t="str">
        <f t="shared" si="190"/>
        <v/>
      </c>
      <c r="P1425" s="39" t="str">
        <f t="shared" si="191"/>
        <v/>
      </c>
      <c r="Q1425" s="13" t="str">
        <f t="shared" si="195"/>
        <v/>
      </c>
      <c r="R1425" s="13" t="str">
        <f t="shared" si="192"/>
        <v/>
      </c>
      <c r="S1425" s="13" t="str">
        <f t="shared" si="196"/>
        <v/>
      </c>
      <c r="T1425" s="22" t="str">
        <f>IF(R1425&lt;&gt;"",VLOOKUP(P1425,Constants!$D$3:$E$10,2),"")</f>
        <v/>
      </c>
    </row>
    <row r="1426" spans="12:20" x14ac:dyDescent="0.25">
      <c r="L1426" s="10" t="str">
        <f t="shared" si="193"/>
        <v/>
      </c>
      <c r="M1426" s="10" t="str">
        <f t="shared" si="194"/>
        <v/>
      </c>
      <c r="N1426" s="11" t="str">
        <f t="shared" si="197"/>
        <v/>
      </c>
      <c r="O1426" s="10" t="str">
        <f t="shared" si="190"/>
        <v/>
      </c>
      <c r="P1426" s="39" t="str">
        <f t="shared" si="191"/>
        <v/>
      </c>
      <c r="Q1426" s="13" t="str">
        <f t="shared" si="195"/>
        <v/>
      </c>
      <c r="R1426" s="13" t="str">
        <f t="shared" si="192"/>
        <v/>
      </c>
      <c r="S1426" s="13" t="str">
        <f t="shared" si="196"/>
        <v/>
      </c>
      <c r="T1426" s="22" t="str">
        <f>IF(R1426&lt;&gt;"",VLOOKUP(P1426,Constants!$D$3:$E$10,2),"")</f>
        <v/>
      </c>
    </row>
    <row r="1427" spans="12:20" x14ac:dyDescent="0.25">
      <c r="L1427" s="10" t="str">
        <f t="shared" si="193"/>
        <v/>
      </c>
      <c r="M1427" s="10" t="str">
        <f t="shared" si="194"/>
        <v/>
      </c>
      <c r="N1427" s="11" t="str">
        <f t="shared" si="197"/>
        <v/>
      </c>
      <c r="O1427" s="10" t="str">
        <f t="shared" si="190"/>
        <v/>
      </c>
      <c r="P1427" s="39" t="str">
        <f t="shared" si="191"/>
        <v/>
      </c>
      <c r="Q1427" s="13" t="str">
        <f t="shared" si="195"/>
        <v/>
      </c>
      <c r="R1427" s="13" t="str">
        <f t="shared" si="192"/>
        <v/>
      </c>
      <c r="S1427" s="13" t="str">
        <f t="shared" si="196"/>
        <v/>
      </c>
      <c r="T1427" s="22" t="str">
        <f>IF(R1427&lt;&gt;"",VLOOKUP(P1427,Constants!$D$3:$E$10,2),"")</f>
        <v/>
      </c>
    </row>
    <row r="1428" spans="12:20" x14ac:dyDescent="0.25">
      <c r="L1428" s="10" t="str">
        <f t="shared" si="193"/>
        <v/>
      </c>
      <c r="M1428" s="10" t="str">
        <f t="shared" si="194"/>
        <v/>
      </c>
      <c r="N1428" s="11" t="str">
        <f t="shared" si="197"/>
        <v/>
      </c>
      <c r="O1428" s="10" t="str">
        <f t="shared" si="190"/>
        <v/>
      </c>
      <c r="P1428" s="39" t="str">
        <f t="shared" si="191"/>
        <v/>
      </c>
      <c r="Q1428" s="13" t="str">
        <f t="shared" si="195"/>
        <v/>
      </c>
      <c r="R1428" s="13" t="str">
        <f t="shared" si="192"/>
        <v/>
      </c>
      <c r="S1428" s="13" t="str">
        <f t="shared" si="196"/>
        <v/>
      </c>
      <c r="T1428" s="22" t="str">
        <f>IF(R1428&lt;&gt;"",VLOOKUP(P1428,Constants!$D$3:$E$10,2),"")</f>
        <v/>
      </c>
    </row>
    <row r="1429" spans="12:20" x14ac:dyDescent="0.25">
      <c r="L1429" s="10" t="str">
        <f t="shared" si="193"/>
        <v/>
      </c>
      <c r="M1429" s="10" t="str">
        <f t="shared" si="194"/>
        <v/>
      </c>
      <c r="N1429" s="11" t="str">
        <f t="shared" si="197"/>
        <v/>
      </c>
      <c r="O1429" s="10" t="str">
        <f t="shared" si="190"/>
        <v/>
      </c>
      <c r="P1429" s="39" t="str">
        <f t="shared" si="191"/>
        <v/>
      </c>
      <c r="Q1429" s="13" t="str">
        <f t="shared" si="195"/>
        <v/>
      </c>
      <c r="R1429" s="13" t="str">
        <f t="shared" si="192"/>
        <v/>
      </c>
      <c r="S1429" s="13" t="str">
        <f t="shared" si="196"/>
        <v/>
      </c>
      <c r="T1429" s="22" t="str">
        <f>IF(R1429&lt;&gt;"",VLOOKUP(P1429,Constants!$D$3:$E$10,2),"")</f>
        <v/>
      </c>
    </row>
    <row r="1430" spans="12:20" x14ac:dyDescent="0.25">
      <c r="L1430" s="10" t="str">
        <f t="shared" si="193"/>
        <v/>
      </c>
      <c r="M1430" s="10" t="str">
        <f t="shared" si="194"/>
        <v/>
      </c>
      <c r="N1430" s="11" t="str">
        <f t="shared" si="197"/>
        <v/>
      </c>
      <c r="O1430" s="10" t="str">
        <f t="shared" si="190"/>
        <v/>
      </c>
      <c r="P1430" s="39" t="str">
        <f t="shared" si="191"/>
        <v/>
      </c>
      <c r="Q1430" s="13" t="str">
        <f t="shared" si="195"/>
        <v/>
      </c>
      <c r="R1430" s="13" t="str">
        <f t="shared" si="192"/>
        <v/>
      </c>
      <c r="S1430" s="13" t="str">
        <f t="shared" si="196"/>
        <v/>
      </c>
      <c r="T1430" s="22" t="str">
        <f>IF(R1430&lt;&gt;"",VLOOKUP(P1430,Constants!$D$3:$E$10,2),"")</f>
        <v/>
      </c>
    </row>
    <row r="1431" spans="12:20" x14ac:dyDescent="0.25">
      <c r="L1431" s="10" t="str">
        <f t="shared" si="193"/>
        <v/>
      </c>
      <c r="M1431" s="10" t="str">
        <f t="shared" si="194"/>
        <v/>
      </c>
      <c r="N1431" s="11" t="str">
        <f t="shared" si="197"/>
        <v/>
      </c>
      <c r="O1431" s="10" t="str">
        <f t="shared" ref="O1431:O1494" si="198">IF(D1431&lt;&gt;"",1000/(2*D1431),"")</f>
        <v/>
      </c>
      <c r="P1431" s="39" t="str">
        <f t="shared" ref="P1431:P1494" si="199">IF($N1431&lt;&gt;"",D1431*SQRT(E1431*E1431+F1431*F1431)/16000,"")</f>
        <v/>
      </c>
      <c r="Q1431" s="13" t="str">
        <f t="shared" si="195"/>
        <v/>
      </c>
      <c r="R1431" s="13" t="str">
        <f t="shared" ref="R1431:R1494" si="200">IF(G1431&lt;&gt;"",1000/G1431,"")</f>
        <v/>
      </c>
      <c r="S1431" s="13" t="str">
        <f t="shared" si="196"/>
        <v/>
      </c>
      <c r="T1431" s="22" t="str">
        <f>IF(R1431&lt;&gt;"",VLOOKUP(P1431,Constants!$D$3:$E$10,2),"")</f>
        <v/>
      </c>
    </row>
    <row r="1432" spans="12:20" x14ac:dyDescent="0.25">
      <c r="L1432" s="10" t="str">
        <f t="shared" si="193"/>
        <v/>
      </c>
      <c r="M1432" s="10" t="str">
        <f t="shared" si="194"/>
        <v/>
      </c>
      <c r="N1432" s="11" t="str">
        <f t="shared" si="197"/>
        <v/>
      </c>
      <c r="O1432" s="10" t="str">
        <f t="shared" si="198"/>
        <v/>
      </c>
      <c r="P1432" s="39" t="str">
        <f t="shared" si="199"/>
        <v/>
      </c>
      <c r="Q1432" s="13" t="str">
        <f t="shared" si="195"/>
        <v/>
      </c>
      <c r="R1432" s="13" t="str">
        <f t="shared" si="200"/>
        <v/>
      </c>
      <c r="S1432" s="13" t="str">
        <f t="shared" si="196"/>
        <v/>
      </c>
      <c r="T1432" s="22" t="str">
        <f>IF(R1432&lt;&gt;"",VLOOKUP(P1432,Constants!$D$3:$E$10,2),"")</f>
        <v/>
      </c>
    </row>
    <row r="1433" spans="12:20" x14ac:dyDescent="0.25">
      <c r="L1433" s="10" t="str">
        <f t="shared" si="193"/>
        <v/>
      </c>
      <c r="M1433" s="10" t="str">
        <f t="shared" si="194"/>
        <v/>
      </c>
      <c r="N1433" s="11" t="str">
        <f t="shared" si="197"/>
        <v/>
      </c>
      <c r="O1433" s="10" t="str">
        <f t="shared" si="198"/>
        <v/>
      </c>
      <c r="P1433" s="39" t="str">
        <f t="shared" si="199"/>
        <v/>
      </c>
      <c r="Q1433" s="13" t="str">
        <f t="shared" si="195"/>
        <v/>
      </c>
      <c r="R1433" s="13" t="str">
        <f t="shared" si="200"/>
        <v/>
      </c>
      <c r="S1433" s="13" t="str">
        <f t="shared" si="196"/>
        <v/>
      </c>
      <c r="T1433" s="22" t="str">
        <f>IF(R1433&lt;&gt;"",VLOOKUP(P1433,Constants!$D$3:$E$10,2),"")</f>
        <v/>
      </c>
    </row>
    <row r="1434" spans="12:20" x14ac:dyDescent="0.25">
      <c r="L1434" s="10" t="str">
        <f t="shared" si="193"/>
        <v/>
      </c>
      <c r="M1434" s="10" t="str">
        <f t="shared" si="194"/>
        <v/>
      </c>
      <c r="N1434" s="11" t="str">
        <f t="shared" si="197"/>
        <v/>
      </c>
      <c r="O1434" s="10" t="str">
        <f t="shared" si="198"/>
        <v/>
      </c>
      <c r="P1434" s="39" t="str">
        <f t="shared" si="199"/>
        <v/>
      </c>
      <c r="Q1434" s="13" t="str">
        <f t="shared" si="195"/>
        <v/>
      </c>
      <c r="R1434" s="13" t="str">
        <f t="shared" si="200"/>
        <v/>
      </c>
      <c r="S1434" s="13" t="str">
        <f t="shared" si="196"/>
        <v/>
      </c>
      <c r="T1434" s="22" t="str">
        <f>IF(R1434&lt;&gt;"",VLOOKUP(P1434,Constants!$D$3:$E$10,2),"")</f>
        <v/>
      </c>
    </row>
    <row r="1435" spans="12:20" x14ac:dyDescent="0.25">
      <c r="L1435" s="10" t="str">
        <f t="shared" si="193"/>
        <v/>
      </c>
      <c r="M1435" s="10" t="str">
        <f t="shared" si="194"/>
        <v/>
      </c>
      <c r="N1435" s="11" t="str">
        <f t="shared" si="197"/>
        <v/>
      </c>
      <c r="O1435" s="10" t="str">
        <f t="shared" si="198"/>
        <v/>
      </c>
      <c r="P1435" s="39" t="str">
        <f t="shared" si="199"/>
        <v/>
      </c>
      <c r="Q1435" s="13" t="str">
        <f t="shared" si="195"/>
        <v/>
      </c>
      <c r="R1435" s="13" t="str">
        <f t="shared" si="200"/>
        <v/>
      </c>
      <c r="S1435" s="13" t="str">
        <f t="shared" si="196"/>
        <v/>
      </c>
      <c r="T1435" s="22" t="str">
        <f>IF(R1435&lt;&gt;"",VLOOKUP(P1435,Constants!$D$3:$E$10,2),"")</f>
        <v/>
      </c>
    </row>
    <row r="1436" spans="12:20" x14ac:dyDescent="0.25">
      <c r="L1436" s="10" t="str">
        <f t="shared" si="193"/>
        <v/>
      </c>
      <c r="M1436" s="10" t="str">
        <f t="shared" si="194"/>
        <v/>
      </c>
      <c r="N1436" s="11" t="str">
        <f t="shared" si="197"/>
        <v/>
      </c>
      <c r="O1436" s="10" t="str">
        <f t="shared" si="198"/>
        <v/>
      </c>
      <c r="P1436" s="39" t="str">
        <f t="shared" si="199"/>
        <v/>
      </c>
      <c r="Q1436" s="13" t="str">
        <f t="shared" si="195"/>
        <v/>
      </c>
      <c r="R1436" s="13" t="str">
        <f t="shared" si="200"/>
        <v/>
      </c>
      <c r="S1436" s="13" t="str">
        <f t="shared" si="196"/>
        <v/>
      </c>
      <c r="T1436" s="22" t="str">
        <f>IF(R1436&lt;&gt;"",VLOOKUP(P1436,Constants!$D$3:$E$10,2),"")</f>
        <v/>
      </c>
    </row>
    <row r="1437" spans="12:20" x14ac:dyDescent="0.25">
      <c r="L1437" s="10" t="str">
        <f t="shared" si="193"/>
        <v/>
      </c>
      <c r="M1437" s="10" t="str">
        <f t="shared" si="194"/>
        <v/>
      </c>
      <c r="N1437" s="11" t="str">
        <f t="shared" si="197"/>
        <v/>
      </c>
      <c r="O1437" s="10" t="str">
        <f t="shared" si="198"/>
        <v/>
      </c>
      <c r="P1437" s="39" t="str">
        <f t="shared" si="199"/>
        <v/>
      </c>
      <c r="Q1437" s="13" t="str">
        <f t="shared" si="195"/>
        <v/>
      </c>
      <c r="R1437" s="13" t="str">
        <f t="shared" si="200"/>
        <v/>
      </c>
      <c r="S1437" s="13" t="str">
        <f t="shared" si="196"/>
        <v/>
      </c>
      <c r="T1437" s="22" t="str">
        <f>IF(R1437&lt;&gt;"",VLOOKUP(P1437,Constants!$D$3:$E$10,2),"")</f>
        <v/>
      </c>
    </row>
    <row r="1438" spans="12:20" x14ac:dyDescent="0.25">
      <c r="L1438" s="10" t="str">
        <f t="shared" si="193"/>
        <v/>
      </c>
      <c r="M1438" s="10" t="str">
        <f t="shared" si="194"/>
        <v/>
      </c>
      <c r="N1438" s="11" t="str">
        <f t="shared" si="197"/>
        <v/>
      </c>
      <c r="O1438" s="10" t="str">
        <f t="shared" si="198"/>
        <v/>
      </c>
      <c r="P1438" s="39" t="str">
        <f t="shared" si="199"/>
        <v/>
      </c>
      <c r="Q1438" s="13" t="str">
        <f t="shared" si="195"/>
        <v/>
      </c>
      <c r="R1438" s="13" t="str">
        <f t="shared" si="200"/>
        <v/>
      </c>
      <c r="S1438" s="13" t="str">
        <f t="shared" si="196"/>
        <v/>
      </c>
      <c r="T1438" s="22" t="str">
        <f>IF(R1438&lt;&gt;"",VLOOKUP(P1438,Constants!$D$3:$E$10,2),"")</f>
        <v/>
      </c>
    </row>
    <row r="1439" spans="12:20" x14ac:dyDescent="0.25">
      <c r="L1439" s="10" t="str">
        <f t="shared" si="193"/>
        <v/>
      </c>
      <c r="M1439" s="10" t="str">
        <f t="shared" si="194"/>
        <v/>
      </c>
      <c r="N1439" s="11" t="str">
        <f t="shared" si="197"/>
        <v/>
      </c>
      <c r="O1439" s="10" t="str">
        <f t="shared" si="198"/>
        <v/>
      </c>
      <c r="P1439" s="39" t="str">
        <f t="shared" si="199"/>
        <v/>
      </c>
      <c r="Q1439" s="13" t="str">
        <f t="shared" si="195"/>
        <v/>
      </c>
      <c r="R1439" s="13" t="str">
        <f t="shared" si="200"/>
        <v/>
      </c>
      <c r="S1439" s="13" t="str">
        <f t="shared" si="196"/>
        <v/>
      </c>
      <c r="T1439" s="22" t="str">
        <f>IF(R1439&lt;&gt;"",VLOOKUP(P1439,Constants!$D$3:$E$10,2),"")</f>
        <v/>
      </c>
    </row>
    <row r="1440" spans="12:20" x14ac:dyDescent="0.25">
      <c r="L1440" s="10" t="str">
        <f t="shared" si="193"/>
        <v/>
      </c>
      <c r="M1440" s="10" t="str">
        <f t="shared" si="194"/>
        <v/>
      </c>
      <c r="N1440" s="11" t="str">
        <f t="shared" si="197"/>
        <v/>
      </c>
      <c r="O1440" s="10" t="str">
        <f t="shared" si="198"/>
        <v/>
      </c>
      <c r="P1440" s="39" t="str">
        <f t="shared" si="199"/>
        <v/>
      </c>
      <c r="Q1440" s="13" t="str">
        <f t="shared" si="195"/>
        <v/>
      </c>
      <c r="R1440" s="13" t="str">
        <f t="shared" si="200"/>
        <v/>
      </c>
      <c r="S1440" s="13" t="str">
        <f t="shared" si="196"/>
        <v/>
      </c>
      <c r="T1440" s="22" t="str">
        <f>IF(R1440&lt;&gt;"",VLOOKUP(P1440,Constants!$D$3:$E$10,2),"")</f>
        <v/>
      </c>
    </row>
    <row r="1441" spans="12:20" x14ac:dyDescent="0.25">
      <c r="L1441" s="10" t="str">
        <f t="shared" si="193"/>
        <v/>
      </c>
      <c r="M1441" s="10" t="str">
        <f t="shared" si="194"/>
        <v/>
      </c>
      <c r="N1441" s="11" t="str">
        <f t="shared" si="197"/>
        <v/>
      </c>
      <c r="O1441" s="10" t="str">
        <f t="shared" si="198"/>
        <v/>
      </c>
      <c r="P1441" s="39" t="str">
        <f t="shared" si="199"/>
        <v/>
      </c>
      <c r="Q1441" s="13" t="str">
        <f t="shared" si="195"/>
        <v/>
      </c>
      <c r="R1441" s="13" t="str">
        <f t="shared" si="200"/>
        <v/>
      </c>
      <c r="S1441" s="13" t="str">
        <f t="shared" si="196"/>
        <v/>
      </c>
      <c r="T1441" s="22" t="str">
        <f>IF(R1441&lt;&gt;"",VLOOKUP(P1441,Constants!$D$3:$E$10,2),"")</f>
        <v/>
      </c>
    </row>
    <row r="1442" spans="12:20" x14ac:dyDescent="0.25">
      <c r="L1442" s="10" t="str">
        <f t="shared" si="193"/>
        <v/>
      </c>
      <c r="M1442" s="10" t="str">
        <f t="shared" si="194"/>
        <v/>
      </c>
      <c r="N1442" s="11" t="str">
        <f t="shared" si="197"/>
        <v/>
      </c>
      <c r="O1442" s="10" t="str">
        <f t="shared" si="198"/>
        <v/>
      </c>
      <c r="P1442" s="39" t="str">
        <f t="shared" si="199"/>
        <v/>
      </c>
      <c r="Q1442" s="13" t="str">
        <f t="shared" si="195"/>
        <v/>
      </c>
      <c r="R1442" s="13" t="str">
        <f t="shared" si="200"/>
        <v/>
      </c>
      <c r="S1442" s="13" t="str">
        <f t="shared" si="196"/>
        <v/>
      </c>
      <c r="T1442" s="22" t="str">
        <f>IF(R1442&lt;&gt;"",VLOOKUP(P1442,Constants!$D$3:$E$10,2),"")</f>
        <v/>
      </c>
    </row>
    <row r="1443" spans="12:20" x14ac:dyDescent="0.25">
      <c r="L1443" s="10" t="str">
        <f t="shared" si="193"/>
        <v/>
      </c>
      <c r="M1443" s="10" t="str">
        <f t="shared" si="194"/>
        <v/>
      </c>
      <c r="N1443" s="11" t="str">
        <f t="shared" si="197"/>
        <v/>
      </c>
      <c r="O1443" s="10" t="str">
        <f t="shared" si="198"/>
        <v/>
      </c>
      <c r="P1443" s="39" t="str">
        <f t="shared" si="199"/>
        <v/>
      </c>
      <c r="Q1443" s="13" t="str">
        <f t="shared" si="195"/>
        <v/>
      </c>
      <c r="R1443" s="13" t="str">
        <f t="shared" si="200"/>
        <v/>
      </c>
      <c r="S1443" s="13" t="str">
        <f t="shared" si="196"/>
        <v/>
      </c>
      <c r="T1443" s="22" t="str">
        <f>IF(R1443&lt;&gt;"",VLOOKUP(P1443,Constants!$D$3:$E$10,2),"")</f>
        <v/>
      </c>
    </row>
    <row r="1444" spans="12:20" x14ac:dyDescent="0.25">
      <c r="L1444" s="10" t="str">
        <f t="shared" si="193"/>
        <v/>
      </c>
      <c r="M1444" s="10" t="str">
        <f t="shared" si="194"/>
        <v/>
      </c>
      <c r="N1444" s="11" t="str">
        <f t="shared" si="197"/>
        <v/>
      </c>
      <c r="O1444" s="10" t="str">
        <f t="shared" si="198"/>
        <v/>
      </c>
      <c r="P1444" s="39" t="str">
        <f t="shared" si="199"/>
        <v/>
      </c>
      <c r="Q1444" s="13" t="str">
        <f t="shared" si="195"/>
        <v/>
      </c>
      <c r="R1444" s="13" t="str">
        <f t="shared" si="200"/>
        <v/>
      </c>
      <c r="S1444" s="13" t="str">
        <f t="shared" si="196"/>
        <v/>
      </c>
      <c r="T1444" s="22" t="str">
        <f>IF(R1444&lt;&gt;"",VLOOKUP(P1444,Constants!$D$3:$E$10,2),"")</f>
        <v/>
      </c>
    </row>
    <row r="1445" spans="12:20" x14ac:dyDescent="0.25">
      <c r="L1445" s="10" t="str">
        <f t="shared" si="193"/>
        <v/>
      </c>
      <c r="M1445" s="10" t="str">
        <f t="shared" si="194"/>
        <v/>
      </c>
      <c r="N1445" s="11" t="str">
        <f t="shared" si="197"/>
        <v/>
      </c>
      <c r="O1445" s="10" t="str">
        <f t="shared" si="198"/>
        <v/>
      </c>
      <c r="P1445" s="39" t="str">
        <f t="shared" si="199"/>
        <v/>
      </c>
      <c r="Q1445" s="13" t="str">
        <f t="shared" si="195"/>
        <v/>
      </c>
      <c r="R1445" s="13" t="str">
        <f t="shared" si="200"/>
        <v/>
      </c>
      <c r="S1445" s="13" t="str">
        <f t="shared" si="196"/>
        <v/>
      </c>
      <c r="T1445" s="22" t="str">
        <f>IF(R1445&lt;&gt;"",VLOOKUP(P1445,Constants!$D$3:$E$10,2),"")</f>
        <v/>
      </c>
    </row>
    <row r="1446" spans="12:20" x14ac:dyDescent="0.25">
      <c r="L1446" s="10" t="str">
        <f t="shared" si="193"/>
        <v/>
      </c>
      <c r="M1446" s="10" t="str">
        <f t="shared" si="194"/>
        <v/>
      </c>
      <c r="N1446" s="11" t="str">
        <f t="shared" si="197"/>
        <v/>
      </c>
      <c r="O1446" s="10" t="str">
        <f t="shared" si="198"/>
        <v/>
      </c>
      <c r="P1446" s="39" t="str">
        <f t="shared" si="199"/>
        <v/>
      </c>
      <c r="Q1446" s="13" t="str">
        <f t="shared" si="195"/>
        <v/>
      </c>
      <c r="R1446" s="13" t="str">
        <f t="shared" si="200"/>
        <v/>
      </c>
      <c r="S1446" s="13" t="str">
        <f t="shared" si="196"/>
        <v/>
      </c>
      <c r="T1446" s="22" t="str">
        <f>IF(R1446&lt;&gt;"",VLOOKUP(P1446,Constants!$D$3:$E$10,2),"")</f>
        <v/>
      </c>
    </row>
    <row r="1447" spans="12:20" x14ac:dyDescent="0.25">
      <c r="L1447" s="10" t="str">
        <f t="shared" si="193"/>
        <v/>
      </c>
      <c r="M1447" s="10" t="str">
        <f t="shared" si="194"/>
        <v/>
      </c>
      <c r="N1447" s="11" t="str">
        <f t="shared" si="197"/>
        <v/>
      </c>
      <c r="O1447" s="10" t="str">
        <f t="shared" si="198"/>
        <v/>
      </c>
      <c r="P1447" s="39" t="str">
        <f t="shared" si="199"/>
        <v/>
      </c>
      <c r="Q1447" s="13" t="str">
        <f t="shared" si="195"/>
        <v/>
      </c>
      <c r="R1447" s="13" t="str">
        <f t="shared" si="200"/>
        <v/>
      </c>
      <c r="S1447" s="13" t="str">
        <f t="shared" si="196"/>
        <v/>
      </c>
      <c r="T1447" s="22" t="str">
        <f>IF(R1447&lt;&gt;"",VLOOKUP(P1447,Constants!$D$3:$E$10,2),"")</f>
        <v/>
      </c>
    </row>
    <row r="1448" spans="12:20" x14ac:dyDescent="0.25">
      <c r="L1448" s="10" t="str">
        <f t="shared" si="193"/>
        <v/>
      </c>
      <c r="M1448" s="10" t="str">
        <f t="shared" si="194"/>
        <v/>
      </c>
      <c r="N1448" s="11" t="str">
        <f t="shared" si="197"/>
        <v/>
      </c>
      <c r="O1448" s="10" t="str">
        <f t="shared" si="198"/>
        <v/>
      </c>
      <c r="P1448" s="39" t="str">
        <f t="shared" si="199"/>
        <v/>
      </c>
      <c r="Q1448" s="13" t="str">
        <f t="shared" si="195"/>
        <v/>
      </c>
      <c r="R1448" s="13" t="str">
        <f t="shared" si="200"/>
        <v/>
      </c>
      <c r="S1448" s="13" t="str">
        <f t="shared" si="196"/>
        <v/>
      </c>
      <c r="T1448" s="22" t="str">
        <f>IF(R1448&lt;&gt;"",VLOOKUP(P1448,Constants!$D$3:$E$10,2),"")</f>
        <v/>
      </c>
    </row>
    <row r="1449" spans="12:20" x14ac:dyDescent="0.25">
      <c r="L1449" s="10" t="str">
        <f t="shared" si="193"/>
        <v/>
      </c>
      <c r="M1449" s="10" t="str">
        <f t="shared" si="194"/>
        <v/>
      </c>
      <c r="N1449" s="11" t="str">
        <f t="shared" si="197"/>
        <v/>
      </c>
      <c r="O1449" s="10" t="str">
        <f t="shared" si="198"/>
        <v/>
      </c>
      <c r="P1449" s="39" t="str">
        <f t="shared" si="199"/>
        <v/>
      </c>
      <c r="Q1449" s="13" t="str">
        <f t="shared" si="195"/>
        <v/>
      </c>
      <c r="R1449" s="13" t="str">
        <f t="shared" si="200"/>
        <v/>
      </c>
      <c r="S1449" s="13" t="str">
        <f t="shared" si="196"/>
        <v/>
      </c>
      <c r="T1449" s="22" t="str">
        <f>IF(R1449&lt;&gt;"",VLOOKUP(P1449,Constants!$D$3:$E$10,2),"")</f>
        <v/>
      </c>
    </row>
    <row r="1450" spans="12:20" x14ac:dyDescent="0.25">
      <c r="L1450" s="10" t="str">
        <f t="shared" si="193"/>
        <v/>
      </c>
      <c r="M1450" s="10" t="str">
        <f t="shared" si="194"/>
        <v/>
      </c>
      <c r="N1450" s="11" t="str">
        <f t="shared" si="197"/>
        <v/>
      </c>
      <c r="O1450" s="10" t="str">
        <f t="shared" si="198"/>
        <v/>
      </c>
      <c r="P1450" s="39" t="str">
        <f t="shared" si="199"/>
        <v/>
      </c>
      <c r="Q1450" s="13" t="str">
        <f t="shared" si="195"/>
        <v/>
      </c>
      <c r="R1450" s="13" t="str">
        <f t="shared" si="200"/>
        <v/>
      </c>
      <c r="S1450" s="13" t="str">
        <f t="shared" si="196"/>
        <v/>
      </c>
      <c r="T1450" s="22" t="str">
        <f>IF(R1450&lt;&gt;"",VLOOKUP(P1450,Constants!$D$3:$E$10,2),"")</f>
        <v/>
      </c>
    </row>
    <row r="1451" spans="12:20" x14ac:dyDescent="0.25">
      <c r="L1451" s="10" t="str">
        <f t="shared" si="193"/>
        <v/>
      </c>
      <c r="M1451" s="10" t="str">
        <f t="shared" si="194"/>
        <v/>
      </c>
      <c r="N1451" s="11" t="str">
        <f t="shared" si="197"/>
        <v/>
      </c>
      <c r="O1451" s="10" t="str">
        <f t="shared" si="198"/>
        <v/>
      </c>
      <c r="P1451" s="39" t="str">
        <f t="shared" si="199"/>
        <v/>
      </c>
      <c r="Q1451" s="13" t="str">
        <f t="shared" si="195"/>
        <v/>
      </c>
      <c r="R1451" s="13" t="str">
        <f t="shared" si="200"/>
        <v/>
      </c>
      <c r="S1451" s="13" t="str">
        <f t="shared" si="196"/>
        <v/>
      </c>
      <c r="T1451" s="22" t="str">
        <f>IF(R1451&lt;&gt;"",VLOOKUP(P1451,Constants!$D$3:$E$10,2),"")</f>
        <v/>
      </c>
    </row>
    <row r="1452" spans="12:20" x14ac:dyDescent="0.25">
      <c r="L1452" s="10" t="str">
        <f t="shared" si="193"/>
        <v/>
      </c>
      <c r="M1452" s="10" t="str">
        <f t="shared" si="194"/>
        <v/>
      </c>
      <c r="N1452" s="11" t="str">
        <f t="shared" si="197"/>
        <v/>
      </c>
      <c r="O1452" s="10" t="str">
        <f t="shared" si="198"/>
        <v/>
      </c>
      <c r="P1452" s="39" t="str">
        <f t="shared" si="199"/>
        <v/>
      </c>
      <c r="Q1452" s="13" t="str">
        <f t="shared" si="195"/>
        <v/>
      </c>
      <c r="R1452" s="13" t="str">
        <f t="shared" si="200"/>
        <v/>
      </c>
      <c r="S1452" s="13" t="str">
        <f t="shared" si="196"/>
        <v/>
      </c>
      <c r="T1452" s="22" t="str">
        <f>IF(R1452&lt;&gt;"",VLOOKUP(P1452,Constants!$D$3:$E$10,2),"")</f>
        <v/>
      </c>
    </row>
    <row r="1453" spans="12:20" x14ac:dyDescent="0.25">
      <c r="L1453" s="10" t="str">
        <f t="shared" si="193"/>
        <v/>
      </c>
      <c r="M1453" s="10" t="str">
        <f t="shared" si="194"/>
        <v/>
      </c>
      <c r="N1453" s="11" t="str">
        <f t="shared" si="197"/>
        <v/>
      </c>
      <c r="O1453" s="10" t="str">
        <f t="shared" si="198"/>
        <v/>
      </c>
      <c r="P1453" s="39" t="str">
        <f t="shared" si="199"/>
        <v/>
      </c>
      <c r="Q1453" s="13" t="str">
        <f t="shared" si="195"/>
        <v/>
      </c>
      <c r="R1453" s="13" t="str">
        <f t="shared" si="200"/>
        <v/>
      </c>
      <c r="S1453" s="13" t="str">
        <f t="shared" si="196"/>
        <v/>
      </c>
      <c r="T1453" s="22" t="str">
        <f>IF(R1453&lt;&gt;"",VLOOKUP(P1453,Constants!$D$3:$E$10,2),"")</f>
        <v/>
      </c>
    </row>
    <row r="1454" spans="12:20" x14ac:dyDescent="0.25">
      <c r="L1454" s="10" t="str">
        <f t="shared" si="193"/>
        <v/>
      </c>
      <c r="M1454" s="10" t="str">
        <f t="shared" si="194"/>
        <v/>
      </c>
      <c r="N1454" s="11" t="str">
        <f t="shared" si="197"/>
        <v/>
      </c>
      <c r="O1454" s="10" t="str">
        <f t="shared" si="198"/>
        <v/>
      </c>
      <c r="P1454" s="39" t="str">
        <f t="shared" si="199"/>
        <v/>
      </c>
      <c r="Q1454" s="13" t="str">
        <f t="shared" si="195"/>
        <v/>
      </c>
      <c r="R1454" s="13" t="str">
        <f t="shared" si="200"/>
        <v/>
      </c>
      <c r="S1454" s="13" t="str">
        <f t="shared" si="196"/>
        <v/>
      </c>
      <c r="T1454" s="22" t="str">
        <f>IF(R1454&lt;&gt;"",VLOOKUP(P1454,Constants!$D$3:$E$10,2),"")</f>
        <v/>
      </c>
    </row>
    <row r="1455" spans="12:20" x14ac:dyDescent="0.25">
      <c r="L1455" s="10" t="str">
        <f t="shared" si="193"/>
        <v/>
      </c>
      <c r="M1455" s="10" t="str">
        <f t="shared" si="194"/>
        <v/>
      </c>
      <c r="N1455" s="11" t="str">
        <f t="shared" si="197"/>
        <v/>
      </c>
      <c r="O1455" s="10" t="str">
        <f t="shared" si="198"/>
        <v/>
      </c>
      <c r="P1455" s="39" t="str">
        <f t="shared" si="199"/>
        <v/>
      </c>
      <c r="Q1455" s="13" t="str">
        <f t="shared" si="195"/>
        <v/>
      </c>
      <c r="R1455" s="13" t="str">
        <f t="shared" si="200"/>
        <v/>
      </c>
      <c r="S1455" s="13" t="str">
        <f t="shared" si="196"/>
        <v/>
      </c>
      <c r="T1455" s="22" t="str">
        <f>IF(R1455&lt;&gt;"",VLOOKUP(P1455,Constants!$D$3:$E$10,2),"")</f>
        <v/>
      </c>
    </row>
    <row r="1456" spans="12:20" x14ac:dyDescent="0.25">
      <c r="L1456" s="10" t="str">
        <f t="shared" si="193"/>
        <v/>
      </c>
      <c r="M1456" s="10" t="str">
        <f t="shared" si="194"/>
        <v/>
      </c>
      <c r="N1456" s="11" t="str">
        <f t="shared" si="197"/>
        <v/>
      </c>
      <c r="O1456" s="10" t="str">
        <f t="shared" si="198"/>
        <v/>
      </c>
      <c r="P1456" s="39" t="str">
        <f t="shared" si="199"/>
        <v/>
      </c>
      <c r="Q1456" s="13" t="str">
        <f t="shared" si="195"/>
        <v/>
      </c>
      <c r="R1456" s="13" t="str">
        <f t="shared" si="200"/>
        <v/>
      </c>
      <c r="S1456" s="13" t="str">
        <f t="shared" si="196"/>
        <v/>
      </c>
      <c r="T1456" s="22" t="str">
        <f>IF(R1456&lt;&gt;"",VLOOKUP(P1456,Constants!$D$3:$E$10,2),"")</f>
        <v/>
      </c>
    </row>
    <row r="1457" spans="12:20" x14ac:dyDescent="0.25">
      <c r="L1457" s="10" t="str">
        <f t="shared" si="193"/>
        <v/>
      </c>
      <c r="M1457" s="10" t="str">
        <f t="shared" si="194"/>
        <v/>
      </c>
      <c r="N1457" s="11" t="str">
        <f t="shared" si="197"/>
        <v/>
      </c>
      <c r="O1457" s="10" t="str">
        <f t="shared" si="198"/>
        <v/>
      </c>
      <c r="P1457" s="39" t="str">
        <f t="shared" si="199"/>
        <v/>
      </c>
      <c r="Q1457" s="13" t="str">
        <f t="shared" si="195"/>
        <v/>
      </c>
      <c r="R1457" s="13" t="str">
        <f t="shared" si="200"/>
        <v/>
      </c>
      <c r="S1457" s="13" t="str">
        <f t="shared" si="196"/>
        <v/>
      </c>
      <c r="T1457" s="22" t="str">
        <f>IF(R1457&lt;&gt;"",VLOOKUP(P1457,Constants!$D$3:$E$10,2),"")</f>
        <v/>
      </c>
    </row>
    <row r="1458" spans="12:20" x14ac:dyDescent="0.25">
      <c r="L1458" s="10" t="str">
        <f t="shared" si="193"/>
        <v/>
      </c>
      <c r="M1458" s="10" t="str">
        <f t="shared" si="194"/>
        <v/>
      </c>
      <c r="N1458" s="11" t="str">
        <f t="shared" si="197"/>
        <v/>
      </c>
      <c r="O1458" s="10" t="str">
        <f t="shared" si="198"/>
        <v/>
      </c>
      <c r="P1458" s="39" t="str">
        <f t="shared" si="199"/>
        <v/>
      </c>
      <c r="Q1458" s="13" t="str">
        <f t="shared" si="195"/>
        <v/>
      </c>
      <c r="R1458" s="13" t="str">
        <f t="shared" si="200"/>
        <v/>
      </c>
      <c r="S1458" s="13" t="str">
        <f t="shared" si="196"/>
        <v/>
      </c>
      <c r="T1458" s="22" t="str">
        <f>IF(R1458&lt;&gt;"",VLOOKUP(P1458,Constants!$D$3:$E$10,2),"")</f>
        <v/>
      </c>
    </row>
    <row r="1459" spans="12:20" x14ac:dyDescent="0.25">
      <c r="L1459" s="10" t="str">
        <f t="shared" si="193"/>
        <v/>
      </c>
      <c r="M1459" s="10" t="str">
        <f t="shared" si="194"/>
        <v/>
      </c>
      <c r="N1459" s="11" t="str">
        <f t="shared" si="197"/>
        <v/>
      </c>
      <c r="O1459" s="10" t="str">
        <f t="shared" si="198"/>
        <v/>
      </c>
      <c r="P1459" s="39" t="str">
        <f t="shared" si="199"/>
        <v/>
      </c>
      <c r="Q1459" s="13" t="str">
        <f t="shared" si="195"/>
        <v/>
      </c>
      <c r="R1459" s="13" t="str">
        <f t="shared" si="200"/>
        <v/>
      </c>
      <c r="S1459" s="13" t="str">
        <f t="shared" si="196"/>
        <v/>
      </c>
      <c r="T1459" s="22" t="str">
        <f>IF(R1459&lt;&gt;"",VLOOKUP(P1459,Constants!$D$3:$E$10,2),"")</f>
        <v/>
      </c>
    </row>
    <row r="1460" spans="12:20" x14ac:dyDescent="0.25">
      <c r="L1460" s="10" t="str">
        <f t="shared" si="193"/>
        <v/>
      </c>
      <c r="M1460" s="10" t="str">
        <f t="shared" si="194"/>
        <v/>
      </c>
      <c r="N1460" s="11" t="str">
        <f t="shared" si="197"/>
        <v/>
      </c>
      <c r="O1460" s="10" t="str">
        <f t="shared" si="198"/>
        <v/>
      </c>
      <c r="P1460" s="39" t="str">
        <f t="shared" si="199"/>
        <v/>
      </c>
      <c r="Q1460" s="13" t="str">
        <f t="shared" si="195"/>
        <v/>
      </c>
      <c r="R1460" s="13" t="str">
        <f t="shared" si="200"/>
        <v/>
      </c>
      <c r="S1460" s="13" t="str">
        <f t="shared" si="196"/>
        <v/>
      </c>
      <c r="T1460" s="22" t="str">
        <f>IF(R1460&lt;&gt;"",VLOOKUP(P1460,Constants!$D$3:$E$10,2),"")</f>
        <v/>
      </c>
    </row>
    <row r="1461" spans="12:20" x14ac:dyDescent="0.25">
      <c r="L1461" s="10" t="str">
        <f t="shared" si="193"/>
        <v/>
      </c>
      <c r="M1461" s="10" t="str">
        <f t="shared" si="194"/>
        <v/>
      </c>
      <c r="N1461" s="11" t="str">
        <f t="shared" si="197"/>
        <v/>
      </c>
      <c r="O1461" s="10" t="str">
        <f t="shared" si="198"/>
        <v/>
      </c>
      <c r="P1461" s="39" t="str">
        <f t="shared" si="199"/>
        <v/>
      </c>
      <c r="Q1461" s="13" t="str">
        <f t="shared" si="195"/>
        <v/>
      </c>
      <c r="R1461" s="13" t="str">
        <f t="shared" si="200"/>
        <v/>
      </c>
      <c r="S1461" s="13" t="str">
        <f t="shared" si="196"/>
        <v/>
      </c>
      <c r="T1461" s="22" t="str">
        <f>IF(R1461&lt;&gt;"",VLOOKUP(P1461,Constants!$D$3:$E$10,2),"")</f>
        <v/>
      </c>
    </row>
    <row r="1462" spans="12:20" x14ac:dyDescent="0.25">
      <c r="L1462" s="10" t="str">
        <f t="shared" si="193"/>
        <v/>
      </c>
      <c r="M1462" s="10" t="str">
        <f t="shared" si="194"/>
        <v/>
      </c>
      <c r="N1462" s="11" t="str">
        <f t="shared" si="197"/>
        <v/>
      </c>
      <c r="O1462" s="10" t="str">
        <f t="shared" si="198"/>
        <v/>
      </c>
      <c r="P1462" s="39" t="str">
        <f t="shared" si="199"/>
        <v/>
      </c>
      <c r="Q1462" s="13" t="str">
        <f t="shared" si="195"/>
        <v/>
      </c>
      <c r="R1462" s="13" t="str">
        <f t="shared" si="200"/>
        <v/>
      </c>
      <c r="S1462" s="13" t="str">
        <f t="shared" si="196"/>
        <v/>
      </c>
      <c r="T1462" s="22" t="str">
        <f>IF(R1462&lt;&gt;"",VLOOKUP(P1462,Constants!$D$3:$E$10,2),"")</f>
        <v/>
      </c>
    </row>
    <row r="1463" spans="12:20" x14ac:dyDescent="0.25">
      <c r="L1463" s="10" t="str">
        <f t="shared" si="193"/>
        <v/>
      </c>
      <c r="M1463" s="10" t="str">
        <f t="shared" si="194"/>
        <v/>
      </c>
      <c r="N1463" s="11" t="str">
        <f t="shared" si="197"/>
        <v/>
      </c>
      <c r="O1463" s="10" t="str">
        <f t="shared" si="198"/>
        <v/>
      </c>
      <c r="P1463" s="39" t="str">
        <f t="shared" si="199"/>
        <v/>
      </c>
      <c r="Q1463" s="13" t="str">
        <f t="shared" si="195"/>
        <v/>
      </c>
      <c r="R1463" s="13" t="str">
        <f t="shared" si="200"/>
        <v/>
      </c>
      <c r="S1463" s="13" t="str">
        <f t="shared" si="196"/>
        <v/>
      </c>
      <c r="T1463" s="22" t="str">
        <f>IF(R1463&lt;&gt;"",VLOOKUP(P1463,Constants!$D$3:$E$10,2),"")</f>
        <v/>
      </c>
    </row>
    <row r="1464" spans="12:20" x14ac:dyDescent="0.25">
      <c r="L1464" s="10" t="str">
        <f t="shared" si="193"/>
        <v/>
      </c>
      <c r="M1464" s="10" t="str">
        <f t="shared" si="194"/>
        <v/>
      </c>
      <c r="N1464" s="11" t="str">
        <f t="shared" si="197"/>
        <v/>
      </c>
      <c r="O1464" s="10" t="str">
        <f t="shared" si="198"/>
        <v/>
      </c>
      <c r="P1464" s="39" t="str">
        <f t="shared" si="199"/>
        <v/>
      </c>
      <c r="Q1464" s="13" t="str">
        <f t="shared" si="195"/>
        <v/>
      </c>
      <c r="R1464" s="13" t="str">
        <f t="shared" si="200"/>
        <v/>
      </c>
      <c r="S1464" s="13" t="str">
        <f t="shared" si="196"/>
        <v/>
      </c>
      <c r="T1464" s="22" t="str">
        <f>IF(R1464&lt;&gt;"",VLOOKUP(P1464,Constants!$D$3:$E$10,2),"")</f>
        <v/>
      </c>
    </row>
    <row r="1465" spans="12:20" x14ac:dyDescent="0.25">
      <c r="L1465" s="10" t="str">
        <f t="shared" si="193"/>
        <v/>
      </c>
      <c r="M1465" s="10" t="str">
        <f t="shared" si="194"/>
        <v/>
      </c>
      <c r="N1465" s="11" t="str">
        <f t="shared" si="197"/>
        <v/>
      </c>
      <c r="O1465" s="10" t="str">
        <f t="shared" si="198"/>
        <v/>
      </c>
      <c r="P1465" s="39" t="str">
        <f t="shared" si="199"/>
        <v/>
      </c>
      <c r="Q1465" s="13" t="str">
        <f t="shared" si="195"/>
        <v/>
      </c>
      <c r="R1465" s="13" t="str">
        <f t="shared" si="200"/>
        <v/>
      </c>
      <c r="S1465" s="13" t="str">
        <f t="shared" si="196"/>
        <v/>
      </c>
      <c r="T1465" s="22" t="str">
        <f>IF(R1465&lt;&gt;"",VLOOKUP(P1465,Constants!$D$3:$E$10,2),"")</f>
        <v/>
      </c>
    </row>
    <row r="1466" spans="12:20" x14ac:dyDescent="0.25">
      <c r="L1466" s="10" t="str">
        <f t="shared" si="193"/>
        <v/>
      </c>
      <c r="M1466" s="10" t="str">
        <f t="shared" si="194"/>
        <v/>
      </c>
      <c r="N1466" s="11" t="str">
        <f t="shared" si="197"/>
        <v/>
      </c>
      <c r="O1466" s="10" t="str">
        <f t="shared" si="198"/>
        <v/>
      </c>
      <c r="P1466" s="39" t="str">
        <f t="shared" si="199"/>
        <v/>
      </c>
      <c r="Q1466" s="13" t="str">
        <f t="shared" si="195"/>
        <v/>
      </c>
      <c r="R1466" s="13" t="str">
        <f t="shared" si="200"/>
        <v/>
      </c>
      <c r="S1466" s="13" t="str">
        <f t="shared" si="196"/>
        <v/>
      </c>
      <c r="T1466" s="22" t="str">
        <f>IF(R1466&lt;&gt;"",VLOOKUP(P1466,Constants!$D$3:$E$10,2),"")</f>
        <v/>
      </c>
    </row>
    <row r="1467" spans="12:20" x14ac:dyDescent="0.25">
      <c r="L1467" s="10" t="str">
        <f t="shared" si="193"/>
        <v/>
      </c>
      <c r="M1467" s="10" t="str">
        <f t="shared" si="194"/>
        <v/>
      </c>
      <c r="N1467" s="11" t="str">
        <f t="shared" si="197"/>
        <v/>
      </c>
      <c r="O1467" s="10" t="str">
        <f t="shared" si="198"/>
        <v/>
      </c>
      <c r="P1467" s="39" t="str">
        <f t="shared" si="199"/>
        <v/>
      </c>
      <c r="Q1467" s="13" t="str">
        <f t="shared" si="195"/>
        <v/>
      </c>
      <c r="R1467" s="13" t="str">
        <f t="shared" si="200"/>
        <v/>
      </c>
      <c r="S1467" s="13" t="str">
        <f t="shared" si="196"/>
        <v/>
      </c>
      <c r="T1467" s="22" t="str">
        <f>IF(R1467&lt;&gt;"",VLOOKUP(P1467,Constants!$D$3:$E$10,2),"")</f>
        <v/>
      </c>
    </row>
    <row r="1468" spans="12:20" x14ac:dyDescent="0.25">
      <c r="L1468" s="10" t="str">
        <f t="shared" si="193"/>
        <v/>
      </c>
      <c r="M1468" s="10" t="str">
        <f t="shared" si="194"/>
        <v/>
      </c>
      <c r="N1468" s="11" t="str">
        <f t="shared" si="197"/>
        <v/>
      </c>
      <c r="O1468" s="10" t="str">
        <f t="shared" si="198"/>
        <v/>
      </c>
      <c r="P1468" s="39" t="str">
        <f t="shared" si="199"/>
        <v/>
      </c>
      <c r="Q1468" s="13" t="str">
        <f t="shared" si="195"/>
        <v/>
      </c>
      <c r="R1468" s="13" t="str">
        <f t="shared" si="200"/>
        <v/>
      </c>
      <c r="S1468" s="13" t="str">
        <f t="shared" si="196"/>
        <v/>
      </c>
      <c r="T1468" s="22" t="str">
        <f>IF(R1468&lt;&gt;"",VLOOKUP(P1468,Constants!$D$3:$E$10,2),"")</f>
        <v/>
      </c>
    </row>
    <row r="1469" spans="12:20" x14ac:dyDescent="0.25">
      <c r="L1469" s="10" t="str">
        <f t="shared" si="193"/>
        <v/>
      </c>
      <c r="M1469" s="10" t="str">
        <f t="shared" si="194"/>
        <v/>
      </c>
      <c r="N1469" s="11" t="str">
        <f t="shared" si="197"/>
        <v/>
      </c>
      <c r="O1469" s="10" t="str">
        <f t="shared" si="198"/>
        <v/>
      </c>
      <c r="P1469" s="39" t="str">
        <f t="shared" si="199"/>
        <v/>
      </c>
      <c r="Q1469" s="13" t="str">
        <f t="shared" si="195"/>
        <v/>
      </c>
      <c r="R1469" s="13" t="str">
        <f t="shared" si="200"/>
        <v/>
      </c>
      <c r="S1469" s="13" t="str">
        <f t="shared" si="196"/>
        <v/>
      </c>
      <c r="T1469" s="22" t="str">
        <f>IF(R1469&lt;&gt;"",VLOOKUP(P1469,Constants!$D$3:$E$10,2),"")</f>
        <v/>
      </c>
    </row>
    <row r="1470" spans="12:20" x14ac:dyDescent="0.25">
      <c r="L1470" s="10" t="str">
        <f t="shared" si="193"/>
        <v/>
      </c>
      <c r="M1470" s="10" t="str">
        <f t="shared" si="194"/>
        <v/>
      </c>
      <c r="N1470" s="11" t="str">
        <f t="shared" si="197"/>
        <v/>
      </c>
      <c r="O1470" s="10" t="str">
        <f t="shared" si="198"/>
        <v/>
      </c>
      <c r="P1470" s="39" t="str">
        <f t="shared" si="199"/>
        <v/>
      </c>
      <c r="Q1470" s="13" t="str">
        <f t="shared" si="195"/>
        <v/>
      </c>
      <c r="R1470" s="13" t="str">
        <f t="shared" si="200"/>
        <v/>
      </c>
      <c r="S1470" s="13" t="str">
        <f t="shared" si="196"/>
        <v/>
      </c>
      <c r="T1470" s="22" t="str">
        <f>IF(R1470&lt;&gt;"",VLOOKUP(P1470,Constants!$D$3:$E$10,2),"")</f>
        <v/>
      </c>
    </row>
    <row r="1471" spans="12:20" x14ac:dyDescent="0.25">
      <c r="L1471" s="10" t="str">
        <f t="shared" si="193"/>
        <v/>
      </c>
      <c r="M1471" s="10" t="str">
        <f t="shared" si="194"/>
        <v/>
      </c>
      <c r="N1471" s="11" t="str">
        <f t="shared" si="197"/>
        <v/>
      </c>
      <c r="O1471" s="10" t="str">
        <f t="shared" si="198"/>
        <v/>
      </c>
      <c r="P1471" s="39" t="str">
        <f t="shared" si="199"/>
        <v/>
      </c>
      <c r="Q1471" s="13" t="str">
        <f t="shared" si="195"/>
        <v/>
      </c>
      <c r="R1471" s="13" t="str">
        <f t="shared" si="200"/>
        <v/>
      </c>
      <c r="S1471" s="13" t="str">
        <f t="shared" si="196"/>
        <v/>
      </c>
      <c r="T1471" s="22" t="str">
        <f>IF(R1471&lt;&gt;"",VLOOKUP(P1471,Constants!$D$3:$E$10,2),"")</f>
        <v/>
      </c>
    </row>
    <row r="1472" spans="12:20" x14ac:dyDescent="0.25">
      <c r="L1472" s="10" t="str">
        <f t="shared" si="193"/>
        <v/>
      </c>
      <c r="M1472" s="10" t="str">
        <f t="shared" si="194"/>
        <v/>
      </c>
      <c r="N1472" s="11" t="str">
        <f t="shared" si="197"/>
        <v/>
      </c>
      <c r="O1472" s="10" t="str">
        <f t="shared" si="198"/>
        <v/>
      </c>
      <c r="P1472" s="39" t="str">
        <f t="shared" si="199"/>
        <v/>
      </c>
      <c r="Q1472" s="13" t="str">
        <f t="shared" si="195"/>
        <v/>
      </c>
      <c r="R1472" s="13" t="str">
        <f t="shared" si="200"/>
        <v/>
      </c>
      <c r="S1472" s="13" t="str">
        <f t="shared" si="196"/>
        <v/>
      </c>
      <c r="T1472" s="22" t="str">
        <f>IF(R1472&lt;&gt;"",VLOOKUP(P1472,Constants!$D$3:$E$10,2),"")</f>
        <v/>
      </c>
    </row>
    <row r="1473" spans="12:20" x14ac:dyDescent="0.25">
      <c r="L1473" s="10" t="str">
        <f t="shared" si="193"/>
        <v/>
      </c>
      <c r="M1473" s="10" t="str">
        <f t="shared" si="194"/>
        <v/>
      </c>
      <c r="N1473" s="11" t="str">
        <f t="shared" si="197"/>
        <v/>
      </c>
      <c r="O1473" s="10" t="str">
        <f t="shared" si="198"/>
        <v/>
      </c>
      <c r="P1473" s="39" t="str">
        <f t="shared" si="199"/>
        <v/>
      </c>
      <c r="Q1473" s="13" t="str">
        <f t="shared" si="195"/>
        <v/>
      </c>
      <c r="R1473" s="13" t="str">
        <f t="shared" si="200"/>
        <v/>
      </c>
      <c r="S1473" s="13" t="str">
        <f t="shared" si="196"/>
        <v/>
      </c>
      <c r="T1473" s="22" t="str">
        <f>IF(R1473&lt;&gt;"",VLOOKUP(P1473,Constants!$D$3:$E$10,2),"")</f>
        <v/>
      </c>
    </row>
    <row r="1474" spans="12:20" x14ac:dyDescent="0.25">
      <c r="L1474" s="10" t="str">
        <f t="shared" si="193"/>
        <v/>
      </c>
      <c r="M1474" s="10" t="str">
        <f t="shared" si="194"/>
        <v/>
      </c>
      <c r="N1474" s="11" t="str">
        <f t="shared" si="197"/>
        <v/>
      </c>
      <c r="O1474" s="10" t="str">
        <f t="shared" si="198"/>
        <v/>
      </c>
      <c r="P1474" s="39" t="str">
        <f t="shared" si="199"/>
        <v/>
      </c>
      <c r="Q1474" s="13" t="str">
        <f t="shared" si="195"/>
        <v/>
      </c>
      <c r="R1474" s="13" t="str">
        <f t="shared" si="200"/>
        <v/>
      </c>
      <c r="S1474" s="13" t="str">
        <f t="shared" si="196"/>
        <v/>
      </c>
      <c r="T1474" s="22" t="str">
        <f>IF(R1474&lt;&gt;"",VLOOKUP(P1474,Constants!$D$3:$E$10,2),"")</f>
        <v/>
      </c>
    </row>
    <row r="1475" spans="12:20" x14ac:dyDescent="0.25">
      <c r="L1475" s="10" t="str">
        <f t="shared" si="193"/>
        <v/>
      </c>
      <c r="M1475" s="10" t="str">
        <f t="shared" si="194"/>
        <v/>
      </c>
      <c r="N1475" s="11" t="str">
        <f t="shared" si="197"/>
        <v/>
      </c>
      <c r="O1475" s="10" t="str">
        <f t="shared" si="198"/>
        <v/>
      </c>
      <c r="P1475" s="39" t="str">
        <f t="shared" si="199"/>
        <v/>
      </c>
      <c r="Q1475" s="13" t="str">
        <f t="shared" si="195"/>
        <v/>
      </c>
      <c r="R1475" s="13" t="str">
        <f t="shared" si="200"/>
        <v/>
      </c>
      <c r="S1475" s="13" t="str">
        <f t="shared" si="196"/>
        <v/>
      </c>
      <c r="T1475" s="22" t="str">
        <f>IF(R1475&lt;&gt;"",VLOOKUP(P1475,Constants!$D$3:$E$10,2),"")</f>
        <v/>
      </c>
    </row>
    <row r="1476" spans="12:20" x14ac:dyDescent="0.25">
      <c r="L1476" s="10" t="str">
        <f t="shared" si="193"/>
        <v/>
      </c>
      <c r="M1476" s="10" t="str">
        <f t="shared" si="194"/>
        <v/>
      </c>
      <c r="N1476" s="11" t="str">
        <f t="shared" si="197"/>
        <v/>
      </c>
      <c r="O1476" s="10" t="str">
        <f t="shared" si="198"/>
        <v/>
      </c>
      <c r="P1476" s="39" t="str">
        <f t="shared" si="199"/>
        <v/>
      </c>
      <c r="Q1476" s="13" t="str">
        <f t="shared" si="195"/>
        <v/>
      </c>
      <c r="R1476" s="13" t="str">
        <f t="shared" si="200"/>
        <v/>
      </c>
      <c r="S1476" s="13" t="str">
        <f t="shared" si="196"/>
        <v/>
      </c>
      <c r="T1476" s="22" t="str">
        <f>IF(R1476&lt;&gt;"",VLOOKUP(P1476,Constants!$D$3:$E$10,2),"")</f>
        <v/>
      </c>
    </row>
    <row r="1477" spans="12:20" x14ac:dyDescent="0.25">
      <c r="L1477" s="10" t="str">
        <f t="shared" si="193"/>
        <v/>
      </c>
      <c r="M1477" s="10" t="str">
        <f t="shared" si="194"/>
        <v/>
      </c>
      <c r="N1477" s="11" t="str">
        <f t="shared" si="197"/>
        <v/>
      </c>
      <c r="O1477" s="10" t="str">
        <f t="shared" si="198"/>
        <v/>
      </c>
      <c r="P1477" s="39" t="str">
        <f t="shared" si="199"/>
        <v/>
      </c>
      <c r="Q1477" s="13" t="str">
        <f t="shared" si="195"/>
        <v/>
      </c>
      <c r="R1477" s="13" t="str">
        <f t="shared" si="200"/>
        <v/>
      </c>
      <c r="S1477" s="13" t="str">
        <f t="shared" si="196"/>
        <v/>
      </c>
      <c r="T1477" s="22" t="str">
        <f>IF(R1477&lt;&gt;"",VLOOKUP(P1477,Constants!$D$3:$E$10,2),"")</f>
        <v/>
      </c>
    </row>
    <row r="1478" spans="12:20" x14ac:dyDescent="0.25">
      <c r="L1478" s="10" t="str">
        <f t="shared" si="193"/>
        <v/>
      </c>
      <c r="M1478" s="10" t="str">
        <f t="shared" si="194"/>
        <v/>
      </c>
      <c r="N1478" s="11" t="str">
        <f t="shared" si="197"/>
        <v/>
      </c>
      <c r="O1478" s="10" t="str">
        <f t="shared" si="198"/>
        <v/>
      </c>
      <c r="P1478" s="39" t="str">
        <f t="shared" si="199"/>
        <v/>
      </c>
      <c r="Q1478" s="13" t="str">
        <f t="shared" si="195"/>
        <v/>
      </c>
      <c r="R1478" s="13" t="str">
        <f t="shared" si="200"/>
        <v/>
      </c>
      <c r="S1478" s="13" t="str">
        <f t="shared" si="196"/>
        <v/>
      </c>
      <c r="T1478" s="22" t="str">
        <f>IF(R1478&lt;&gt;"",VLOOKUP(P1478,Constants!$D$3:$E$10,2),"")</f>
        <v/>
      </c>
    </row>
    <row r="1479" spans="12:20" x14ac:dyDescent="0.25">
      <c r="L1479" s="10" t="str">
        <f t="shared" si="193"/>
        <v/>
      </c>
      <c r="M1479" s="10" t="str">
        <f t="shared" si="194"/>
        <v/>
      </c>
      <c r="N1479" s="11" t="str">
        <f t="shared" si="197"/>
        <v/>
      </c>
      <c r="O1479" s="10" t="str">
        <f t="shared" si="198"/>
        <v/>
      </c>
      <c r="P1479" s="39" t="str">
        <f t="shared" si="199"/>
        <v/>
      </c>
      <c r="Q1479" s="13" t="str">
        <f t="shared" si="195"/>
        <v/>
      </c>
      <c r="R1479" s="13" t="str">
        <f t="shared" si="200"/>
        <v/>
      </c>
      <c r="S1479" s="13" t="str">
        <f t="shared" si="196"/>
        <v/>
      </c>
      <c r="T1479" s="22" t="str">
        <f>IF(R1479&lt;&gt;"",VLOOKUP(P1479,Constants!$D$3:$E$10,2),"")</f>
        <v/>
      </c>
    </row>
    <row r="1480" spans="12:20" x14ac:dyDescent="0.25">
      <c r="L1480" s="10" t="str">
        <f t="shared" ref="L1480:L1543" si="201">IF($D1480&lt;&gt;"",$D1480*$E1480/1000,"")</f>
        <v/>
      </c>
      <c r="M1480" s="10" t="str">
        <f t="shared" ref="M1480:M1543" si="202">IF($D1480&lt;&gt;"",$D1480*$F1480/1000,"")</f>
        <v/>
      </c>
      <c r="N1480" s="11" t="str">
        <f t="shared" si="197"/>
        <v/>
      </c>
      <c r="O1480" s="10" t="str">
        <f t="shared" si="198"/>
        <v/>
      </c>
      <c r="P1480" s="39" t="str">
        <f t="shared" si="199"/>
        <v/>
      </c>
      <c r="Q1480" s="13" t="str">
        <f t="shared" ref="Q1480:Q1543" si="203">IF(F1480&lt;&gt;"",F1480*E1480/1000,"")</f>
        <v/>
      </c>
      <c r="R1480" s="13" t="str">
        <f t="shared" si="200"/>
        <v/>
      </c>
      <c r="S1480" s="13" t="str">
        <f t="shared" ref="S1480:S1543" si="204">IF(R1480&lt;&gt;"",Q1480/R1480*1000,"")</f>
        <v/>
      </c>
      <c r="T1480" s="22" t="str">
        <f>IF(R1480&lt;&gt;"",VLOOKUP(P1480,Constants!$D$3:$E$10,2),"")</f>
        <v/>
      </c>
    </row>
    <row r="1481" spans="12:20" x14ac:dyDescent="0.25">
      <c r="L1481" s="10" t="str">
        <f t="shared" si="201"/>
        <v/>
      </c>
      <c r="M1481" s="10" t="str">
        <f t="shared" si="202"/>
        <v/>
      </c>
      <c r="N1481" s="11" t="str">
        <f t="shared" si="197"/>
        <v/>
      </c>
      <c r="O1481" s="10" t="str">
        <f t="shared" si="198"/>
        <v/>
      </c>
      <c r="P1481" s="39" t="str">
        <f t="shared" si="199"/>
        <v/>
      </c>
      <c r="Q1481" s="13" t="str">
        <f t="shared" si="203"/>
        <v/>
      </c>
      <c r="R1481" s="13" t="str">
        <f t="shared" si="200"/>
        <v/>
      </c>
      <c r="S1481" s="13" t="str">
        <f t="shared" si="204"/>
        <v/>
      </c>
      <c r="T1481" s="22" t="str">
        <f>IF(R1481&lt;&gt;"",VLOOKUP(P1481,Constants!$D$3:$E$10,2),"")</f>
        <v/>
      </c>
    </row>
    <row r="1482" spans="12:20" x14ac:dyDescent="0.25">
      <c r="L1482" s="10" t="str">
        <f t="shared" si="201"/>
        <v/>
      </c>
      <c r="M1482" s="10" t="str">
        <f t="shared" si="202"/>
        <v/>
      </c>
      <c r="N1482" s="11" t="str">
        <f t="shared" si="197"/>
        <v/>
      </c>
      <c r="O1482" s="10" t="str">
        <f t="shared" si="198"/>
        <v/>
      </c>
      <c r="P1482" s="39" t="str">
        <f t="shared" si="199"/>
        <v/>
      </c>
      <c r="Q1482" s="13" t="str">
        <f t="shared" si="203"/>
        <v/>
      </c>
      <c r="R1482" s="13" t="str">
        <f t="shared" si="200"/>
        <v/>
      </c>
      <c r="S1482" s="13" t="str">
        <f t="shared" si="204"/>
        <v/>
      </c>
      <c r="T1482" s="22" t="str">
        <f>IF(R1482&lt;&gt;"",VLOOKUP(P1482,Constants!$D$3:$E$10,2),"")</f>
        <v/>
      </c>
    </row>
    <row r="1483" spans="12:20" x14ac:dyDescent="0.25">
      <c r="L1483" s="10" t="str">
        <f t="shared" si="201"/>
        <v/>
      </c>
      <c r="M1483" s="10" t="str">
        <f t="shared" si="202"/>
        <v/>
      </c>
      <c r="N1483" s="11" t="str">
        <f t="shared" si="197"/>
        <v/>
      </c>
      <c r="O1483" s="10" t="str">
        <f t="shared" si="198"/>
        <v/>
      </c>
      <c r="P1483" s="39" t="str">
        <f t="shared" si="199"/>
        <v/>
      </c>
      <c r="Q1483" s="13" t="str">
        <f t="shared" si="203"/>
        <v/>
      </c>
      <c r="R1483" s="13" t="str">
        <f t="shared" si="200"/>
        <v/>
      </c>
      <c r="S1483" s="13" t="str">
        <f t="shared" si="204"/>
        <v/>
      </c>
      <c r="T1483" s="22" t="str">
        <f>IF(R1483&lt;&gt;"",VLOOKUP(P1483,Constants!$D$3:$E$10,2),"")</f>
        <v/>
      </c>
    </row>
    <row r="1484" spans="12:20" x14ac:dyDescent="0.25">
      <c r="L1484" s="10" t="str">
        <f t="shared" si="201"/>
        <v/>
      </c>
      <c r="M1484" s="10" t="str">
        <f t="shared" si="202"/>
        <v/>
      </c>
      <c r="N1484" s="11" t="str">
        <f t="shared" si="197"/>
        <v/>
      </c>
      <c r="O1484" s="10" t="str">
        <f t="shared" si="198"/>
        <v/>
      </c>
      <c r="P1484" s="39" t="str">
        <f t="shared" si="199"/>
        <v/>
      </c>
      <c r="Q1484" s="13" t="str">
        <f t="shared" si="203"/>
        <v/>
      </c>
      <c r="R1484" s="13" t="str">
        <f t="shared" si="200"/>
        <v/>
      </c>
      <c r="S1484" s="13" t="str">
        <f t="shared" si="204"/>
        <v/>
      </c>
      <c r="T1484" s="22" t="str">
        <f>IF(R1484&lt;&gt;"",VLOOKUP(P1484,Constants!$D$3:$E$10,2),"")</f>
        <v/>
      </c>
    </row>
    <row r="1485" spans="12:20" x14ac:dyDescent="0.25">
      <c r="L1485" s="10" t="str">
        <f t="shared" si="201"/>
        <v/>
      </c>
      <c r="M1485" s="10" t="str">
        <f t="shared" si="202"/>
        <v/>
      </c>
      <c r="N1485" s="11" t="str">
        <f t="shared" si="197"/>
        <v/>
      </c>
      <c r="O1485" s="10" t="str">
        <f t="shared" si="198"/>
        <v/>
      </c>
      <c r="P1485" s="39" t="str">
        <f t="shared" si="199"/>
        <v/>
      </c>
      <c r="Q1485" s="13" t="str">
        <f t="shared" si="203"/>
        <v/>
      </c>
      <c r="R1485" s="13" t="str">
        <f t="shared" si="200"/>
        <v/>
      </c>
      <c r="S1485" s="13" t="str">
        <f t="shared" si="204"/>
        <v/>
      </c>
      <c r="T1485" s="22" t="str">
        <f>IF(R1485&lt;&gt;"",VLOOKUP(P1485,Constants!$D$3:$E$10,2),"")</f>
        <v/>
      </c>
    </row>
    <row r="1486" spans="12:20" x14ac:dyDescent="0.25">
      <c r="L1486" s="10" t="str">
        <f t="shared" si="201"/>
        <v/>
      </c>
      <c r="M1486" s="10" t="str">
        <f t="shared" si="202"/>
        <v/>
      </c>
      <c r="N1486" s="11" t="str">
        <f t="shared" si="197"/>
        <v/>
      </c>
      <c r="O1486" s="10" t="str">
        <f t="shared" si="198"/>
        <v/>
      </c>
      <c r="P1486" s="39" t="str">
        <f t="shared" si="199"/>
        <v/>
      </c>
      <c r="Q1486" s="13" t="str">
        <f t="shared" si="203"/>
        <v/>
      </c>
      <c r="R1486" s="13" t="str">
        <f t="shared" si="200"/>
        <v/>
      </c>
      <c r="S1486" s="13" t="str">
        <f t="shared" si="204"/>
        <v/>
      </c>
      <c r="T1486" s="22" t="str">
        <f>IF(R1486&lt;&gt;"",VLOOKUP(P1486,Constants!$D$3:$E$10,2),"")</f>
        <v/>
      </c>
    </row>
    <row r="1487" spans="12:20" x14ac:dyDescent="0.25">
      <c r="L1487" s="10" t="str">
        <f t="shared" si="201"/>
        <v/>
      </c>
      <c r="M1487" s="10" t="str">
        <f t="shared" si="202"/>
        <v/>
      </c>
      <c r="N1487" s="11" t="str">
        <f t="shared" si="197"/>
        <v/>
      </c>
      <c r="O1487" s="10" t="str">
        <f t="shared" si="198"/>
        <v/>
      </c>
      <c r="P1487" s="39" t="str">
        <f t="shared" si="199"/>
        <v/>
      </c>
      <c r="Q1487" s="13" t="str">
        <f t="shared" si="203"/>
        <v/>
      </c>
      <c r="R1487" s="13" t="str">
        <f t="shared" si="200"/>
        <v/>
      </c>
      <c r="S1487" s="13" t="str">
        <f t="shared" si="204"/>
        <v/>
      </c>
      <c r="T1487" s="22" t="str">
        <f>IF(R1487&lt;&gt;"",VLOOKUP(P1487,Constants!$D$3:$E$10,2),"")</f>
        <v/>
      </c>
    </row>
    <row r="1488" spans="12:20" x14ac:dyDescent="0.25">
      <c r="L1488" s="10" t="str">
        <f t="shared" si="201"/>
        <v/>
      </c>
      <c r="M1488" s="10" t="str">
        <f t="shared" si="202"/>
        <v/>
      </c>
      <c r="N1488" s="11" t="str">
        <f t="shared" ref="N1488:N1551" si="205">IF($L1488&lt;&gt;"",SQRT($L1488*$L1488+$M1488*$M1488),"")</f>
        <v/>
      </c>
      <c r="O1488" s="10" t="str">
        <f t="shared" si="198"/>
        <v/>
      </c>
      <c r="P1488" s="39" t="str">
        <f t="shared" si="199"/>
        <v/>
      </c>
      <c r="Q1488" s="13" t="str">
        <f t="shared" si="203"/>
        <v/>
      </c>
      <c r="R1488" s="13" t="str">
        <f t="shared" si="200"/>
        <v/>
      </c>
      <c r="S1488" s="13" t="str">
        <f t="shared" si="204"/>
        <v/>
      </c>
      <c r="T1488" s="22" t="str">
        <f>IF(R1488&lt;&gt;"",VLOOKUP(P1488,Constants!$D$3:$E$10,2),"")</f>
        <v/>
      </c>
    </row>
    <row r="1489" spans="12:20" x14ac:dyDescent="0.25">
      <c r="L1489" s="10" t="str">
        <f t="shared" si="201"/>
        <v/>
      </c>
      <c r="M1489" s="10" t="str">
        <f t="shared" si="202"/>
        <v/>
      </c>
      <c r="N1489" s="11" t="str">
        <f t="shared" si="205"/>
        <v/>
      </c>
      <c r="O1489" s="10" t="str">
        <f t="shared" si="198"/>
        <v/>
      </c>
      <c r="P1489" s="39" t="str">
        <f t="shared" si="199"/>
        <v/>
      </c>
      <c r="Q1489" s="13" t="str">
        <f t="shared" si="203"/>
        <v/>
      </c>
      <c r="R1489" s="13" t="str">
        <f t="shared" si="200"/>
        <v/>
      </c>
      <c r="S1489" s="13" t="str">
        <f t="shared" si="204"/>
        <v/>
      </c>
      <c r="T1489" s="22" t="str">
        <f>IF(R1489&lt;&gt;"",VLOOKUP(P1489,Constants!$D$3:$E$10,2),"")</f>
        <v/>
      </c>
    </row>
    <row r="1490" spans="12:20" x14ac:dyDescent="0.25">
      <c r="L1490" s="10" t="str">
        <f t="shared" si="201"/>
        <v/>
      </c>
      <c r="M1490" s="10" t="str">
        <f t="shared" si="202"/>
        <v/>
      </c>
      <c r="N1490" s="11" t="str">
        <f t="shared" si="205"/>
        <v/>
      </c>
      <c r="O1490" s="10" t="str">
        <f t="shared" si="198"/>
        <v/>
      </c>
      <c r="P1490" s="39" t="str">
        <f t="shared" si="199"/>
        <v/>
      </c>
      <c r="Q1490" s="13" t="str">
        <f t="shared" si="203"/>
        <v/>
      </c>
      <c r="R1490" s="13" t="str">
        <f t="shared" si="200"/>
        <v/>
      </c>
      <c r="S1490" s="13" t="str">
        <f t="shared" si="204"/>
        <v/>
      </c>
      <c r="T1490" s="22" t="str">
        <f>IF(R1490&lt;&gt;"",VLOOKUP(P1490,Constants!$D$3:$E$10,2),"")</f>
        <v/>
      </c>
    </row>
    <row r="1491" spans="12:20" x14ac:dyDescent="0.25">
      <c r="L1491" s="10" t="str">
        <f t="shared" si="201"/>
        <v/>
      </c>
      <c r="M1491" s="10" t="str">
        <f t="shared" si="202"/>
        <v/>
      </c>
      <c r="N1491" s="11" t="str">
        <f t="shared" si="205"/>
        <v/>
      </c>
      <c r="O1491" s="10" t="str">
        <f t="shared" si="198"/>
        <v/>
      </c>
      <c r="P1491" s="39" t="str">
        <f t="shared" si="199"/>
        <v/>
      </c>
      <c r="Q1491" s="13" t="str">
        <f t="shared" si="203"/>
        <v/>
      </c>
      <c r="R1491" s="13" t="str">
        <f t="shared" si="200"/>
        <v/>
      </c>
      <c r="S1491" s="13" t="str">
        <f t="shared" si="204"/>
        <v/>
      </c>
      <c r="T1491" s="22" t="str">
        <f>IF(R1491&lt;&gt;"",VLOOKUP(P1491,Constants!$D$3:$E$10,2),"")</f>
        <v/>
      </c>
    </row>
    <row r="1492" spans="12:20" x14ac:dyDescent="0.25">
      <c r="L1492" s="10" t="str">
        <f t="shared" si="201"/>
        <v/>
      </c>
      <c r="M1492" s="10" t="str">
        <f t="shared" si="202"/>
        <v/>
      </c>
      <c r="N1492" s="11" t="str">
        <f t="shared" si="205"/>
        <v/>
      </c>
      <c r="O1492" s="10" t="str">
        <f t="shared" si="198"/>
        <v/>
      </c>
      <c r="P1492" s="39" t="str">
        <f t="shared" si="199"/>
        <v/>
      </c>
      <c r="Q1492" s="13" t="str">
        <f t="shared" si="203"/>
        <v/>
      </c>
      <c r="R1492" s="13" t="str">
        <f t="shared" si="200"/>
        <v/>
      </c>
      <c r="S1492" s="13" t="str">
        <f t="shared" si="204"/>
        <v/>
      </c>
      <c r="T1492" s="22" t="str">
        <f>IF(R1492&lt;&gt;"",VLOOKUP(P1492,Constants!$D$3:$E$10,2),"")</f>
        <v/>
      </c>
    </row>
    <row r="1493" spans="12:20" x14ac:dyDescent="0.25">
      <c r="L1493" s="10" t="str">
        <f t="shared" si="201"/>
        <v/>
      </c>
      <c r="M1493" s="10" t="str">
        <f t="shared" si="202"/>
        <v/>
      </c>
      <c r="N1493" s="11" t="str">
        <f t="shared" si="205"/>
        <v/>
      </c>
      <c r="O1493" s="10" t="str">
        <f t="shared" si="198"/>
        <v/>
      </c>
      <c r="P1493" s="39" t="str">
        <f t="shared" si="199"/>
        <v/>
      </c>
      <c r="Q1493" s="13" t="str">
        <f t="shared" si="203"/>
        <v/>
      </c>
      <c r="R1493" s="13" t="str">
        <f t="shared" si="200"/>
        <v/>
      </c>
      <c r="S1493" s="13" t="str">
        <f t="shared" si="204"/>
        <v/>
      </c>
      <c r="T1493" s="22" t="str">
        <f>IF(R1493&lt;&gt;"",VLOOKUP(P1493,Constants!$D$3:$E$10,2),"")</f>
        <v/>
      </c>
    </row>
    <row r="1494" spans="12:20" x14ac:dyDescent="0.25">
      <c r="L1494" s="10" t="str">
        <f t="shared" si="201"/>
        <v/>
      </c>
      <c r="M1494" s="10" t="str">
        <f t="shared" si="202"/>
        <v/>
      </c>
      <c r="N1494" s="11" t="str">
        <f t="shared" si="205"/>
        <v/>
      </c>
      <c r="O1494" s="10" t="str">
        <f t="shared" si="198"/>
        <v/>
      </c>
      <c r="P1494" s="39" t="str">
        <f t="shared" si="199"/>
        <v/>
      </c>
      <c r="Q1494" s="13" t="str">
        <f t="shared" si="203"/>
        <v/>
      </c>
      <c r="R1494" s="13" t="str">
        <f t="shared" si="200"/>
        <v/>
      </c>
      <c r="S1494" s="13" t="str">
        <f t="shared" si="204"/>
        <v/>
      </c>
      <c r="T1494" s="22" t="str">
        <f>IF(R1494&lt;&gt;"",VLOOKUP(P1494,Constants!$D$3:$E$10,2),"")</f>
        <v/>
      </c>
    </row>
    <row r="1495" spans="12:20" x14ac:dyDescent="0.25">
      <c r="L1495" s="10" t="str">
        <f t="shared" si="201"/>
        <v/>
      </c>
      <c r="M1495" s="10" t="str">
        <f t="shared" si="202"/>
        <v/>
      </c>
      <c r="N1495" s="11" t="str">
        <f t="shared" si="205"/>
        <v/>
      </c>
      <c r="O1495" s="10" t="str">
        <f t="shared" ref="O1495:O1558" si="206">IF(D1495&lt;&gt;"",1000/(2*D1495),"")</f>
        <v/>
      </c>
      <c r="P1495" s="39" t="str">
        <f t="shared" ref="P1495:P1558" si="207">IF($N1495&lt;&gt;"",D1495*SQRT(E1495*E1495+F1495*F1495)/16000,"")</f>
        <v/>
      </c>
      <c r="Q1495" s="13" t="str">
        <f t="shared" si="203"/>
        <v/>
      </c>
      <c r="R1495" s="13" t="str">
        <f t="shared" ref="R1495:R1558" si="208">IF(G1495&lt;&gt;"",1000/G1495,"")</f>
        <v/>
      </c>
      <c r="S1495" s="13" t="str">
        <f t="shared" si="204"/>
        <v/>
      </c>
      <c r="T1495" s="22" t="str">
        <f>IF(R1495&lt;&gt;"",VLOOKUP(P1495,Constants!$D$3:$E$10,2),"")</f>
        <v/>
      </c>
    </row>
    <row r="1496" spans="12:20" x14ac:dyDescent="0.25">
      <c r="L1496" s="10" t="str">
        <f t="shared" si="201"/>
        <v/>
      </c>
      <c r="M1496" s="10" t="str">
        <f t="shared" si="202"/>
        <v/>
      </c>
      <c r="N1496" s="11" t="str">
        <f t="shared" si="205"/>
        <v/>
      </c>
      <c r="O1496" s="10" t="str">
        <f t="shared" si="206"/>
        <v/>
      </c>
      <c r="P1496" s="39" t="str">
        <f t="shared" si="207"/>
        <v/>
      </c>
      <c r="Q1496" s="13" t="str">
        <f t="shared" si="203"/>
        <v/>
      </c>
      <c r="R1496" s="13" t="str">
        <f t="shared" si="208"/>
        <v/>
      </c>
      <c r="S1496" s="13" t="str">
        <f t="shared" si="204"/>
        <v/>
      </c>
      <c r="T1496" s="22" t="str">
        <f>IF(R1496&lt;&gt;"",VLOOKUP(P1496,Constants!$D$3:$E$10,2),"")</f>
        <v/>
      </c>
    </row>
    <row r="1497" spans="12:20" x14ac:dyDescent="0.25">
      <c r="L1497" s="10" t="str">
        <f t="shared" si="201"/>
        <v/>
      </c>
      <c r="M1497" s="10" t="str">
        <f t="shared" si="202"/>
        <v/>
      </c>
      <c r="N1497" s="11" t="str">
        <f t="shared" si="205"/>
        <v/>
      </c>
      <c r="O1497" s="10" t="str">
        <f t="shared" si="206"/>
        <v/>
      </c>
      <c r="P1497" s="39" t="str">
        <f t="shared" si="207"/>
        <v/>
      </c>
      <c r="Q1497" s="13" t="str">
        <f t="shared" si="203"/>
        <v/>
      </c>
      <c r="R1497" s="13" t="str">
        <f t="shared" si="208"/>
        <v/>
      </c>
      <c r="S1497" s="13" t="str">
        <f t="shared" si="204"/>
        <v/>
      </c>
      <c r="T1497" s="22" t="str">
        <f>IF(R1497&lt;&gt;"",VLOOKUP(P1497,Constants!$D$3:$E$10,2),"")</f>
        <v/>
      </c>
    </row>
    <row r="1498" spans="12:20" x14ac:dyDescent="0.25">
      <c r="L1498" s="10" t="str">
        <f t="shared" si="201"/>
        <v/>
      </c>
      <c r="M1498" s="10" t="str">
        <f t="shared" si="202"/>
        <v/>
      </c>
      <c r="N1498" s="11" t="str">
        <f t="shared" si="205"/>
        <v/>
      </c>
      <c r="O1498" s="10" t="str">
        <f t="shared" si="206"/>
        <v/>
      </c>
      <c r="P1498" s="39" t="str">
        <f t="shared" si="207"/>
        <v/>
      </c>
      <c r="Q1498" s="13" t="str">
        <f t="shared" si="203"/>
        <v/>
      </c>
      <c r="R1498" s="13" t="str">
        <f t="shared" si="208"/>
        <v/>
      </c>
      <c r="S1498" s="13" t="str">
        <f t="shared" si="204"/>
        <v/>
      </c>
      <c r="T1498" s="22" t="str">
        <f>IF(R1498&lt;&gt;"",VLOOKUP(P1498,Constants!$D$3:$E$10,2),"")</f>
        <v/>
      </c>
    </row>
    <row r="1499" spans="12:20" x14ac:dyDescent="0.25">
      <c r="L1499" s="10" t="str">
        <f t="shared" si="201"/>
        <v/>
      </c>
      <c r="M1499" s="10" t="str">
        <f t="shared" si="202"/>
        <v/>
      </c>
      <c r="N1499" s="11" t="str">
        <f t="shared" si="205"/>
        <v/>
      </c>
      <c r="O1499" s="10" t="str">
        <f t="shared" si="206"/>
        <v/>
      </c>
      <c r="P1499" s="39" t="str">
        <f t="shared" si="207"/>
        <v/>
      </c>
      <c r="Q1499" s="13" t="str">
        <f t="shared" si="203"/>
        <v/>
      </c>
      <c r="R1499" s="13" t="str">
        <f t="shared" si="208"/>
        <v/>
      </c>
      <c r="S1499" s="13" t="str">
        <f t="shared" si="204"/>
        <v/>
      </c>
      <c r="T1499" s="22" t="str">
        <f>IF(R1499&lt;&gt;"",VLOOKUP(P1499,Constants!$D$3:$E$10,2),"")</f>
        <v/>
      </c>
    </row>
    <row r="1500" spans="12:20" x14ac:dyDescent="0.25">
      <c r="L1500" s="10" t="str">
        <f t="shared" si="201"/>
        <v/>
      </c>
      <c r="M1500" s="10" t="str">
        <f t="shared" si="202"/>
        <v/>
      </c>
      <c r="N1500" s="11" t="str">
        <f t="shared" si="205"/>
        <v/>
      </c>
      <c r="O1500" s="10" t="str">
        <f t="shared" si="206"/>
        <v/>
      </c>
      <c r="P1500" s="39" t="str">
        <f t="shared" si="207"/>
        <v/>
      </c>
      <c r="Q1500" s="13" t="str">
        <f t="shared" si="203"/>
        <v/>
      </c>
      <c r="R1500" s="13" t="str">
        <f t="shared" si="208"/>
        <v/>
      </c>
      <c r="S1500" s="13" t="str">
        <f t="shared" si="204"/>
        <v/>
      </c>
      <c r="T1500" s="22" t="str">
        <f>IF(R1500&lt;&gt;"",VLOOKUP(P1500,Constants!$D$3:$E$10,2),"")</f>
        <v/>
      </c>
    </row>
    <row r="1501" spans="12:20" x14ac:dyDescent="0.25">
      <c r="L1501" s="10" t="str">
        <f t="shared" si="201"/>
        <v/>
      </c>
      <c r="M1501" s="10" t="str">
        <f t="shared" si="202"/>
        <v/>
      </c>
      <c r="N1501" s="11" t="str">
        <f t="shared" si="205"/>
        <v/>
      </c>
      <c r="O1501" s="10" t="str">
        <f t="shared" si="206"/>
        <v/>
      </c>
      <c r="P1501" s="39" t="str">
        <f t="shared" si="207"/>
        <v/>
      </c>
      <c r="Q1501" s="13" t="str">
        <f t="shared" si="203"/>
        <v/>
      </c>
      <c r="R1501" s="13" t="str">
        <f t="shared" si="208"/>
        <v/>
      </c>
      <c r="S1501" s="13" t="str">
        <f t="shared" si="204"/>
        <v/>
      </c>
      <c r="T1501" s="22" t="str">
        <f>IF(R1501&lt;&gt;"",VLOOKUP(P1501,Constants!$D$3:$E$10,2),"")</f>
        <v/>
      </c>
    </row>
    <row r="1502" spans="12:20" x14ac:dyDescent="0.25">
      <c r="L1502" s="10" t="str">
        <f t="shared" si="201"/>
        <v/>
      </c>
      <c r="M1502" s="10" t="str">
        <f t="shared" si="202"/>
        <v/>
      </c>
      <c r="N1502" s="11" t="str">
        <f t="shared" si="205"/>
        <v/>
      </c>
      <c r="O1502" s="10" t="str">
        <f t="shared" si="206"/>
        <v/>
      </c>
      <c r="P1502" s="39" t="str">
        <f t="shared" si="207"/>
        <v/>
      </c>
      <c r="Q1502" s="13" t="str">
        <f t="shared" si="203"/>
        <v/>
      </c>
      <c r="R1502" s="13" t="str">
        <f t="shared" si="208"/>
        <v/>
      </c>
      <c r="S1502" s="13" t="str">
        <f t="shared" si="204"/>
        <v/>
      </c>
      <c r="T1502" s="22" t="str">
        <f>IF(R1502&lt;&gt;"",VLOOKUP(P1502,Constants!$D$3:$E$10,2),"")</f>
        <v/>
      </c>
    </row>
    <row r="1503" spans="12:20" x14ac:dyDescent="0.25">
      <c r="L1503" s="10" t="str">
        <f t="shared" si="201"/>
        <v/>
      </c>
      <c r="M1503" s="10" t="str">
        <f t="shared" si="202"/>
        <v/>
      </c>
      <c r="N1503" s="11" t="str">
        <f t="shared" si="205"/>
        <v/>
      </c>
      <c r="O1503" s="10" t="str">
        <f t="shared" si="206"/>
        <v/>
      </c>
      <c r="P1503" s="39" t="str">
        <f t="shared" si="207"/>
        <v/>
      </c>
      <c r="Q1503" s="13" t="str">
        <f t="shared" si="203"/>
        <v/>
      </c>
      <c r="R1503" s="13" t="str">
        <f t="shared" si="208"/>
        <v/>
      </c>
      <c r="S1503" s="13" t="str">
        <f t="shared" si="204"/>
        <v/>
      </c>
      <c r="T1503" s="22" t="str">
        <f>IF(R1503&lt;&gt;"",VLOOKUP(P1503,Constants!$D$3:$E$10,2),"")</f>
        <v/>
      </c>
    </row>
    <row r="1504" spans="12:20" x14ac:dyDescent="0.25">
      <c r="L1504" s="10" t="str">
        <f t="shared" si="201"/>
        <v/>
      </c>
      <c r="M1504" s="10" t="str">
        <f t="shared" si="202"/>
        <v/>
      </c>
      <c r="N1504" s="11" t="str">
        <f t="shared" si="205"/>
        <v/>
      </c>
      <c r="O1504" s="10" t="str">
        <f t="shared" si="206"/>
        <v/>
      </c>
      <c r="P1504" s="39" t="str">
        <f t="shared" si="207"/>
        <v/>
      </c>
      <c r="Q1504" s="13" t="str">
        <f t="shared" si="203"/>
        <v/>
      </c>
      <c r="R1504" s="13" t="str">
        <f t="shared" si="208"/>
        <v/>
      </c>
      <c r="S1504" s="13" t="str">
        <f t="shared" si="204"/>
        <v/>
      </c>
      <c r="T1504" s="22" t="str">
        <f>IF(R1504&lt;&gt;"",VLOOKUP(P1504,Constants!$D$3:$E$10,2),"")</f>
        <v/>
      </c>
    </row>
    <row r="1505" spans="12:20" x14ac:dyDescent="0.25">
      <c r="L1505" s="10" t="str">
        <f t="shared" si="201"/>
        <v/>
      </c>
      <c r="M1505" s="10" t="str">
        <f t="shared" si="202"/>
        <v/>
      </c>
      <c r="N1505" s="11" t="str">
        <f t="shared" si="205"/>
        <v/>
      </c>
      <c r="O1505" s="10" t="str">
        <f t="shared" si="206"/>
        <v/>
      </c>
      <c r="P1505" s="39" t="str">
        <f t="shared" si="207"/>
        <v/>
      </c>
      <c r="Q1505" s="13" t="str">
        <f t="shared" si="203"/>
        <v/>
      </c>
      <c r="R1505" s="13" t="str">
        <f t="shared" si="208"/>
        <v/>
      </c>
      <c r="S1505" s="13" t="str">
        <f t="shared" si="204"/>
        <v/>
      </c>
      <c r="T1505" s="22" t="str">
        <f>IF(R1505&lt;&gt;"",VLOOKUP(P1505,Constants!$D$3:$E$10,2),"")</f>
        <v/>
      </c>
    </row>
    <row r="1506" spans="12:20" x14ac:dyDescent="0.25">
      <c r="L1506" s="10" t="str">
        <f t="shared" si="201"/>
        <v/>
      </c>
      <c r="M1506" s="10" t="str">
        <f t="shared" si="202"/>
        <v/>
      </c>
      <c r="N1506" s="11" t="str">
        <f t="shared" si="205"/>
        <v/>
      </c>
      <c r="O1506" s="10" t="str">
        <f t="shared" si="206"/>
        <v/>
      </c>
      <c r="P1506" s="39" t="str">
        <f t="shared" si="207"/>
        <v/>
      </c>
      <c r="Q1506" s="13" t="str">
        <f t="shared" si="203"/>
        <v/>
      </c>
      <c r="R1506" s="13" t="str">
        <f t="shared" si="208"/>
        <v/>
      </c>
      <c r="S1506" s="13" t="str">
        <f t="shared" si="204"/>
        <v/>
      </c>
      <c r="T1506" s="22" t="str">
        <f>IF(R1506&lt;&gt;"",VLOOKUP(P1506,Constants!$D$3:$E$10,2),"")</f>
        <v/>
      </c>
    </row>
    <row r="1507" spans="12:20" x14ac:dyDescent="0.25">
      <c r="L1507" s="10" t="str">
        <f t="shared" si="201"/>
        <v/>
      </c>
      <c r="M1507" s="10" t="str">
        <f t="shared" si="202"/>
        <v/>
      </c>
      <c r="N1507" s="11" t="str">
        <f t="shared" si="205"/>
        <v/>
      </c>
      <c r="O1507" s="10" t="str">
        <f t="shared" si="206"/>
        <v/>
      </c>
      <c r="P1507" s="39" t="str">
        <f t="shared" si="207"/>
        <v/>
      </c>
      <c r="Q1507" s="13" t="str">
        <f t="shared" si="203"/>
        <v/>
      </c>
      <c r="R1507" s="13" t="str">
        <f t="shared" si="208"/>
        <v/>
      </c>
      <c r="S1507" s="13" t="str">
        <f t="shared" si="204"/>
        <v/>
      </c>
      <c r="T1507" s="22" t="str">
        <f>IF(R1507&lt;&gt;"",VLOOKUP(P1507,Constants!$D$3:$E$10,2),"")</f>
        <v/>
      </c>
    </row>
    <row r="1508" spans="12:20" x14ac:dyDescent="0.25">
      <c r="L1508" s="10" t="str">
        <f t="shared" si="201"/>
        <v/>
      </c>
      <c r="M1508" s="10" t="str">
        <f t="shared" si="202"/>
        <v/>
      </c>
      <c r="N1508" s="11" t="str">
        <f t="shared" si="205"/>
        <v/>
      </c>
      <c r="O1508" s="10" t="str">
        <f t="shared" si="206"/>
        <v/>
      </c>
      <c r="P1508" s="39" t="str">
        <f t="shared" si="207"/>
        <v/>
      </c>
      <c r="Q1508" s="13" t="str">
        <f t="shared" si="203"/>
        <v/>
      </c>
      <c r="R1508" s="13" t="str">
        <f t="shared" si="208"/>
        <v/>
      </c>
      <c r="S1508" s="13" t="str">
        <f t="shared" si="204"/>
        <v/>
      </c>
      <c r="T1508" s="22" t="str">
        <f>IF(R1508&lt;&gt;"",VLOOKUP(P1508,Constants!$D$3:$E$10,2),"")</f>
        <v/>
      </c>
    </row>
    <row r="1509" spans="12:20" x14ac:dyDescent="0.25">
      <c r="L1509" s="10" t="str">
        <f t="shared" si="201"/>
        <v/>
      </c>
      <c r="M1509" s="10" t="str">
        <f t="shared" si="202"/>
        <v/>
      </c>
      <c r="N1509" s="11" t="str">
        <f t="shared" si="205"/>
        <v/>
      </c>
      <c r="O1509" s="10" t="str">
        <f t="shared" si="206"/>
        <v/>
      </c>
      <c r="P1509" s="39" t="str">
        <f t="shared" si="207"/>
        <v/>
      </c>
      <c r="Q1509" s="13" t="str">
        <f t="shared" si="203"/>
        <v/>
      </c>
      <c r="R1509" s="13" t="str">
        <f t="shared" si="208"/>
        <v/>
      </c>
      <c r="S1509" s="13" t="str">
        <f t="shared" si="204"/>
        <v/>
      </c>
      <c r="T1509" s="22" t="str">
        <f>IF(R1509&lt;&gt;"",VLOOKUP(P1509,Constants!$D$3:$E$10,2),"")</f>
        <v/>
      </c>
    </row>
    <row r="1510" spans="12:20" x14ac:dyDescent="0.25">
      <c r="L1510" s="10" t="str">
        <f t="shared" si="201"/>
        <v/>
      </c>
      <c r="M1510" s="10" t="str">
        <f t="shared" si="202"/>
        <v/>
      </c>
      <c r="N1510" s="11" t="str">
        <f t="shared" si="205"/>
        <v/>
      </c>
      <c r="O1510" s="10" t="str">
        <f t="shared" si="206"/>
        <v/>
      </c>
      <c r="P1510" s="39" t="str">
        <f t="shared" si="207"/>
        <v/>
      </c>
      <c r="Q1510" s="13" t="str">
        <f t="shared" si="203"/>
        <v/>
      </c>
      <c r="R1510" s="13" t="str">
        <f t="shared" si="208"/>
        <v/>
      </c>
      <c r="S1510" s="13" t="str">
        <f t="shared" si="204"/>
        <v/>
      </c>
      <c r="T1510" s="22" t="str">
        <f>IF(R1510&lt;&gt;"",VLOOKUP(P1510,Constants!$D$3:$E$10,2),"")</f>
        <v/>
      </c>
    </row>
    <row r="1511" spans="12:20" x14ac:dyDescent="0.25">
      <c r="L1511" s="10" t="str">
        <f t="shared" si="201"/>
        <v/>
      </c>
      <c r="M1511" s="10" t="str">
        <f t="shared" si="202"/>
        <v/>
      </c>
      <c r="N1511" s="11" t="str">
        <f t="shared" si="205"/>
        <v/>
      </c>
      <c r="O1511" s="10" t="str">
        <f t="shared" si="206"/>
        <v/>
      </c>
      <c r="P1511" s="39" t="str">
        <f t="shared" si="207"/>
        <v/>
      </c>
      <c r="Q1511" s="13" t="str">
        <f t="shared" si="203"/>
        <v/>
      </c>
      <c r="R1511" s="13" t="str">
        <f t="shared" si="208"/>
        <v/>
      </c>
      <c r="S1511" s="13" t="str">
        <f t="shared" si="204"/>
        <v/>
      </c>
      <c r="T1511" s="22" t="str">
        <f>IF(R1511&lt;&gt;"",VLOOKUP(P1511,Constants!$D$3:$E$10,2),"")</f>
        <v/>
      </c>
    </row>
    <row r="1512" spans="12:20" x14ac:dyDescent="0.25">
      <c r="L1512" s="10" t="str">
        <f t="shared" si="201"/>
        <v/>
      </c>
      <c r="M1512" s="10" t="str">
        <f t="shared" si="202"/>
        <v/>
      </c>
      <c r="N1512" s="11" t="str">
        <f t="shared" si="205"/>
        <v/>
      </c>
      <c r="O1512" s="10" t="str">
        <f t="shared" si="206"/>
        <v/>
      </c>
      <c r="P1512" s="39" t="str">
        <f t="shared" si="207"/>
        <v/>
      </c>
      <c r="Q1512" s="13" t="str">
        <f t="shared" si="203"/>
        <v/>
      </c>
      <c r="R1512" s="13" t="str">
        <f t="shared" si="208"/>
        <v/>
      </c>
      <c r="S1512" s="13" t="str">
        <f t="shared" si="204"/>
        <v/>
      </c>
      <c r="T1512" s="22" t="str">
        <f>IF(R1512&lt;&gt;"",VLOOKUP(P1512,Constants!$D$3:$E$10,2),"")</f>
        <v/>
      </c>
    </row>
    <row r="1513" spans="12:20" x14ac:dyDescent="0.25">
      <c r="L1513" s="10" t="str">
        <f t="shared" si="201"/>
        <v/>
      </c>
      <c r="M1513" s="10" t="str">
        <f t="shared" si="202"/>
        <v/>
      </c>
      <c r="N1513" s="11" t="str">
        <f t="shared" si="205"/>
        <v/>
      </c>
      <c r="O1513" s="10" t="str">
        <f t="shared" si="206"/>
        <v/>
      </c>
      <c r="P1513" s="39" t="str">
        <f t="shared" si="207"/>
        <v/>
      </c>
      <c r="Q1513" s="13" t="str">
        <f t="shared" si="203"/>
        <v/>
      </c>
      <c r="R1513" s="13" t="str">
        <f t="shared" si="208"/>
        <v/>
      </c>
      <c r="S1513" s="13" t="str">
        <f t="shared" si="204"/>
        <v/>
      </c>
      <c r="T1513" s="22" t="str">
        <f>IF(R1513&lt;&gt;"",VLOOKUP(P1513,Constants!$D$3:$E$10,2),"")</f>
        <v/>
      </c>
    </row>
    <row r="1514" spans="12:20" x14ac:dyDescent="0.25">
      <c r="L1514" s="10" t="str">
        <f t="shared" si="201"/>
        <v/>
      </c>
      <c r="M1514" s="10" t="str">
        <f t="shared" si="202"/>
        <v/>
      </c>
      <c r="N1514" s="11" t="str">
        <f t="shared" si="205"/>
        <v/>
      </c>
      <c r="O1514" s="10" t="str">
        <f t="shared" si="206"/>
        <v/>
      </c>
      <c r="P1514" s="39" t="str">
        <f t="shared" si="207"/>
        <v/>
      </c>
      <c r="Q1514" s="13" t="str">
        <f t="shared" si="203"/>
        <v/>
      </c>
      <c r="R1514" s="13" t="str">
        <f t="shared" si="208"/>
        <v/>
      </c>
      <c r="S1514" s="13" t="str">
        <f t="shared" si="204"/>
        <v/>
      </c>
      <c r="T1514" s="22" t="str">
        <f>IF(R1514&lt;&gt;"",VLOOKUP(P1514,Constants!$D$3:$E$10,2),"")</f>
        <v/>
      </c>
    </row>
    <row r="1515" spans="12:20" x14ac:dyDescent="0.25">
      <c r="L1515" s="10" t="str">
        <f t="shared" si="201"/>
        <v/>
      </c>
      <c r="M1515" s="10" t="str">
        <f t="shared" si="202"/>
        <v/>
      </c>
      <c r="N1515" s="11" t="str">
        <f t="shared" si="205"/>
        <v/>
      </c>
      <c r="O1515" s="10" t="str">
        <f t="shared" si="206"/>
        <v/>
      </c>
      <c r="P1515" s="39" t="str">
        <f t="shared" si="207"/>
        <v/>
      </c>
      <c r="Q1515" s="13" t="str">
        <f t="shared" si="203"/>
        <v/>
      </c>
      <c r="R1515" s="13" t="str">
        <f t="shared" si="208"/>
        <v/>
      </c>
      <c r="S1515" s="13" t="str">
        <f t="shared" si="204"/>
        <v/>
      </c>
      <c r="T1515" s="22" t="str">
        <f>IF(R1515&lt;&gt;"",VLOOKUP(P1515,Constants!$D$3:$E$10,2),"")</f>
        <v/>
      </c>
    </row>
    <row r="1516" spans="12:20" x14ac:dyDescent="0.25">
      <c r="L1516" s="10" t="str">
        <f t="shared" si="201"/>
        <v/>
      </c>
      <c r="M1516" s="10" t="str">
        <f t="shared" si="202"/>
        <v/>
      </c>
      <c r="N1516" s="11" t="str">
        <f t="shared" si="205"/>
        <v/>
      </c>
      <c r="O1516" s="10" t="str">
        <f t="shared" si="206"/>
        <v/>
      </c>
      <c r="P1516" s="39" t="str">
        <f t="shared" si="207"/>
        <v/>
      </c>
      <c r="Q1516" s="13" t="str">
        <f t="shared" si="203"/>
        <v/>
      </c>
      <c r="R1516" s="13" t="str">
        <f t="shared" si="208"/>
        <v/>
      </c>
      <c r="S1516" s="13" t="str">
        <f t="shared" si="204"/>
        <v/>
      </c>
      <c r="T1516" s="22" t="str">
        <f>IF(R1516&lt;&gt;"",VLOOKUP(P1516,Constants!$D$3:$E$10,2),"")</f>
        <v/>
      </c>
    </row>
    <row r="1517" spans="12:20" x14ac:dyDescent="0.25">
      <c r="L1517" s="10" t="str">
        <f t="shared" si="201"/>
        <v/>
      </c>
      <c r="M1517" s="10" t="str">
        <f t="shared" si="202"/>
        <v/>
      </c>
      <c r="N1517" s="11" t="str">
        <f t="shared" si="205"/>
        <v/>
      </c>
      <c r="O1517" s="10" t="str">
        <f t="shared" si="206"/>
        <v/>
      </c>
      <c r="P1517" s="39" t="str">
        <f t="shared" si="207"/>
        <v/>
      </c>
      <c r="Q1517" s="13" t="str">
        <f t="shared" si="203"/>
        <v/>
      </c>
      <c r="R1517" s="13" t="str">
        <f t="shared" si="208"/>
        <v/>
      </c>
      <c r="S1517" s="13" t="str">
        <f t="shared" si="204"/>
        <v/>
      </c>
      <c r="T1517" s="22" t="str">
        <f>IF(R1517&lt;&gt;"",VLOOKUP(P1517,Constants!$D$3:$E$10,2),"")</f>
        <v/>
      </c>
    </row>
    <row r="1518" spans="12:20" x14ac:dyDescent="0.25">
      <c r="L1518" s="10" t="str">
        <f t="shared" si="201"/>
        <v/>
      </c>
      <c r="M1518" s="10" t="str">
        <f t="shared" si="202"/>
        <v/>
      </c>
      <c r="N1518" s="11" t="str">
        <f t="shared" si="205"/>
        <v/>
      </c>
      <c r="O1518" s="10" t="str">
        <f t="shared" si="206"/>
        <v/>
      </c>
      <c r="P1518" s="39" t="str">
        <f t="shared" si="207"/>
        <v/>
      </c>
      <c r="Q1518" s="13" t="str">
        <f t="shared" si="203"/>
        <v/>
      </c>
      <c r="R1518" s="13" t="str">
        <f t="shared" si="208"/>
        <v/>
      </c>
      <c r="S1518" s="13" t="str">
        <f t="shared" si="204"/>
        <v/>
      </c>
      <c r="T1518" s="22" t="str">
        <f>IF(R1518&lt;&gt;"",VLOOKUP(P1518,Constants!$D$3:$E$10,2),"")</f>
        <v/>
      </c>
    </row>
    <row r="1519" spans="12:20" x14ac:dyDescent="0.25">
      <c r="L1519" s="10" t="str">
        <f t="shared" si="201"/>
        <v/>
      </c>
      <c r="M1519" s="10" t="str">
        <f t="shared" si="202"/>
        <v/>
      </c>
      <c r="N1519" s="11" t="str">
        <f t="shared" si="205"/>
        <v/>
      </c>
      <c r="O1519" s="10" t="str">
        <f t="shared" si="206"/>
        <v/>
      </c>
      <c r="P1519" s="39" t="str">
        <f t="shared" si="207"/>
        <v/>
      </c>
      <c r="Q1519" s="13" t="str">
        <f t="shared" si="203"/>
        <v/>
      </c>
      <c r="R1519" s="13" t="str">
        <f t="shared" si="208"/>
        <v/>
      </c>
      <c r="S1519" s="13" t="str">
        <f t="shared" si="204"/>
        <v/>
      </c>
      <c r="T1519" s="22" t="str">
        <f>IF(R1519&lt;&gt;"",VLOOKUP(P1519,Constants!$D$3:$E$10,2),"")</f>
        <v/>
      </c>
    </row>
    <row r="1520" spans="12:20" x14ac:dyDescent="0.25">
      <c r="L1520" s="10" t="str">
        <f t="shared" si="201"/>
        <v/>
      </c>
      <c r="M1520" s="10" t="str">
        <f t="shared" si="202"/>
        <v/>
      </c>
      <c r="N1520" s="11" t="str">
        <f t="shared" si="205"/>
        <v/>
      </c>
      <c r="O1520" s="10" t="str">
        <f t="shared" si="206"/>
        <v/>
      </c>
      <c r="P1520" s="39" t="str">
        <f t="shared" si="207"/>
        <v/>
      </c>
      <c r="Q1520" s="13" t="str">
        <f t="shared" si="203"/>
        <v/>
      </c>
      <c r="R1520" s="13" t="str">
        <f t="shared" si="208"/>
        <v/>
      </c>
      <c r="S1520" s="13" t="str">
        <f t="shared" si="204"/>
        <v/>
      </c>
      <c r="T1520" s="22" t="str">
        <f>IF(R1520&lt;&gt;"",VLOOKUP(P1520,Constants!$D$3:$E$10,2),"")</f>
        <v/>
      </c>
    </row>
    <row r="1521" spans="12:20" x14ac:dyDescent="0.25">
      <c r="L1521" s="10" t="str">
        <f t="shared" si="201"/>
        <v/>
      </c>
      <c r="M1521" s="10" t="str">
        <f t="shared" si="202"/>
        <v/>
      </c>
      <c r="N1521" s="11" t="str">
        <f t="shared" si="205"/>
        <v/>
      </c>
      <c r="O1521" s="10" t="str">
        <f t="shared" si="206"/>
        <v/>
      </c>
      <c r="P1521" s="39" t="str">
        <f t="shared" si="207"/>
        <v/>
      </c>
      <c r="Q1521" s="13" t="str">
        <f t="shared" si="203"/>
        <v/>
      </c>
      <c r="R1521" s="13" t="str">
        <f t="shared" si="208"/>
        <v/>
      </c>
      <c r="S1521" s="13" t="str">
        <f t="shared" si="204"/>
        <v/>
      </c>
      <c r="T1521" s="22" t="str">
        <f>IF(R1521&lt;&gt;"",VLOOKUP(P1521,Constants!$D$3:$E$10,2),"")</f>
        <v/>
      </c>
    </row>
    <row r="1522" spans="12:20" x14ac:dyDescent="0.25">
      <c r="L1522" s="10" t="str">
        <f t="shared" si="201"/>
        <v/>
      </c>
      <c r="M1522" s="10" t="str">
        <f t="shared" si="202"/>
        <v/>
      </c>
      <c r="N1522" s="11" t="str">
        <f t="shared" si="205"/>
        <v/>
      </c>
      <c r="O1522" s="10" t="str">
        <f t="shared" si="206"/>
        <v/>
      </c>
      <c r="P1522" s="39" t="str">
        <f t="shared" si="207"/>
        <v/>
      </c>
      <c r="Q1522" s="13" t="str">
        <f t="shared" si="203"/>
        <v/>
      </c>
      <c r="R1522" s="13" t="str">
        <f t="shared" si="208"/>
        <v/>
      </c>
      <c r="S1522" s="13" t="str">
        <f t="shared" si="204"/>
        <v/>
      </c>
      <c r="T1522" s="22" t="str">
        <f>IF(R1522&lt;&gt;"",VLOOKUP(P1522,Constants!$D$3:$E$10,2),"")</f>
        <v/>
      </c>
    </row>
    <row r="1523" spans="12:20" x14ac:dyDescent="0.25">
      <c r="L1523" s="10" t="str">
        <f t="shared" si="201"/>
        <v/>
      </c>
      <c r="M1523" s="10" t="str">
        <f t="shared" si="202"/>
        <v/>
      </c>
      <c r="N1523" s="11" t="str">
        <f t="shared" si="205"/>
        <v/>
      </c>
      <c r="O1523" s="10" t="str">
        <f t="shared" si="206"/>
        <v/>
      </c>
      <c r="P1523" s="39" t="str">
        <f t="shared" si="207"/>
        <v/>
      </c>
      <c r="Q1523" s="13" t="str">
        <f t="shared" si="203"/>
        <v/>
      </c>
      <c r="R1523" s="13" t="str">
        <f t="shared" si="208"/>
        <v/>
      </c>
      <c r="S1523" s="13" t="str">
        <f t="shared" si="204"/>
        <v/>
      </c>
      <c r="T1523" s="22" t="str">
        <f>IF(R1523&lt;&gt;"",VLOOKUP(P1523,Constants!$D$3:$E$10,2),"")</f>
        <v/>
      </c>
    </row>
    <row r="1524" spans="12:20" x14ac:dyDescent="0.25">
      <c r="L1524" s="10" t="str">
        <f t="shared" si="201"/>
        <v/>
      </c>
      <c r="M1524" s="10" t="str">
        <f t="shared" si="202"/>
        <v/>
      </c>
      <c r="N1524" s="11" t="str">
        <f t="shared" si="205"/>
        <v/>
      </c>
      <c r="O1524" s="10" t="str">
        <f t="shared" si="206"/>
        <v/>
      </c>
      <c r="P1524" s="39" t="str">
        <f t="shared" si="207"/>
        <v/>
      </c>
      <c r="Q1524" s="13" t="str">
        <f t="shared" si="203"/>
        <v/>
      </c>
      <c r="R1524" s="13" t="str">
        <f t="shared" si="208"/>
        <v/>
      </c>
      <c r="S1524" s="13" t="str">
        <f t="shared" si="204"/>
        <v/>
      </c>
      <c r="T1524" s="22" t="str">
        <f>IF(R1524&lt;&gt;"",VLOOKUP(P1524,Constants!$D$3:$E$10,2),"")</f>
        <v/>
      </c>
    </row>
    <row r="1525" spans="12:20" x14ac:dyDescent="0.25">
      <c r="L1525" s="10" t="str">
        <f t="shared" si="201"/>
        <v/>
      </c>
      <c r="M1525" s="10" t="str">
        <f t="shared" si="202"/>
        <v/>
      </c>
      <c r="N1525" s="11" t="str">
        <f t="shared" si="205"/>
        <v/>
      </c>
      <c r="O1525" s="10" t="str">
        <f t="shared" si="206"/>
        <v/>
      </c>
      <c r="P1525" s="39" t="str">
        <f t="shared" si="207"/>
        <v/>
      </c>
      <c r="Q1525" s="13" t="str">
        <f t="shared" si="203"/>
        <v/>
      </c>
      <c r="R1525" s="13" t="str">
        <f t="shared" si="208"/>
        <v/>
      </c>
      <c r="S1525" s="13" t="str">
        <f t="shared" si="204"/>
        <v/>
      </c>
      <c r="T1525" s="22" t="str">
        <f>IF(R1525&lt;&gt;"",VLOOKUP(P1525,Constants!$D$3:$E$10,2),"")</f>
        <v/>
      </c>
    </row>
    <row r="1526" spans="12:20" x14ac:dyDescent="0.25">
      <c r="L1526" s="10" t="str">
        <f t="shared" si="201"/>
        <v/>
      </c>
      <c r="M1526" s="10" t="str">
        <f t="shared" si="202"/>
        <v/>
      </c>
      <c r="N1526" s="11" t="str">
        <f t="shared" si="205"/>
        <v/>
      </c>
      <c r="O1526" s="10" t="str">
        <f t="shared" si="206"/>
        <v/>
      </c>
      <c r="P1526" s="39" t="str">
        <f t="shared" si="207"/>
        <v/>
      </c>
      <c r="Q1526" s="13" t="str">
        <f t="shared" si="203"/>
        <v/>
      </c>
      <c r="R1526" s="13" t="str">
        <f t="shared" si="208"/>
        <v/>
      </c>
      <c r="S1526" s="13" t="str">
        <f t="shared" si="204"/>
        <v/>
      </c>
      <c r="T1526" s="22" t="str">
        <f>IF(R1526&lt;&gt;"",VLOOKUP(P1526,Constants!$D$3:$E$10,2),"")</f>
        <v/>
      </c>
    </row>
    <row r="1527" spans="12:20" x14ac:dyDescent="0.25">
      <c r="L1527" s="10" t="str">
        <f t="shared" si="201"/>
        <v/>
      </c>
      <c r="M1527" s="10" t="str">
        <f t="shared" si="202"/>
        <v/>
      </c>
      <c r="N1527" s="11" t="str">
        <f t="shared" si="205"/>
        <v/>
      </c>
      <c r="O1527" s="10" t="str">
        <f t="shared" si="206"/>
        <v/>
      </c>
      <c r="P1527" s="39" t="str">
        <f t="shared" si="207"/>
        <v/>
      </c>
      <c r="Q1527" s="13" t="str">
        <f t="shared" si="203"/>
        <v/>
      </c>
      <c r="R1527" s="13" t="str">
        <f t="shared" si="208"/>
        <v/>
      </c>
      <c r="S1527" s="13" t="str">
        <f t="shared" si="204"/>
        <v/>
      </c>
      <c r="T1527" s="22" t="str">
        <f>IF(R1527&lt;&gt;"",VLOOKUP(P1527,Constants!$D$3:$E$10,2),"")</f>
        <v/>
      </c>
    </row>
    <row r="1528" spans="12:20" x14ac:dyDescent="0.25">
      <c r="L1528" s="10" t="str">
        <f t="shared" si="201"/>
        <v/>
      </c>
      <c r="M1528" s="10" t="str">
        <f t="shared" si="202"/>
        <v/>
      </c>
      <c r="N1528" s="11" t="str">
        <f t="shared" si="205"/>
        <v/>
      </c>
      <c r="O1528" s="10" t="str">
        <f t="shared" si="206"/>
        <v/>
      </c>
      <c r="P1528" s="39" t="str">
        <f t="shared" si="207"/>
        <v/>
      </c>
      <c r="Q1528" s="13" t="str">
        <f t="shared" si="203"/>
        <v/>
      </c>
      <c r="R1528" s="13" t="str">
        <f t="shared" si="208"/>
        <v/>
      </c>
      <c r="S1528" s="13" t="str">
        <f t="shared" si="204"/>
        <v/>
      </c>
      <c r="T1528" s="22" t="str">
        <f>IF(R1528&lt;&gt;"",VLOOKUP(P1528,Constants!$D$3:$E$10,2),"")</f>
        <v/>
      </c>
    </row>
    <row r="1529" spans="12:20" x14ac:dyDescent="0.25">
      <c r="L1529" s="10" t="str">
        <f t="shared" si="201"/>
        <v/>
      </c>
      <c r="M1529" s="10" t="str">
        <f t="shared" si="202"/>
        <v/>
      </c>
      <c r="N1529" s="11" t="str">
        <f t="shared" si="205"/>
        <v/>
      </c>
      <c r="O1529" s="10" t="str">
        <f t="shared" si="206"/>
        <v/>
      </c>
      <c r="P1529" s="39" t="str">
        <f t="shared" si="207"/>
        <v/>
      </c>
      <c r="Q1529" s="13" t="str">
        <f t="shared" si="203"/>
        <v/>
      </c>
      <c r="R1529" s="13" t="str">
        <f t="shared" si="208"/>
        <v/>
      </c>
      <c r="S1529" s="13" t="str">
        <f t="shared" si="204"/>
        <v/>
      </c>
      <c r="T1529" s="22" t="str">
        <f>IF(R1529&lt;&gt;"",VLOOKUP(P1529,Constants!$D$3:$E$10,2),"")</f>
        <v/>
      </c>
    </row>
    <row r="1530" spans="12:20" x14ac:dyDescent="0.25">
      <c r="L1530" s="10" t="str">
        <f t="shared" si="201"/>
        <v/>
      </c>
      <c r="M1530" s="10" t="str">
        <f t="shared" si="202"/>
        <v/>
      </c>
      <c r="N1530" s="11" t="str">
        <f t="shared" si="205"/>
        <v/>
      </c>
      <c r="O1530" s="10" t="str">
        <f t="shared" si="206"/>
        <v/>
      </c>
      <c r="P1530" s="39" t="str">
        <f t="shared" si="207"/>
        <v/>
      </c>
      <c r="Q1530" s="13" t="str">
        <f t="shared" si="203"/>
        <v/>
      </c>
      <c r="R1530" s="13" t="str">
        <f t="shared" si="208"/>
        <v/>
      </c>
      <c r="S1530" s="13" t="str">
        <f t="shared" si="204"/>
        <v/>
      </c>
      <c r="T1530" s="22" t="str">
        <f>IF(R1530&lt;&gt;"",VLOOKUP(P1530,Constants!$D$3:$E$10,2),"")</f>
        <v/>
      </c>
    </row>
    <row r="1531" spans="12:20" x14ac:dyDescent="0.25">
      <c r="L1531" s="10" t="str">
        <f t="shared" si="201"/>
        <v/>
      </c>
      <c r="M1531" s="10" t="str">
        <f t="shared" si="202"/>
        <v/>
      </c>
      <c r="N1531" s="11" t="str">
        <f t="shared" si="205"/>
        <v/>
      </c>
      <c r="O1531" s="10" t="str">
        <f t="shared" si="206"/>
        <v/>
      </c>
      <c r="P1531" s="39" t="str">
        <f t="shared" si="207"/>
        <v/>
      </c>
      <c r="Q1531" s="13" t="str">
        <f t="shared" si="203"/>
        <v/>
      </c>
      <c r="R1531" s="13" t="str">
        <f t="shared" si="208"/>
        <v/>
      </c>
      <c r="S1531" s="13" t="str">
        <f t="shared" si="204"/>
        <v/>
      </c>
      <c r="T1531" s="22" t="str">
        <f>IF(R1531&lt;&gt;"",VLOOKUP(P1531,Constants!$D$3:$E$10,2),"")</f>
        <v/>
      </c>
    </row>
    <row r="1532" spans="12:20" x14ac:dyDescent="0.25">
      <c r="L1532" s="10" t="str">
        <f t="shared" si="201"/>
        <v/>
      </c>
      <c r="M1532" s="10" t="str">
        <f t="shared" si="202"/>
        <v/>
      </c>
      <c r="N1532" s="11" t="str">
        <f t="shared" si="205"/>
        <v/>
      </c>
      <c r="O1532" s="10" t="str">
        <f t="shared" si="206"/>
        <v/>
      </c>
      <c r="P1532" s="39" t="str">
        <f t="shared" si="207"/>
        <v/>
      </c>
      <c r="Q1532" s="13" t="str">
        <f t="shared" si="203"/>
        <v/>
      </c>
      <c r="R1532" s="13" t="str">
        <f t="shared" si="208"/>
        <v/>
      </c>
      <c r="S1532" s="13" t="str">
        <f t="shared" si="204"/>
        <v/>
      </c>
      <c r="T1532" s="22" t="str">
        <f>IF(R1532&lt;&gt;"",VLOOKUP(P1532,Constants!$D$3:$E$10,2),"")</f>
        <v/>
      </c>
    </row>
    <row r="1533" spans="12:20" x14ac:dyDescent="0.25">
      <c r="L1533" s="10" t="str">
        <f t="shared" si="201"/>
        <v/>
      </c>
      <c r="M1533" s="10" t="str">
        <f t="shared" si="202"/>
        <v/>
      </c>
      <c r="N1533" s="11" t="str">
        <f t="shared" si="205"/>
        <v/>
      </c>
      <c r="O1533" s="10" t="str">
        <f t="shared" si="206"/>
        <v/>
      </c>
      <c r="P1533" s="39" t="str">
        <f t="shared" si="207"/>
        <v/>
      </c>
      <c r="Q1533" s="13" t="str">
        <f t="shared" si="203"/>
        <v/>
      </c>
      <c r="R1533" s="13" t="str">
        <f t="shared" si="208"/>
        <v/>
      </c>
      <c r="S1533" s="13" t="str">
        <f t="shared" si="204"/>
        <v/>
      </c>
      <c r="T1533" s="22" t="str">
        <f>IF(R1533&lt;&gt;"",VLOOKUP(P1533,Constants!$D$3:$E$10,2),"")</f>
        <v/>
      </c>
    </row>
    <row r="1534" spans="12:20" x14ac:dyDescent="0.25">
      <c r="L1534" s="10" t="str">
        <f t="shared" si="201"/>
        <v/>
      </c>
      <c r="M1534" s="10" t="str">
        <f t="shared" si="202"/>
        <v/>
      </c>
      <c r="N1534" s="11" t="str">
        <f t="shared" si="205"/>
        <v/>
      </c>
      <c r="O1534" s="10" t="str">
        <f t="shared" si="206"/>
        <v/>
      </c>
      <c r="P1534" s="39" t="str">
        <f t="shared" si="207"/>
        <v/>
      </c>
      <c r="Q1534" s="13" t="str">
        <f t="shared" si="203"/>
        <v/>
      </c>
      <c r="R1534" s="13" t="str">
        <f t="shared" si="208"/>
        <v/>
      </c>
      <c r="S1534" s="13" t="str">
        <f t="shared" si="204"/>
        <v/>
      </c>
      <c r="T1534" s="22" t="str">
        <f>IF(R1534&lt;&gt;"",VLOOKUP(P1534,Constants!$D$3:$E$10,2),"")</f>
        <v/>
      </c>
    </row>
    <row r="1535" spans="12:20" x14ac:dyDescent="0.25">
      <c r="L1535" s="10" t="str">
        <f t="shared" si="201"/>
        <v/>
      </c>
      <c r="M1535" s="10" t="str">
        <f t="shared" si="202"/>
        <v/>
      </c>
      <c r="N1535" s="11" t="str">
        <f t="shared" si="205"/>
        <v/>
      </c>
      <c r="O1535" s="10" t="str">
        <f t="shared" si="206"/>
        <v/>
      </c>
      <c r="P1535" s="39" t="str">
        <f t="shared" si="207"/>
        <v/>
      </c>
      <c r="Q1535" s="13" t="str">
        <f t="shared" si="203"/>
        <v/>
      </c>
      <c r="R1535" s="13" t="str">
        <f t="shared" si="208"/>
        <v/>
      </c>
      <c r="S1535" s="13" t="str">
        <f t="shared" si="204"/>
        <v/>
      </c>
      <c r="T1535" s="22" t="str">
        <f>IF(R1535&lt;&gt;"",VLOOKUP(P1535,Constants!$D$3:$E$10,2),"")</f>
        <v/>
      </c>
    </row>
    <row r="1536" spans="12:20" x14ac:dyDescent="0.25">
      <c r="L1536" s="10" t="str">
        <f t="shared" si="201"/>
        <v/>
      </c>
      <c r="M1536" s="10" t="str">
        <f t="shared" si="202"/>
        <v/>
      </c>
      <c r="N1536" s="11" t="str">
        <f t="shared" si="205"/>
        <v/>
      </c>
      <c r="O1536" s="10" t="str">
        <f t="shared" si="206"/>
        <v/>
      </c>
      <c r="P1536" s="39" t="str">
        <f t="shared" si="207"/>
        <v/>
      </c>
      <c r="Q1536" s="13" t="str">
        <f t="shared" si="203"/>
        <v/>
      </c>
      <c r="R1536" s="13" t="str">
        <f t="shared" si="208"/>
        <v/>
      </c>
      <c r="S1536" s="13" t="str">
        <f t="shared" si="204"/>
        <v/>
      </c>
      <c r="T1536" s="22" t="str">
        <f>IF(R1536&lt;&gt;"",VLOOKUP(P1536,Constants!$D$3:$E$10,2),"")</f>
        <v/>
      </c>
    </row>
    <row r="1537" spans="12:20" x14ac:dyDescent="0.25">
      <c r="L1537" s="10" t="str">
        <f t="shared" si="201"/>
        <v/>
      </c>
      <c r="M1537" s="10" t="str">
        <f t="shared" si="202"/>
        <v/>
      </c>
      <c r="N1537" s="11" t="str">
        <f t="shared" si="205"/>
        <v/>
      </c>
      <c r="O1537" s="10" t="str">
        <f t="shared" si="206"/>
        <v/>
      </c>
      <c r="P1537" s="39" t="str">
        <f t="shared" si="207"/>
        <v/>
      </c>
      <c r="Q1537" s="13" t="str">
        <f t="shared" si="203"/>
        <v/>
      </c>
      <c r="R1537" s="13" t="str">
        <f t="shared" si="208"/>
        <v/>
      </c>
      <c r="S1537" s="13" t="str">
        <f t="shared" si="204"/>
        <v/>
      </c>
      <c r="T1537" s="22" t="str">
        <f>IF(R1537&lt;&gt;"",VLOOKUP(P1537,Constants!$D$3:$E$10,2),"")</f>
        <v/>
      </c>
    </row>
    <row r="1538" spans="12:20" x14ac:dyDescent="0.25">
      <c r="L1538" s="10" t="str">
        <f t="shared" si="201"/>
        <v/>
      </c>
      <c r="M1538" s="10" t="str">
        <f t="shared" si="202"/>
        <v/>
      </c>
      <c r="N1538" s="11" t="str">
        <f t="shared" si="205"/>
        <v/>
      </c>
      <c r="O1538" s="10" t="str">
        <f t="shared" si="206"/>
        <v/>
      </c>
      <c r="P1538" s="39" t="str">
        <f t="shared" si="207"/>
        <v/>
      </c>
      <c r="Q1538" s="13" t="str">
        <f t="shared" si="203"/>
        <v/>
      </c>
      <c r="R1538" s="13" t="str">
        <f t="shared" si="208"/>
        <v/>
      </c>
      <c r="S1538" s="13" t="str">
        <f t="shared" si="204"/>
        <v/>
      </c>
      <c r="T1538" s="22" t="str">
        <f>IF(R1538&lt;&gt;"",VLOOKUP(P1538,Constants!$D$3:$E$10,2),"")</f>
        <v/>
      </c>
    </row>
    <row r="1539" spans="12:20" x14ac:dyDescent="0.25">
      <c r="L1539" s="10" t="str">
        <f t="shared" si="201"/>
        <v/>
      </c>
      <c r="M1539" s="10" t="str">
        <f t="shared" si="202"/>
        <v/>
      </c>
      <c r="N1539" s="11" t="str">
        <f t="shared" si="205"/>
        <v/>
      </c>
      <c r="O1539" s="10" t="str">
        <f t="shared" si="206"/>
        <v/>
      </c>
      <c r="P1539" s="39" t="str">
        <f t="shared" si="207"/>
        <v/>
      </c>
      <c r="Q1539" s="13" t="str">
        <f t="shared" si="203"/>
        <v/>
      </c>
      <c r="R1539" s="13" t="str">
        <f t="shared" si="208"/>
        <v/>
      </c>
      <c r="S1539" s="13" t="str">
        <f t="shared" si="204"/>
        <v/>
      </c>
      <c r="T1539" s="22" t="str">
        <f>IF(R1539&lt;&gt;"",VLOOKUP(P1539,Constants!$D$3:$E$10,2),"")</f>
        <v/>
      </c>
    </row>
    <row r="1540" spans="12:20" x14ac:dyDescent="0.25">
      <c r="L1540" s="10" t="str">
        <f t="shared" si="201"/>
        <v/>
      </c>
      <c r="M1540" s="10" t="str">
        <f t="shared" si="202"/>
        <v/>
      </c>
      <c r="N1540" s="11" t="str">
        <f t="shared" si="205"/>
        <v/>
      </c>
      <c r="O1540" s="10" t="str">
        <f t="shared" si="206"/>
        <v/>
      </c>
      <c r="P1540" s="39" t="str">
        <f t="shared" si="207"/>
        <v/>
      </c>
      <c r="Q1540" s="13" t="str">
        <f t="shared" si="203"/>
        <v/>
      </c>
      <c r="R1540" s="13" t="str">
        <f t="shared" si="208"/>
        <v/>
      </c>
      <c r="S1540" s="13" t="str">
        <f t="shared" si="204"/>
        <v/>
      </c>
      <c r="T1540" s="22" t="str">
        <f>IF(R1540&lt;&gt;"",VLOOKUP(P1540,Constants!$D$3:$E$10,2),"")</f>
        <v/>
      </c>
    </row>
    <row r="1541" spans="12:20" x14ac:dyDescent="0.25">
      <c r="L1541" s="10" t="str">
        <f t="shared" si="201"/>
        <v/>
      </c>
      <c r="M1541" s="10" t="str">
        <f t="shared" si="202"/>
        <v/>
      </c>
      <c r="N1541" s="11" t="str">
        <f t="shared" si="205"/>
        <v/>
      </c>
      <c r="O1541" s="10" t="str">
        <f t="shared" si="206"/>
        <v/>
      </c>
      <c r="P1541" s="39" t="str">
        <f t="shared" si="207"/>
        <v/>
      </c>
      <c r="Q1541" s="13" t="str">
        <f t="shared" si="203"/>
        <v/>
      </c>
      <c r="R1541" s="13" t="str">
        <f t="shared" si="208"/>
        <v/>
      </c>
      <c r="S1541" s="13" t="str">
        <f t="shared" si="204"/>
        <v/>
      </c>
      <c r="T1541" s="22" t="str">
        <f>IF(R1541&lt;&gt;"",VLOOKUP(P1541,Constants!$D$3:$E$10,2),"")</f>
        <v/>
      </c>
    </row>
    <row r="1542" spans="12:20" x14ac:dyDescent="0.25">
      <c r="L1542" s="10" t="str">
        <f t="shared" si="201"/>
        <v/>
      </c>
      <c r="M1542" s="10" t="str">
        <f t="shared" si="202"/>
        <v/>
      </c>
      <c r="N1542" s="11" t="str">
        <f t="shared" si="205"/>
        <v/>
      </c>
      <c r="O1542" s="10" t="str">
        <f t="shared" si="206"/>
        <v/>
      </c>
      <c r="P1542" s="39" t="str">
        <f t="shared" si="207"/>
        <v/>
      </c>
      <c r="Q1542" s="13" t="str">
        <f t="shared" si="203"/>
        <v/>
      </c>
      <c r="R1542" s="13" t="str">
        <f t="shared" si="208"/>
        <v/>
      </c>
      <c r="S1542" s="13" t="str">
        <f t="shared" si="204"/>
        <v/>
      </c>
      <c r="T1542" s="22" t="str">
        <f>IF(R1542&lt;&gt;"",VLOOKUP(P1542,Constants!$D$3:$E$10,2),"")</f>
        <v/>
      </c>
    </row>
    <row r="1543" spans="12:20" x14ac:dyDescent="0.25">
      <c r="L1543" s="10" t="str">
        <f t="shared" si="201"/>
        <v/>
      </c>
      <c r="M1543" s="10" t="str">
        <f t="shared" si="202"/>
        <v/>
      </c>
      <c r="N1543" s="11" t="str">
        <f t="shared" si="205"/>
        <v/>
      </c>
      <c r="O1543" s="10" t="str">
        <f t="shared" si="206"/>
        <v/>
      </c>
      <c r="P1543" s="39" t="str">
        <f t="shared" si="207"/>
        <v/>
      </c>
      <c r="Q1543" s="13" t="str">
        <f t="shared" si="203"/>
        <v/>
      </c>
      <c r="R1543" s="13" t="str">
        <f t="shared" si="208"/>
        <v/>
      </c>
      <c r="S1543" s="13" t="str">
        <f t="shared" si="204"/>
        <v/>
      </c>
      <c r="T1543" s="22" t="str">
        <f>IF(R1543&lt;&gt;"",VLOOKUP(P1543,Constants!$D$3:$E$10,2),"")</f>
        <v/>
      </c>
    </row>
    <row r="1544" spans="12:20" x14ac:dyDescent="0.25">
      <c r="L1544" s="10" t="str">
        <f t="shared" ref="L1544:L1607" si="209">IF($D1544&lt;&gt;"",$D1544*$E1544/1000,"")</f>
        <v/>
      </c>
      <c r="M1544" s="10" t="str">
        <f t="shared" ref="M1544:M1607" si="210">IF($D1544&lt;&gt;"",$D1544*$F1544/1000,"")</f>
        <v/>
      </c>
      <c r="N1544" s="11" t="str">
        <f t="shared" si="205"/>
        <v/>
      </c>
      <c r="O1544" s="10" t="str">
        <f t="shared" si="206"/>
        <v/>
      </c>
      <c r="P1544" s="39" t="str">
        <f t="shared" si="207"/>
        <v/>
      </c>
      <c r="Q1544" s="13" t="str">
        <f t="shared" ref="Q1544:Q1607" si="211">IF(F1544&lt;&gt;"",F1544*E1544/1000,"")</f>
        <v/>
      </c>
      <c r="R1544" s="13" t="str">
        <f t="shared" si="208"/>
        <v/>
      </c>
      <c r="S1544" s="13" t="str">
        <f t="shared" ref="S1544:S1607" si="212">IF(R1544&lt;&gt;"",Q1544/R1544*1000,"")</f>
        <v/>
      </c>
      <c r="T1544" s="22" t="str">
        <f>IF(R1544&lt;&gt;"",VLOOKUP(P1544,Constants!$D$3:$E$10,2),"")</f>
        <v/>
      </c>
    </row>
    <row r="1545" spans="12:20" x14ac:dyDescent="0.25">
      <c r="L1545" s="10" t="str">
        <f t="shared" si="209"/>
        <v/>
      </c>
      <c r="M1545" s="10" t="str">
        <f t="shared" si="210"/>
        <v/>
      </c>
      <c r="N1545" s="11" t="str">
        <f t="shared" si="205"/>
        <v/>
      </c>
      <c r="O1545" s="10" t="str">
        <f t="shared" si="206"/>
        <v/>
      </c>
      <c r="P1545" s="39" t="str">
        <f t="shared" si="207"/>
        <v/>
      </c>
      <c r="Q1545" s="13" t="str">
        <f t="shared" si="211"/>
        <v/>
      </c>
      <c r="R1545" s="13" t="str">
        <f t="shared" si="208"/>
        <v/>
      </c>
      <c r="S1545" s="13" t="str">
        <f t="shared" si="212"/>
        <v/>
      </c>
      <c r="T1545" s="22" t="str">
        <f>IF(R1545&lt;&gt;"",VLOOKUP(P1545,Constants!$D$3:$E$10,2),"")</f>
        <v/>
      </c>
    </row>
    <row r="1546" spans="12:20" x14ac:dyDescent="0.25">
      <c r="L1546" s="10" t="str">
        <f t="shared" si="209"/>
        <v/>
      </c>
      <c r="M1546" s="10" t="str">
        <f t="shared" si="210"/>
        <v/>
      </c>
      <c r="N1546" s="11" t="str">
        <f t="shared" si="205"/>
        <v/>
      </c>
      <c r="O1546" s="10" t="str">
        <f t="shared" si="206"/>
        <v/>
      </c>
      <c r="P1546" s="39" t="str">
        <f t="shared" si="207"/>
        <v/>
      </c>
      <c r="Q1546" s="13" t="str">
        <f t="shared" si="211"/>
        <v/>
      </c>
      <c r="R1546" s="13" t="str">
        <f t="shared" si="208"/>
        <v/>
      </c>
      <c r="S1546" s="13" t="str">
        <f t="shared" si="212"/>
        <v/>
      </c>
      <c r="T1546" s="22" t="str">
        <f>IF(R1546&lt;&gt;"",VLOOKUP(P1546,Constants!$D$3:$E$10,2),"")</f>
        <v/>
      </c>
    </row>
    <row r="1547" spans="12:20" x14ac:dyDescent="0.25">
      <c r="L1547" s="10" t="str">
        <f t="shared" si="209"/>
        <v/>
      </c>
      <c r="M1547" s="10" t="str">
        <f t="shared" si="210"/>
        <v/>
      </c>
      <c r="N1547" s="11" t="str">
        <f t="shared" si="205"/>
        <v/>
      </c>
      <c r="O1547" s="10" t="str">
        <f t="shared" si="206"/>
        <v/>
      </c>
      <c r="P1547" s="39" t="str">
        <f t="shared" si="207"/>
        <v/>
      </c>
      <c r="Q1547" s="13" t="str">
        <f t="shared" si="211"/>
        <v/>
      </c>
      <c r="R1547" s="13" t="str">
        <f t="shared" si="208"/>
        <v/>
      </c>
      <c r="S1547" s="13" t="str">
        <f t="shared" si="212"/>
        <v/>
      </c>
      <c r="T1547" s="22" t="str">
        <f>IF(R1547&lt;&gt;"",VLOOKUP(P1547,Constants!$D$3:$E$10,2),"")</f>
        <v/>
      </c>
    </row>
    <row r="1548" spans="12:20" x14ac:dyDescent="0.25">
      <c r="L1548" s="10" t="str">
        <f t="shared" si="209"/>
        <v/>
      </c>
      <c r="M1548" s="10" t="str">
        <f t="shared" si="210"/>
        <v/>
      </c>
      <c r="N1548" s="11" t="str">
        <f t="shared" si="205"/>
        <v/>
      </c>
      <c r="O1548" s="10" t="str">
        <f t="shared" si="206"/>
        <v/>
      </c>
      <c r="P1548" s="39" t="str">
        <f t="shared" si="207"/>
        <v/>
      </c>
      <c r="Q1548" s="13" t="str">
        <f t="shared" si="211"/>
        <v/>
      </c>
      <c r="R1548" s="13" t="str">
        <f t="shared" si="208"/>
        <v/>
      </c>
      <c r="S1548" s="13" t="str">
        <f t="shared" si="212"/>
        <v/>
      </c>
      <c r="T1548" s="22" t="str">
        <f>IF(R1548&lt;&gt;"",VLOOKUP(P1548,Constants!$D$3:$E$10,2),"")</f>
        <v/>
      </c>
    </row>
    <row r="1549" spans="12:20" x14ac:dyDescent="0.25">
      <c r="L1549" s="10" t="str">
        <f t="shared" si="209"/>
        <v/>
      </c>
      <c r="M1549" s="10" t="str">
        <f t="shared" si="210"/>
        <v/>
      </c>
      <c r="N1549" s="11" t="str">
        <f t="shared" si="205"/>
        <v/>
      </c>
      <c r="O1549" s="10" t="str">
        <f t="shared" si="206"/>
        <v/>
      </c>
      <c r="P1549" s="39" t="str">
        <f t="shared" si="207"/>
        <v/>
      </c>
      <c r="Q1549" s="13" t="str">
        <f t="shared" si="211"/>
        <v/>
      </c>
      <c r="R1549" s="13" t="str">
        <f t="shared" si="208"/>
        <v/>
      </c>
      <c r="S1549" s="13" t="str">
        <f t="shared" si="212"/>
        <v/>
      </c>
      <c r="T1549" s="22" t="str">
        <f>IF(R1549&lt;&gt;"",VLOOKUP(P1549,Constants!$D$3:$E$10,2),"")</f>
        <v/>
      </c>
    </row>
    <row r="1550" spans="12:20" x14ac:dyDescent="0.25">
      <c r="L1550" s="10" t="str">
        <f t="shared" si="209"/>
        <v/>
      </c>
      <c r="M1550" s="10" t="str">
        <f t="shared" si="210"/>
        <v/>
      </c>
      <c r="N1550" s="11" t="str">
        <f t="shared" si="205"/>
        <v/>
      </c>
      <c r="O1550" s="10" t="str">
        <f t="shared" si="206"/>
        <v/>
      </c>
      <c r="P1550" s="39" t="str">
        <f t="shared" si="207"/>
        <v/>
      </c>
      <c r="Q1550" s="13" t="str">
        <f t="shared" si="211"/>
        <v/>
      </c>
      <c r="R1550" s="13" t="str">
        <f t="shared" si="208"/>
        <v/>
      </c>
      <c r="S1550" s="13" t="str">
        <f t="shared" si="212"/>
        <v/>
      </c>
      <c r="T1550" s="22" t="str">
        <f>IF(R1550&lt;&gt;"",VLOOKUP(P1550,Constants!$D$3:$E$10,2),"")</f>
        <v/>
      </c>
    </row>
    <row r="1551" spans="12:20" x14ac:dyDescent="0.25">
      <c r="L1551" s="10" t="str">
        <f t="shared" si="209"/>
        <v/>
      </c>
      <c r="M1551" s="10" t="str">
        <f t="shared" si="210"/>
        <v/>
      </c>
      <c r="N1551" s="11" t="str">
        <f t="shared" si="205"/>
        <v/>
      </c>
      <c r="O1551" s="10" t="str">
        <f t="shared" si="206"/>
        <v/>
      </c>
      <c r="P1551" s="39" t="str">
        <f t="shared" si="207"/>
        <v/>
      </c>
      <c r="Q1551" s="13" t="str">
        <f t="shared" si="211"/>
        <v/>
      </c>
      <c r="R1551" s="13" t="str">
        <f t="shared" si="208"/>
        <v/>
      </c>
      <c r="S1551" s="13" t="str">
        <f t="shared" si="212"/>
        <v/>
      </c>
      <c r="T1551" s="22" t="str">
        <f>IF(R1551&lt;&gt;"",VLOOKUP(P1551,Constants!$D$3:$E$10,2),"")</f>
        <v/>
      </c>
    </row>
    <row r="1552" spans="12:20" x14ac:dyDescent="0.25">
      <c r="L1552" s="10" t="str">
        <f t="shared" si="209"/>
        <v/>
      </c>
      <c r="M1552" s="10" t="str">
        <f t="shared" si="210"/>
        <v/>
      </c>
      <c r="N1552" s="11" t="str">
        <f t="shared" ref="N1552:N1615" si="213">IF($L1552&lt;&gt;"",SQRT($L1552*$L1552+$M1552*$M1552),"")</f>
        <v/>
      </c>
      <c r="O1552" s="10" t="str">
        <f t="shared" si="206"/>
        <v/>
      </c>
      <c r="P1552" s="39" t="str">
        <f t="shared" si="207"/>
        <v/>
      </c>
      <c r="Q1552" s="13" t="str">
        <f t="shared" si="211"/>
        <v/>
      </c>
      <c r="R1552" s="13" t="str">
        <f t="shared" si="208"/>
        <v/>
      </c>
      <c r="S1552" s="13" t="str">
        <f t="shared" si="212"/>
        <v/>
      </c>
      <c r="T1552" s="22" t="str">
        <f>IF(R1552&lt;&gt;"",VLOOKUP(P1552,Constants!$D$3:$E$10,2),"")</f>
        <v/>
      </c>
    </row>
    <row r="1553" spans="12:20" x14ac:dyDescent="0.25">
      <c r="L1553" s="10" t="str">
        <f t="shared" si="209"/>
        <v/>
      </c>
      <c r="M1553" s="10" t="str">
        <f t="shared" si="210"/>
        <v/>
      </c>
      <c r="N1553" s="11" t="str">
        <f t="shared" si="213"/>
        <v/>
      </c>
      <c r="O1553" s="10" t="str">
        <f t="shared" si="206"/>
        <v/>
      </c>
      <c r="P1553" s="39" t="str">
        <f t="shared" si="207"/>
        <v/>
      </c>
      <c r="Q1553" s="13" t="str">
        <f t="shared" si="211"/>
        <v/>
      </c>
      <c r="R1553" s="13" t="str">
        <f t="shared" si="208"/>
        <v/>
      </c>
      <c r="S1553" s="13" t="str">
        <f t="shared" si="212"/>
        <v/>
      </c>
      <c r="T1553" s="22" t="str">
        <f>IF(R1553&lt;&gt;"",VLOOKUP(P1553,Constants!$D$3:$E$10,2),"")</f>
        <v/>
      </c>
    </row>
    <row r="1554" spans="12:20" x14ac:dyDescent="0.25">
      <c r="L1554" s="10" t="str">
        <f t="shared" si="209"/>
        <v/>
      </c>
      <c r="M1554" s="10" t="str">
        <f t="shared" si="210"/>
        <v/>
      </c>
      <c r="N1554" s="11" t="str">
        <f t="shared" si="213"/>
        <v/>
      </c>
      <c r="O1554" s="10" t="str">
        <f t="shared" si="206"/>
        <v/>
      </c>
      <c r="P1554" s="39" t="str">
        <f t="shared" si="207"/>
        <v/>
      </c>
      <c r="Q1554" s="13" t="str">
        <f t="shared" si="211"/>
        <v/>
      </c>
      <c r="R1554" s="13" t="str">
        <f t="shared" si="208"/>
        <v/>
      </c>
      <c r="S1554" s="13" t="str">
        <f t="shared" si="212"/>
        <v/>
      </c>
      <c r="T1554" s="22" t="str">
        <f>IF(R1554&lt;&gt;"",VLOOKUP(P1554,Constants!$D$3:$E$10,2),"")</f>
        <v/>
      </c>
    </row>
    <row r="1555" spans="12:20" x14ac:dyDescent="0.25">
      <c r="L1555" s="10" t="str">
        <f t="shared" si="209"/>
        <v/>
      </c>
      <c r="M1555" s="10" t="str">
        <f t="shared" si="210"/>
        <v/>
      </c>
      <c r="N1555" s="11" t="str">
        <f t="shared" si="213"/>
        <v/>
      </c>
      <c r="O1555" s="10" t="str">
        <f t="shared" si="206"/>
        <v/>
      </c>
      <c r="P1555" s="39" t="str">
        <f t="shared" si="207"/>
        <v/>
      </c>
      <c r="Q1555" s="13" t="str">
        <f t="shared" si="211"/>
        <v/>
      </c>
      <c r="R1555" s="13" t="str">
        <f t="shared" si="208"/>
        <v/>
      </c>
      <c r="S1555" s="13" t="str">
        <f t="shared" si="212"/>
        <v/>
      </c>
      <c r="T1555" s="22" t="str">
        <f>IF(R1555&lt;&gt;"",VLOOKUP(P1555,Constants!$D$3:$E$10,2),"")</f>
        <v/>
      </c>
    </row>
    <row r="1556" spans="12:20" x14ac:dyDescent="0.25">
      <c r="L1556" s="10" t="str">
        <f t="shared" si="209"/>
        <v/>
      </c>
      <c r="M1556" s="10" t="str">
        <f t="shared" si="210"/>
        <v/>
      </c>
      <c r="N1556" s="11" t="str">
        <f t="shared" si="213"/>
        <v/>
      </c>
      <c r="O1556" s="10" t="str">
        <f t="shared" si="206"/>
        <v/>
      </c>
      <c r="P1556" s="39" t="str">
        <f t="shared" si="207"/>
        <v/>
      </c>
      <c r="Q1556" s="13" t="str">
        <f t="shared" si="211"/>
        <v/>
      </c>
      <c r="R1556" s="13" t="str">
        <f t="shared" si="208"/>
        <v/>
      </c>
      <c r="S1556" s="13" t="str">
        <f t="shared" si="212"/>
        <v/>
      </c>
      <c r="T1556" s="22" t="str">
        <f>IF(R1556&lt;&gt;"",VLOOKUP(P1556,Constants!$D$3:$E$10,2),"")</f>
        <v/>
      </c>
    </row>
    <row r="1557" spans="12:20" x14ac:dyDescent="0.25">
      <c r="L1557" s="10" t="str">
        <f t="shared" si="209"/>
        <v/>
      </c>
      <c r="M1557" s="10" t="str">
        <f t="shared" si="210"/>
        <v/>
      </c>
      <c r="N1557" s="11" t="str">
        <f t="shared" si="213"/>
        <v/>
      </c>
      <c r="O1557" s="10" t="str">
        <f t="shared" si="206"/>
        <v/>
      </c>
      <c r="P1557" s="39" t="str">
        <f t="shared" si="207"/>
        <v/>
      </c>
      <c r="Q1557" s="13" t="str">
        <f t="shared" si="211"/>
        <v/>
      </c>
      <c r="R1557" s="13" t="str">
        <f t="shared" si="208"/>
        <v/>
      </c>
      <c r="S1557" s="13" t="str">
        <f t="shared" si="212"/>
        <v/>
      </c>
      <c r="T1557" s="22" t="str">
        <f>IF(R1557&lt;&gt;"",VLOOKUP(P1557,Constants!$D$3:$E$10,2),"")</f>
        <v/>
      </c>
    </row>
    <row r="1558" spans="12:20" x14ac:dyDescent="0.25">
      <c r="L1558" s="10" t="str">
        <f t="shared" si="209"/>
        <v/>
      </c>
      <c r="M1558" s="10" t="str">
        <f t="shared" si="210"/>
        <v/>
      </c>
      <c r="N1558" s="11" t="str">
        <f t="shared" si="213"/>
        <v/>
      </c>
      <c r="O1558" s="10" t="str">
        <f t="shared" si="206"/>
        <v/>
      </c>
      <c r="P1558" s="39" t="str">
        <f t="shared" si="207"/>
        <v/>
      </c>
      <c r="Q1558" s="13" t="str">
        <f t="shared" si="211"/>
        <v/>
      </c>
      <c r="R1558" s="13" t="str">
        <f t="shared" si="208"/>
        <v/>
      </c>
      <c r="S1558" s="13" t="str">
        <f t="shared" si="212"/>
        <v/>
      </c>
      <c r="T1558" s="22" t="str">
        <f>IF(R1558&lt;&gt;"",VLOOKUP(P1558,Constants!$D$3:$E$10,2),"")</f>
        <v/>
      </c>
    </row>
    <row r="1559" spans="12:20" x14ac:dyDescent="0.25">
      <c r="L1559" s="10" t="str">
        <f t="shared" si="209"/>
        <v/>
      </c>
      <c r="M1559" s="10" t="str">
        <f t="shared" si="210"/>
        <v/>
      </c>
      <c r="N1559" s="11" t="str">
        <f t="shared" si="213"/>
        <v/>
      </c>
      <c r="O1559" s="10" t="str">
        <f t="shared" ref="O1559:O1622" si="214">IF(D1559&lt;&gt;"",1000/(2*D1559),"")</f>
        <v/>
      </c>
      <c r="P1559" s="39" t="str">
        <f t="shared" ref="P1559:P1622" si="215">IF($N1559&lt;&gt;"",D1559*SQRT(E1559*E1559+F1559*F1559)/16000,"")</f>
        <v/>
      </c>
      <c r="Q1559" s="13" t="str">
        <f t="shared" si="211"/>
        <v/>
      </c>
      <c r="R1559" s="13" t="str">
        <f t="shared" ref="R1559:R1622" si="216">IF(G1559&lt;&gt;"",1000/G1559,"")</f>
        <v/>
      </c>
      <c r="S1559" s="13" t="str">
        <f t="shared" si="212"/>
        <v/>
      </c>
      <c r="T1559" s="22" t="str">
        <f>IF(R1559&lt;&gt;"",VLOOKUP(P1559,Constants!$D$3:$E$10,2),"")</f>
        <v/>
      </c>
    </row>
    <row r="1560" spans="12:20" x14ac:dyDescent="0.25">
      <c r="L1560" s="10" t="str">
        <f t="shared" si="209"/>
        <v/>
      </c>
      <c r="M1560" s="10" t="str">
        <f t="shared" si="210"/>
        <v/>
      </c>
      <c r="N1560" s="11" t="str">
        <f t="shared" si="213"/>
        <v/>
      </c>
      <c r="O1560" s="10" t="str">
        <f t="shared" si="214"/>
        <v/>
      </c>
      <c r="P1560" s="39" t="str">
        <f t="shared" si="215"/>
        <v/>
      </c>
      <c r="Q1560" s="13" t="str">
        <f t="shared" si="211"/>
        <v/>
      </c>
      <c r="R1560" s="13" t="str">
        <f t="shared" si="216"/>
        <v/>
      </c>
      <c r="S1560" s="13" t="str">
        <f t="shared" si="212"/>
        <v/>
      </c>
      <c r="T1560" s="22" t="str">
        <f>IF(R1560&lt;&gt;"",VLOOKUP(P1560,Constants!$D$3:$E$10,2),"")</f>
        <v/>
      </c>
    </row>
    <row r="1561" spans="12:20" x14ac:dyDescent="0.25">
      <c r="L1561" s="10" t="str">
        <f t="shared" si="209"/>
        <v/>
      </c>
      <c r="M1561" s="10" t="str">
        <f t="shared" si="210"/>
        <v/>
      </c>
      <c r="N1561" s="11" t="str">
        <f t="shared" si="213"/>
        <v/>
      </c>
      <c r="O1561" s="10" t="str">
        <f t="shared" si="214"/>
        <v/>
      </c>
      <c r="P1561" s="39" t="str">
        <f t="shared" si="215"/>
        <v/>
      </c>
      <c r="Q1561" s="13" t="str">
        <f t="shared" si="211"/>
        <v/>
      </c>
      <c r="R1561" s="13" t="str">
        <f t="shared" si="216"/>
        <v/>
      </c>
      <c r="S1561" s="13" t="str">
        <f t="shared" si="212"/>
        <v/>
      </c>
      <c r="T1561" s="22" t="str">
        <f>IF(R1561&lt;&gt;"",VLOOKUP(P1561,Constants!$D$3:$E$10,2),"")</f>
        <v/>
      </c>
    </row>
    <row r="1562" spans="12:20" x14ac:dyDescent="0.25">
      <c r="L1562" s="10" t="str">
        <f t="shared" si="209"/>
        <v/>
      </c>
      <c r="M1562" s="10" t="str">
        <f t="shared" si="210"/>
        <v/>
      </c>
      <c r="N1562" s="11" t="str">
        <f t="shared" si="213"/>
        <v/>
      </c>
      <c r="O1562" s="10" t="str">
        <f t="shared" si="214"/>
        <v/>
      </c>
      <c r="P1562" s="39" t="str">
        <f t="shared" si="215"/>
        <v/>
      </c>
      <c r="Q1562" s="13" t="str">
        <f t="shared" si="211"/>
        <v/>
      </c>
      <c r="R1562" s="13" t="str">
        <f t="shared" si="216"/>
        <v/>
      </c>
      <c r="S1562" s="13" t="str">
        <f t="shared" si="212"/>
        <v/>
      </c>
      <c r="T1562" s="22" t="str">
        <f>IF(R1562&lt;&gt;"",VLOOKUP(P1562,Constants!$D$3:$E$10,2),"")</f>
        <v/>
      </c>
    </row>
    <row r="1563" spans="12:20" x14ac:dyDescent="0.25">
      <c r="L1563" s="10" t="str">
        <f t="shared" si="209"/>
        <v/>
      </c>
      <c r="M1563" s="10" t="str">
        <f t="shared" si="210"/>
        <v/>
      </c>
      <c r="N1563" s="11" t="str">
        <f t="shared" si="213"/>
        <v/>
      </c>
      <c r="O1563" s="10" t="str">
        <f t="shared" si="214"/>
        <v/>
      </c>
      <c r="P1563" s="39" t="str">
        <f t="shared" si="215"/>
        <v/>
      </c>
      <c r="Q1563" s="13" t="str">
        <f t="shared" si="211"/>
        <v/>
      </c>
      <c r="R1563" s="13" t="str">
        <f t="shared" si="216"/>
        <v/>
      </c>
      <c r="S1563" s="13" t="str">
        <f t="shared" si="212"/>
        <v/>
      </c>
      <c r="T1563" s="22" t="str">
        <f>IF(R1563&lt;&gt;"",VLOOKUP(P1563,Constants!$D$3:$E$10,2),"")</f>
        <v/>
      </c>
    </row>
    <row r="1564" spans="12:20" x14ac:dyDescent="0.25">
      <c r="L1564" s="10" t="str">
        <f t="shared" si="209"/>
        <v/>
      </c>
      <c r="M1564" s="10" t="str">
        <f t="shared" si="210"/>
        <v/>
      </c>
      <c r="N1564" s="11" t="str">
        <f t="shared" si="213"/>
        <v/>
      </c>
      <c r="O1564" s="10" t="str">
        <f t="shared" si="214"/>
        <v/>
      </c>
      <c r="P1564" s="39" t="str">
        <f t="shared" si="215"/>
        <v/>
      </c>
      <c r="Q1564" s="13" t="str">
        <f t="shared" si="211"/>
        <v/>
      </c>
      <c r="R1564" s="13" t="str">
        <f t="shared" si="216"/>
        <v/>
      </c>
      <c r="S1564" s="13" t="str">
        <f t="shared" si="212"/>
        <v/>
      </c>
      <c r="T1564" s="22" t="str">
        <f>IF(R1564&lt;&gt;"",VLOOKUP(P1564,Constants!$D$3:$E$10,2),"")</f>
        <v/>
      </c>
    </row>
    <row r="1565" spans="12:20" x14ac:dyDescent="0.25">
      <c r="L1565" s="10" t="str">
        <f t="shared" si="209"/>
        <v/>
      </c>
      <c r="M1565" s="10" t="str">
        <f t="shared" si="210"/>
        <v/>
      </c>
      <c r="N1565" s="11" t="str">
        <f t="shared" si="213"/>
        <v/>
      </c>
      <c r="O1565" s="10" t="str">
        <f t="shared" si="214"/>
        <v/>
      </c>
      <c r="P1565" s="39" t="str">
        <f t="shared" si="215"/>
        <v/>
      </c>
      <c r="Q1565" s="13" t="str">
        <f t="shared" si="211"/>
        <v/>
      </c>
      <c r="R1565" s="13" t="str">
        <f t="shared" si="216"/>
        <v/>
      </c>
      <c r="S1565" s="13" t="str">
        <f t="shared" si="212"/>
        <v/>
      </c>
      <c r="T1565" s="22" t="str">
        <f>IF(R1565&lt;&gt;"",VLOOKUP(P1565,Constants!$D$3:$E$10,2),"")</f>
        <v/>
      </c>
    </row>
    <row r="1566" spans="12:20" x14ac:dyDescent="0.25">
      <c r="L1566" s="10" t="str">
        <f t="shared" si="209"/>
        <v/>
      </c>
      <c r="M1566" s="10" t="str">
        <f t="shared" si="210"/>
        <v/>
      </c>
      <c r="N1566" s="11" t="str">
        <f t="shared" si="213"/>
        <v/>
      </c>
      <c r="O1566" s="10" t="str">
        <f t="shared" si="214"/>
        <v/>
      </c>
      <c r="P1566" s="39" t="str">
        <f t="shared" si="215"/>
        <v/>
      </c>
      <c r="Q1566" s="13" t="str">
        <f t="shared" si="211"/>
        <v/>
      </c>
      <c r="R1566" s="13" t="str">
        <f t="shared" si="216"/>
        <v/>
      </c>
      <c r="S1566" s="13" t="str">
        <f t="shared" si="212"/>
        <v/>
      </c>
      <c r="T1566" s="22" t="str">
        <f>IF(R1566&lt;&gt;"",VLOOKUP(P1566,Constants!$D$3:$E$10,2),"")</f>
        <v/>
      </c>
    </row>
    <row r="1567" spans="12:20" x14ac:dyDescent="0.25">
      <c r="L1567" s="10" t="str">
        <f t="shared" si="209"/>
        <v/>
      </c>
      <c r="M1567" s="10" t="str">
        <f t="shared" si="210"/>
        <v/>
      </c>
      <c r="N1567" s="11" t="str">
        <f t="shared" si="213"/>
        <v/>
      </c>
      <c r="O1567" s="10" t="str">
        <f t="shared" si="214"/>
        <v/>
      </c>
      <c r="P1567" s="39" t="str">
        <f t="shared" si="215"/>
        <v/>
      </c>
      <c r="Q1567" s="13" t="str">
        <f t="shared" si="211"/>
        <v/>
      </c>
      <c r="R1567" s="13" t="str">
        <f t="shared" si="216"/>
        <v/>
      </c>
      <c r="S1567" s="13" t="str">
        <f t="shared" si="212"/>
        <v/>
      </c>
      <c r="T1567" s="22" t="str">
        <f>IF(R1567&lt;&gt;"",VLOOKUP(P1567,Constants!$D$3:$E$10,2),"")</f>
        <v/>
      </c>
    </row>
    <row r="1568" spans="12:20" x14ac:dyDescent="0.25">
      <c r="L1568" s="10" t="str">
        <f t="shared" si="209"/>
        <v/>
      </c>
      <c r="M1568" s="10" t="str">
        <f t="shared" si="210"/>
        <v/>
      </c>
      <c r="N1568" s="11" t="str">
        <f t="shared" si="213"/>
        <v/>
      </c>
      <c r="O1568" s="10" t="str">
        <f t="shared" si="214"/>
        <v/>
      </c>
      <c r="P1568" s="39" t="str">
        <f t="shared" si="215"/>
        <v/>
      </c>
      <c r="Q1568" s="13" t="str">
        <f t="shared" si="211"/>
        <v/>
      </c>
      <c r="R1568" s="13" t="str">
        <f t="shared" si="216"/>
        <v/>
      </c>
      <c r="S1568" s="13" t="str">
        <f t="shared" si="212"/>
        <v/>
      </c>
      <c r="T1568" s="22" t="str">
        <f>IF(R1568&lt;&gt;"",VLOOKUP(P1568,Constants!$D$3:$E$10,2),"")</f>
        <v/>
      </c>
    </row>
    <row r="1569" spans="12:20" x14ac:dyDescent="0.25">
      <c r="L1569" s="10" t="str">
        <f t="shared" si="209"/>
        <v/>
      </c>
      <c r="M1569" s="10" t="str">
        <f t="shared" si="210"/>
        <v/>
      </c>
      <c r="N1569" s="11" t="str">
        <f t="shared" si="213"/>
        <v/>
      </c>
      <c r="O1569" s="10" t="str">
        <f t="shared" si="214"/>
        <v/>
      </c>
      <c r="P1569" s="39" t="str">
        <f t="shared" si="215"/>
        <v/>
      </c>
      <c r="Q1569" s="13" t="str">
        <f t="shared" si="211"/>
        <v/>
      </c>
      <c r="R1569" s="13" t="str">
        <f t="shared" si="216"/>
        <v/>
      </c>
      <c r="S1569" s="13" t="str">
        <f t="shared" si="212"/>
        <v/>
      </c>
      <c r="T1569" s="22" t="str">
        <f>IF(R1569&lt;&gt;"",VLOOKUP(P1569,Constants!$D$3:$E$10,2),"")</f>
        <v/>
      </c>
    </row>
    <row r="1570" spans="12:20" x14ac:dyDescent="0.25">
      <c r="L1570" s="10" t="str">
        <f t="shared" si="209"/>
        <v/>
      </c>
      <c r="M1570" s="10" t="str">
        <f t="shared" si="210"/>
        <v/>
      </c>
      <c r="N1570" s="11" t="str">
        <f t="shared" si="213"/>
        <v/>
      </c>
      <c r="O1570" s="10" t="str">
        <f t="shared" si="214"/>
        <v/>
      </c>
      <c r="P1570" s="39" t="str">
        <f t="shared" si="215"/>
        <v/>
      </c>
      <c r="Q1570" s="13" t="str">
        <f t="shared" si="211"/>
        <v/>
      </c>
      <c r="R1570" s="13" t="str">
        <f t="shared" si="216"/>
        <v/>
      </c>
      <c r="S1570" s="13" t="str">
        <f t="shared" si="212"/>
        <v/>
      </c>
      <c r="T1570" s="22" t="str">
        <f>IF(R1570&lt;&gt;"",VLOOKUP(P1570,Constants!$D$3:$E$10,2),"")</f>
        <v/>
      </c>
    </row>
    <row r="1571" spans="12:20" x14ac:dyDescent="0.25">
      <c r="L1571" s="10" t="str">
        <f t="shared" si="209"/>
        <v/>
      </c>
      <c r="M1571" s="10" t="str">
        <f t="shared" si="210"/>
        <v/>
      </c>
      <c r="N1571" s="11" t="str">
        <f t="shared" si="213"/>
        <v/>
      </c>
      <c r="O1571" s="10" t="str">
        <f t="shared" si="214"/>
        <v/>
      </c>
      <c r="P1571" s="39" t="str">
        <f t="shared" si="215"/>
        <v/>
      </c>
      <c r="Q1571" s="13" t="str">
        <f t="shared" si="211"/>
        <v/>
      </c>
      <c r="R1571" s="13" t="str">
        <f t="shared" si="216"/>
        <v/>
      </c>
      <c r="S1571" s="13" t="str">
        <f t="shared" si="212"/>
        <v/>
      </c>
      <c r="T1571" s="22" t="str">
        <f>IF(R1571&lt;&gt;"",VLOOKUP(P1571,Constants!$D$3:$E$10,2),"")</f>
        <v/>
      </c>
    </row>
    <row r="1572" spans="12:20" x14ac:dyDescent="0.25">
      <c r="L1572" s="10" t="str">
        <f t="shared" si="209"/>
        <v/>
      </c>
      <c r="M1572" s="10" t="str">
        <f t="shared" si="210"/>
        <v/>
      </c>
      <c r="N1572" s="11" t="str">
        <f t="shared" si="213"/>
        <v/>
      </c>
      <c r="O1572" s="10" t="str">
        <f t="shared" si="214"/>
        <v/>
      </c>
      <c r="P1572" s="39" t="str">
        <f t="shared" si="215"/>
        <v/>
      </c>
      <c r="Q1572" s="13" t="str">
        <f t="shared" si="211"/>
        <v/>
      </c>
      <c r="R1572" s="13" t="str">
        <f t="shared" si="216"/>
        <v/>
      </c>
      <c r="S1572" s="13" t="str">
        <f t="shared" si="212"/>
        <v/>
      </c>
      <c r="T1572" s="22" t="str">
        <f>IF(R1572&lt;&gt;"",VLOOKUP(P1572,Constants!$D$3:$E$10,2),"")</f>
        <v/>
      </c>
    </row>
    <row r="1573" spans="12:20" x14ac:dyDescent="0.25">
      <c r="L1573" s="10" t="str">
        <f t="shared" si="209"/>
        <v/>
      </c>
      <c r="M1573" s="10" t="str">
        <f t="shared" si="210"/>
        <v/>
      </c>
      <c r="N1573" s="11" t="str">
        <f t="shared" si="213"/>
        <v/>
      </c>
      <c r="O1573" s="10" t="str">
        <f t="shared" si="214"/>
        <v/>
      </c>
      <c r="P1573" s="39" t="str">
        <f t="shared" si="215"/>
        <v/>
      </c>
      <c r="Q1573" s="13" t="str">
        <f t="shared" si="211"/>
        <v/>
      </c>
      <c r="R1573" s="13" t="str">
        <f t="shared" si="216"/>
        <v/>
      </c>
      <c r="S1573" s="13" t="str">
        <f t="shared" si="212"/>
        <v/>
      </c>
      <c r="T1573" s="22" t="str">
        <f>IF(R1573&lt;&gt;"",VLOOKUP(P1573,Constants!$D$3:$E$10,2),"")</f>
        <v/>
      </c>
    </row>
    <row r="1574" spans="12:20" x14ac:dyDescent="0.25">
      <c r="L1574" s="10" t="str">
        <f t="shared" si="209"/>
        <v/>
      </c>
      <c r="M1574" s="10" t="str">
        <f t="shared" si="210"/>
        <v/>
      </c>
      <c r="N1574" s="11" t="str">
        <f t="shared" si="213"/>
        <v/>
      </c>
      <c r="O1574" s="10" t="str">
        <f t="shared" si="214"/>
        <v/>
      </c>
      <c r="P1574" s="39" t="str">
        <f t="shared" si="215"/>
        <v/>
      </c>
      <c r="Q1574" s="13" t="str">
        <f t="shared" si="211"/>
        <v/>
      </c>
      <c r="R1574" s="13" t="str">
        <f t="shared" si="216"/>
        <v/>
      </c>
      <c r="S1574" s="13" t="str">
        <f t="shared" si="212"/>
        <v/>
      </c>
      <c r="T1574" s="22" t="str">
        <f>IF(R1574&lt;&gt;"",VLOOKUP(P1574,Constants!$D$3:$E$10,2),"")</f>
        <v/>
      </c>
    </row>
    <row r="1575" spans="12:20" x14ac:dyDescent="0.25">
      <c r="L1575" s="10" t="str">
        <f t="shared" si="209"/>
        <v/>
      </c>
      <c r="M1575" s="10" t="str">
        <f t="shared" si="210"/>
        <v/>
      </c>
      <c r="N1575" s="11" t="str">
        <f t="shared" si="213"/>
        <v/>
      </c>
      <c r="O1575" s="10" t="str">
        <f t="shared" si="214"/>
        <v/>
      </c>
      <c r="P1575" s="39" t="str">
        <f t="shared" si="215"/>
        <v/>
      </c>
      <c r="Q1575" s="13" t="str">
        <f t="shared" si="211"/>
        <v/>
      </c>
      <c r="R1575" s="13" t="str">
        <f t="shared" si="216"/>
        <v/>
      </c>
      <c r="S1575" s="13" t="str">
        <f t="shared" si="212"/>
        <v/>
      </c>
      <c r="T1575" s="22" t="str">
        <f>IF(R1575&lt;&gt;"",VLOOKUP(P1575,Constants!$D$3:$E$10,2),"")</f>
        <v/>
      </c>
    </row>
    <row r="1576" spans="12:20" x14ac:dyDescent="0.25">
      <c r="L1576" s="10" t="str">
        <f t="shared" si="209"/>
        <v/>
      </c>
      <c r="M1576" s="10" t="str">
        <f t="shared" si="210"/>
        <v/>
      </c>
      <c r="N1576" s="11" t="str">
        <f t="shared" si="213"/>
        <v/>
      </c>
      <c r="O1576" s="10" t="str">
        <f t="shared" si="214"/>
        <v/>
      </c>
      <c r="P1576" s="39" t="str">
        <f t="shared" si="215"/>
        <v/>
      </c>
      <c r="Q1576" s="13" t="str">
        <f t="shared" si="211"/>
        <v/>
      </c>
      <c r="R1576" s="13" t="str">
        <f t="shared" si="216"/>
        <v/>
      </c>
      <c r="S1576" s="13" t="str">
        <f t="shared" si="212"/>
        <v/>
      </c>
      <c r="T1576" s="22" t="str">
        <f>IF(R1576&lt;&gt;"",VLOOKUP(P1576,Constants!$D$3:$E$10,2),"")</f>
        <v/>
      </c>
    </row>
    <row r="1577" spans="12:20" x14ac:dyDescent="0.25">
      <c r="L1577" s="10" t="str">
        <f t="shared" si="209"/>
        <v/>
      </c>
      <c r="M1577" s="10" t="str">
        <f t="shared" si="210"/>
        <v/>
      </c>
      <c r="N1577" s="11" t="str">
        <f t="shared" si="213"/>
        <v/>
      </c>
      <c r="O1577" s="10" t="str">
        <f t="shared" si="214"/>
        <v/>
      </c>
      <c r="P1577" s="39" t="str">
        <f t="shared" si="215"/>
        <v/>
      </c>
      <c r="Q1577" s="13" t="str">
        <f t="shared" si="211"/>
        <v/>
      </c>
      <c r="R1577" s="13" t="str">
        <f t="shared" si="216"/>
        <v/>
      </c>
      <c r="S1577" s="13" t="str">
        <f t="shared" si="212"/>
        <v/>
      </c>
      <c r="T1577" s="22" t="str">
        <f>IF(R1577&lt;&gt;"",VLOOKUP(P1577,Constants!$D$3:$E$10,2),"")</f>
        <v/>
      </c>
    </row>
    <row r="1578" spans="12:20" x14ac:dyDescent="0.25">
      <c r="L1578" s="10" t="str">
        <f t="shared" si="209"/>
        <v/>
      </c>
      <c r="M1578" s="10" t="str">
        <f t="shared" si="210"/>
        <v/>
      </c>
      <c r="N1578" s="11" t="str">
        <f t="shared" si="213"/>
        <v/>
      </c>
      <c r="O1578" s="10" t="str">
        <f t="shared" si="214"/>
        <v/>
      </c>
      <c r="P1578" s="39" t="str">
        <f t="shared" si="215"/>
        <v/>
      </c>
      <c r="Q1578" s="13" t="str">
        <f t="shared" si="211"/>
        <v/>
      </c>
      <c r="R1578" s="13" t="str">
        <f t="shared" si="216"/>
        <v/>
      </c>
      <c r="S1578" s="13" t="str">
        <f t="shared" si="212"/>
        <v/>
      </c>
      <c r="T1578" s="22" t="str">
        <f>IF(R1578&lt;&gt;"",VLOOKUP(P1578,Constants!$D$3:$E$10,2),"")</f>
        <v/>
      </c>
    </row>
    <row r="1579" spans="12:20" x14ac:dyDescent="0.25">
      <c r="L1579" s="10" t="str">
        <f t="shared" si="209"/>
        <v/>
      </c>
      <c r="M1579" s="10" t="str">
        <f t="shared" si="210"/>
        <v/>
      </c>
      <c r="N1579" s="11" t="str">
        <f t="shared" si="213"/>
        <v/>
      </c>
      <c r="O1579" s="10" t="str">
        <f t="shared" si="214"/>
        <v/>
      </c>
      <c r="P1579" s="39" t="str">
        <f t="shared" si="215"/>
        <v/>
      </c>
      <c r="Q1579" s="13" t="str">
        <f t="shared" si="211"/>
        <v/>
      </c>
      <c r="R1579" s="13" t="str">
        <f t="shared" si="216"/>
        <v/>
      </c>
      <c r="S1579" s="13" t="str">
        <f t="shared" si="212"/>
        <v/>
      </c>
      <c r="T1579" s="22" t="str">
        <f>IF(R1579&lt;&gt;"",VLOOKUP(P1579,Constants!$D$3:$E$10,2),"")</f>
        <v/>
      </c>
    </row>
    <row r="1580" spans="12:20" x14ac:dyDescent="0.25">
      <c r="L1580" s="10" t="str">
        <f t="shared" si="209"/>
        <v/>
      </c>
      <c r="M1580" s="10" t="str">
        <f t="shared" si="210"/>
        <v/>
      </c>
      <c r="N1580" s="11" t="str">
        <f t="shared" si="213"/>
        <v/>
      </c>
      <c r="O1580" s="10" t="str">
        <f t="shared" si="214"/>
        <v/>
      </c>
      <c r="P1580" s="39" t="str">
        <f t="shared" si="215"/>
        <v/>
      </c>
      <c r="Q1580" s="13" t="str">
        <f t="shared" si="211"/>
        <v/>
      </c>
      <c r="R1580" s="13" t="str">
        <f t="shared" si="216"/>
        <v/>
      </c>
      <c r="S1580" s="13" t="str">
        <f t="shared" si="212"/>
        <v/>
      </c>
      <c r="T1580" s="22" t="str">
        <f>IF(R1580&lt;&gt;"",VLOOKUP(P1580,Constants!$D$3:$E$10,2),"")</f>
        <v/>
      </c>
    </row>
    <row r="1581" spans="12:20" x14ac:dyDescent="0.25">
      <c r="L1581" s="10" t="str">
        <f t="shared" si="209"/>
        <v/>
      </c>
      <c r="M1581" s="10" t="str">
        <f t="shared" si="210"/>
        <v/>
      </c>
      <c r="N1581" s="11" t="str">
        <f t="shared" si="213"/>
        <v/>
      </c>
      <c r="O1581" s="10" t="str">
        <f t="shared" si="214"/>
        <v/>
      </c>
      <c r="P1581" s="39" t="str">
        <f t="shared" si="215"/>
        <v/>
      </c>
      <c r="Q1581" s="13" t="str">
        <f t="shared" si="211"/>
        <v/>
      </c>
      <c r="R1581" s="13" t="str">
        <f t="shared" si="216"/>
        <v/>
      </c>
      <c r="S1581" s="13" t="str">
        <f t="shared" si="212"/>
        <v/>
      </c>
      <c r="T1581" s="22" t="str">
        <f>IF(R1581&lt;&gt;"",VLOOKUP(P1581,Constants!$D$3:$E$10,2),"")</f>
        <v/>
      </c>
    </row>
    <row r="1582" spans="12:20" x14ac:dyDescent="0.25">
      <c r="L1582" s="10" t="str">
        <f t="shared" si="209"/>
        <v/>
      </c>
      <c r="M1582" s="10" t="str">
        <f t="shared" si="210"/>
        <v/>
      </c>
      <c r="N1582" s="11" t="str">
        <f t="shared" si="213"/>
        <v/>
      </c>
      <c r="O1582" s="10" t="str">
        <f t="shared" si="214"/>
        <v/>
      </c>
      <c r="P1582" s="39" t="str">
        <f t="shared" si="215"/>
        <v/>
      </c>
      <c r="Q1582" s="13" t="str">
        <f t="shared" si="211"/>
        <v/>
      </c>
      <c r="R1582" s="13" t="str">
        <f t="shared" si="216"/>
        <v/>
      </c>
      <c r="S1582" s="13" t="str">
        <f t="shared" si="212"/>
        <v/>
      </c>
      <c r="T1582" s="22" t="str">
        <f>IF(R1582&lt;&gt;"",VLOOKUP(P1582,Constants!$D$3:$E$10,2),"")</f>
        <v/>
      </c>
    </row>
    <row r="1583" spans="12:20" x14ac:dyDescent="0.25">
      <c r="L1583" s="10" t="str">
        <f t="shared" si="209"/>
        <v/>
      </c>
      <c r="M1583" s="10" t="str">
        <f t="shared" si="210"/>
        <v/>
      </c>
      <c r="N1583" s="11" t="str">
        <f t="shared" si="213"/>
        <v/>
      </c>
      <c r="O1583" s="10" t="str">
        <f t="shared" si="214"/>
        <v/>
      </c>
      <c r="P1583" s="39" t="str">
        <f t="shared" si="215"/>
        <v/>
      </c>
      <c r="Q1583" s="13" t="str">
        <f t="shared" si="211"/>
        <v/>
      </c>
      <c r="R1583" s="13" t="str">
        <f t="shared" si="216"/>
        <v/>
      </c>
      <c r="S1583" s="13" t="str">
        <f t="shared" si="212"/>
        <v/>
      </c>
      <c r="T1583" s="22" t="str">
        <f>IF(R1583&lt;&gt;"",VLOOKUP(P1583,Constants!$D$3:$E$10,2),"")</f>
        <v/>
      </c>
    </row>
    <row r="1584" spans="12:20" x14ac:dyDescent="0.25">
      <c r="L1584" s="10" t="str">
        <f t="shared" si="209"/>
        <v/>
      </c>
      <c r="M1584" s="10" t="str">
        <f t="shared" si="210"/>
        <v/>
      </c>
      <c r="N1584" s="11" t="str">
        <f t="shared" si="213"/>
        <v/>
      </c>
      <c r="O1584" s="10" t="str">
        <f t="shared" si="214"/>
        <v/>
      </c>
      <c r="P1584" s="39" t="str">
        <f t="shared" si="215"/>
        <v/>
      </c>
      <c r="Q1584" s="13" t="str">
        <f t="shared" si="211"/>
        <v/>
      </c>
      <c r="R1584" s="13" t="str">
        <f t="shared" si="216"/>
        <v/>
      </c>
      <c r="S1584" s="13" t="str">
        <f t="shared" si="212"/>
        <v/>
      </c>
      <c r="T1584" s="22" t="str">
        <f>IF(R1584&lt;&gt;"",VLOOKUP(P1584,Constants!$D$3:$E$10,2),"")</f>
        <v/>
      </c>
    </row>
    <row r="1585" spans="12:20" x14ac:dyDescent="0.25">
      <c r="L1585" s="10" t="str">
        <f t="shared" si="209"/>
        <v/>
      </c>
      <c r="M1585" s="10" t="str">
        <f t="shared" si="210"/>
        <v/>
      </c>
      <c r="N1585" s="11" t="str">
        <f t="shared" si="213"/>
        <v/>
      </c>
      <c r="O1585" s="10" t="str">
        <f t="shared" si="214"/>
        <v/>
      </c>
      <c r="P1585" s="39" t="str">
        <f t="shared" si="215"/>
        <v/>
      </c>
      <c r="Q1585" s="13" t="str">
        <f t="shared" si="211"/>
        <v/>
      </c>
      <c r="R1585" s="13" t="str">
        <f t="shared" si="216"/>
        <v/>
      </c>
      <c r="S1585" s="13" t="str">
        <f t="shared" si="212"/>
        <v/>
      </c>
      <c r="T1585" s="22" t="str">
        <f>IF(R1585&lt;&gt;"",VLOOKUP(P1585,Constants!$D$3:$E$10,2),"")</f>
        <v/>
      </c>
    </row>
    <row r="1586" spans="12:20" x14ac:dyDescent="0.25">
      <c r="L1586" s="10" t="str">
        <f t="shared" si="209"/>
        <v/>
      </c>
      <c r="M1586" s="10" t="str">
        <f t="shared" si="210"/>
        <v/>
      </c>
      <c r="N1586" s="11" t="str">
        <f t="shared" si="213"/>
        <v/>
      </c>
      <c r="O1586" s="10" t="str">
        <f t="shared" si="214"/>
        <v/>
      </c>
      <c r="P1586" s="39" t="str">
        <f t="shared" si="215"/>
        <v/>
      </c>
      <c r="Q1586" s="13" t="str">
        <f t="shared" si="211"/>
        <v/>
      </c>
      <c r="R1586" s="13" t="str">
        <f t="shared" si="216"/>
        <v/>
      </c>
      <c r="S1586" s="13" t="str">
        <f t="shared" si="212"/>
        <v/>
      </c>
      <c r="T1586" s="22" t="str">
        <f>IF(R1586&lt;&gt;"",VLOOKUP(P1586,Constants!$D$3:$E$10,2),"")</f>
        <v/>
      </c>
    </row>
    <row r="1587" spans="12:20" x14ac:dyDescent="0.25">
      <c r="L1587" s="10" t="str">
        <f t="shared" si="209"/>
        <v/>
      </c>
      <c r="M1587" s="10" t="str">
        <f t="shared" si="210"/>
        <v/>
      </c>
      <c r="N1587" s="11" t="str">
        <f t="shared" si="213"/>
        <v/>
      </c>
      <c r="O1587" s="10" t="str">
        <f t="shared" si="214"/>
        <v/>
      </c>
      <c r="P1587" s="39" t="str">
        <f t="shared" si="215"/>
        <v/>
      </c>
      <c r="Q1587" s="13" t="str">
        <f t="shared" si="211"/>
        <v/>
      </c>
      <c r="R1587" s="13" t="str">
        <f t="shared" si="216"/>
        <v/>
      </c>
      <c r="S1587" s="13" t="str">
        <f t="shared" si="212"/>
        <v/>
      </c>
      <c r="T1587" s="22" t="str">
        <f>IF(R1587&lt;&gt;"",VLOOKUP(P1587,Constants!$D$3:$E$10,2),"")</f>
        <v/>
      </c>
    </row>
    <row r="1588" spans="12:20" x14ac:dyDescent="0.25">
      <c r="L1588" s="10" t="str">
        <f t="shared" si="209"/>
        <v/>
      </c>
      <c r="M1588" s="10" t="str">
        <f t="shared" si="210"/>
        <v/>
      </c>
      <c r="N1588" s="11" t="str">
        <f t="shared" si="213"/>
        <v/>
      </c>
      <c r="O1588" s="10" t="str">
        <f t="shared" si="214"/>
        <v/>
      </c>
      <c r="P1588" s="39" t="str">
        <f t="shared" si="215"/>
        <v/>
      </c>
      <c r="Q1588" s="13" t="str">
        <f t="shared" si="211"/>
        <v/>
      </c>
      <c r="R1588" s="13" t="str">
        <f t="shared" si="216"/>
        <v/>
      </c>
      <c r="S1588" s="13" t="str">
        <f t="shared" si="212"/>
        <v/>
      </c>
      <c r="T1588" s="22" t="str">
        <f>IF(R1588&lt;&gt;"",VLOOKUP(P1588,Constants!$D$3:$E$10,2),"")</f>
        <v/>
      </c>
    </row>
    <row r="1589" spans="12:20" x14ac:dyDescent="0.25">
      <c r="L1589" s="10" t="str">
        <f t="shared" si="209"/>
        <v/>
      </c>
      <c r="M1589" s="10" t="str">
        <f t="shared" si="210"/>
        <v/>
      </c>
      <c r="N1589" s="11" t="str">
        <f t="shared" si="213"/>
        <v/>
      </c>
      <c r="O1589" s="10" t="str">
        <f t="shared" si="214"/>
        <v/>
      </c>
      <c r="P1589" s="39" t="str">
        <f t="shared" si="215"/>
        <v/>
      </c>
      <c r="Q1589" s="13" t="str">
        <f t="shared" si="211"/>
        <v/>
      </c>
      <c r="R1589" s="13" t="str">
        <f t="shared" si="216"/>
        <v/>
      </c>
      <c r="S1589" s="13" t="str">
        <f t="shared" si="212"/>
        <v/>
      </c>
      <c r="T1589" s="22" t="str">
        <f>IF(R1589&lt;&gt;"",VLOOKUP(P1589,Constants!$D$3:$E$10,2),"")</f>
        <v/>
      </c>
    </row>
    <row r="1590" spans="12:20" x14ac:dyDescent="0.25">
      <c r="L1590" s="10" t="str">
        <f t="shared" si="209"/>
        <v/>
      </c>
      <c r="M1590" s="10" t="str">
        <f t="shared" si="210"/>
        <v/>
      </c>
      <c r="N1590" s="11" t="str">
        <f t="shared" si="213"/>
        <v/>
      </c>
      <c r="O1590" s="10" t="str">
        <f t="shared" si="214"/>
        <v/>
      </c>
      <c r="P1590" s="39" t="str">
        <f t="shared" si="215"/>
        <v/>
      </c>
      <c r="Q1590" s="13" t="str">
        <f t="shared" si="211"/>
        <v/>
      </c>
      <c r="R1590" s="13" t="str">
        <f t="shared" si="216"/>
        <v/>
      </c>
      <c r="S1590" s="13" t="str">
        <f t="shared" si="212"/>
        <v/>
      </c>
      <c r="T1590" s="22" t="str">
        <f>IF(R1590&lt;&gt;"",VLOOKUP(P1590,Constants!$D$3:$E$10,2),"")</f>
        <v/>
      </c>
    </row>
    <row r="1591" spans="12:20" x14ac:dyDescent="0.25">
      <c r="L1591" s="10" t="str">
        <f t="shared" si="209"/>
        <v/>
      </c>
      <c r="M1591" s="10" t="str">
        <f t="shared" si="210"/>
        <v/>
      </c>
      <c r="N1591" s="11" t="str">
        <f t="shared" si="213"/>
        <v/>
      </c>
      <c r="O1591" s="10" t="str">
        <f t="shared" si="214"/>
        <v/>
      </c>
      <c r="P1591" s="39" t="str">
        <f t="shared" si="215"/>
        <v/>
      </c>
      <c r="Q1591" s="13" t="str">
        <f t="shared" si="211"/>
        <v/>
      </c>
      <c r="R1591" s="13" t="str">
        <f t="shared" si="216"/>
        <v/>
      </c>
      <c r="S1591" s="13" t="str">
        <f t="shared" si="212"/>
        <v/>
      </c>
      <c r="T1591" s="22" t="str">
        <f>IF(R1591&lt;&gt;"",VLOOKUP(P1591,Constants!$D$3:$E$10,2),"")</f>
        <v/>
      </c>
    </row>
    <row r="1592" spans="12:20" x14ac:dyDescent="0.25">
      <c r="L1592" s="10" t="str">
        <f t="shared" si="209"/>
        <v/>
      </c>
      <c r="M1592" s="10" t="str">
        <f t="shared" si="210"/>
        <v/>
      </c>
      <c r="N1592" s="11" t="str">
        <f t="shared" si="213"/>
        <v/>
      </c>
      <c r="O1592" s="10" t="str">
        <f t="shared" si="214"/>
        <v/>
      </c>
      <c r="P1592" s="39" t="str">
        <f t="shared" si="215"/>
        <v/>
      </c>
      <c r="Q1592" s="13" t="str">
        <f t="shared" si="211"/>
        <v/>
      </c>
      <c r="R1592" s="13" t="str">
        <f t="shared" si="216"/>
        <v/>
      </c>
      <c r="S1592" s="13" t="str">
        <f t="shared" si="212"/>
        <v/>
      </c>
      <c r="T1592" s="22" t="str">
        <f>IF(R1592&lt;&gt;"",VLOOKUP(P1592,Constants!$D$3:$E$10,2),"")</f>
        <v/>
      </c>
    </row>
    <row r="1593" spans="12:20" x14ac:dyDescent="0.25">
      <c r="L1593" s="10" t="str">
        <f t="shared" si="209"/>
        <v/>
      </c>
      <c r="M1593" s="10" t="str">
        <f t="shared" si="210"/>
        <v/>
      </c>
      <c r="N1593" s="11" t="str">
        <f t="shared" si="213"/>
        <v/>
      </c>
      <c r="O1593" s="10" t="str">
        <f t="shared" si="214"/>
        <v/>
      </c>
      <c r="P1593" s="39" t="str">
        <f t="shared" si="215"/>
        <v/>
      </c>
      <c r="Q1593" s="13" t="str">
        <f t="shared" si="211"/>
        <v/>
      </c>
      <c r="R1593" s="13" t="str">
        <f t="shared" si="216"/>
        <v/>
      </c>
      <c r="S1593" s="13" t="str">
        <f t="shared" si="212"/>
        <v/>
      </c>
      <c r="T1593" s="22" t="str">
        <f>IF(R1593&lt;&gt;"",VLOOKUP(P1593,Constants!$D$3:$E$10,2),"")</f>
        <v/>
      </c>
    </row>
    <row r="1594" spans="12:20" x14ac:dyDescent="0.25">
      <c r="L1594" s="10" t="str">
        <f t="shared" si="209"/>
        <v/>
      </c>
      <c r="M1594" s="10" t="str">
        <f t="shared" si="210"/>
        <v/>
      </c>
      <c r="N1594" s="11" t="str">
        <f t="shared" si="213"/>
        <v/>
      </c>
      <c r="O1594" s="10" t="str">
        <f t="shared" si="214"/>
        <v/>
      </c>
      <c r="P1594" s="39" t="str">
        <f t="shared" si="215"/>
        <v/>
      </c>
      <c r="Q1594" s="13" t="str">
        <f t="shared" si="211"/>
        <v/>
      </c>
      <c r="R1594" s="13" t="str">
        <f t="shared" si="216"/>
        <v/>
      </c>
      <c r="S1594" s="13" t="str">
        <f t="shared" si="212"/>
        <v/>
      </c>
      <c r="T1594" s="22" t="str">
        <f>IF(R1594&lt;&gt;"",VLOOKUP(P1594,Constants!$D$3:$E$10,2),"")</f>
        <v/>
      </c>
    </row>
    <row r="1595" spans="12:20" x14ac:dyDescent="0.25">
      <c r="L1595" s="10" t="str">
        <f t="shared" si="209"/>
        <v/>
      </c>
      <c r="M1595" s="10" t="str">
        <f t="shared" si="210"/>
        <v/>
      </c>
      <c r="N1595" s="11" t="str">
        <f t="shared" si="213"/>
        <v/>
      </c>
      <c r="O1595" s="10" t="str">
        <f t="shared" si="214"/>
        <v/>
      </c>
      <c r="P1595" s="39" t="str">
        <f t="shared" si="215"/>
        <v/>
      </c>
      <c r="Q1595" s="13" t="str">
        <f t="shared" si="211"/>
        <v/>
      </c>
      <c r="R1595" s="13" t="str">
        <f t="shared" si="216"/>
        <v/>
      </c>
      <c r="S1595" s="13" t="str">
        <f t="shared" si="212"/>
        <v/>
      </c>
      <c r="T1595" s="22" t="str">
        <f>IF(R1595&lt;&gt;"",VLOOKUP(P1595,Constants!$D$3:$E$10,2),"")</f>
        <v/>
      </c>
    </row>
    <row r="1596" spans="12:20" x14ac:dyDescent="0.25">
      <c r="L1596" s="10" t="str">
        <f t="shared" si="209"/>
        <v/>
      </c>
      <c r="M1596" s="10" t="str">
        <f t="shared" si="210"/>
        <v/>
      </c>
      <c r="N1596" s="11" t="str">
        <f t="shared" si="213"/>
        <v/>
      </c>
      <c r="O1596" s="10" t="str">
        <f t="shared" si="214"/>
        <v/>
      </c>
      <c r="P1596" s="39" t="str">
        <f t="shared" si="215"/>
        <v/>
      </c>
      <c r="Q1596" s="13" t="str">
        <f t="shared" si="211"/>
        <v/>
      </c>
      <c r="R1596" s="13" t="str">
        <f t="shared" si="216"/>
        <v/>
      </c>
      <c r="S1596" s="13" t="str">
        <f t="shared" si="212"/>
        <v/>
      </c>
      <c r="T1596" s="22" t="str">
        <f>IF(R1596&lt;&gt;"",VLOOKUP(P1596,Constants!$D$3:$E$10,2),"")</f>
        <v/>
      </c>
    </row>
    <row r="1597" spans="12:20" x14ac:dyDescent="0.25">
      <c r="L1597" s="10" t="str">
        <f t="shared" si="209"/>
        <v/>
      </c>
      <c r="M1597" s="10" t="str">
        <f t="shared" si="210"/>
        <v/>
      </c>
      <c r="N1597" s="11" t="str">
        <f t="shared" si="213"/>
        <v/>
      </c>
      <c r="O1597" s="10" t="str">
        <f t="shared" si="214"/>
        <v/>
      </c>
      <c r="P1597" s="39" t="str">
        <f t="shared" si="215"/>
        <v/>
      </c>
      <c r="Q1597" s="13" t="str">
        <f t="shared" si="211"/>
        <v/>
      </c>
      <c r="R1597" s="13" t="str">
        <f t="shared" si="216"/>
        <v/>
      </c>
      <c r="S1597" s="13" t="str">
        <f t="shared" si="212"/>
        <v/>
      </c>
      <c r="T1597" s="22" t="str">
        <f>IF(R1597&lt;&gt;"",VLOOKUP(P1597,Constants!$D$3:$E$10,2),"")</f>
        <v/>
      </c>
    </row>
    <row r="1598" spans="12:20" x14ac:dyDescent="0.25">
      <c r="L1598" s="10" t="str">
        <f t="shared" si="209"/>
        <v/>
      </c>
      <c r="M1598" s="10" t="str">
        <f t="shared" si="210"/>
        <v/>
      </c>
      <c r="N1598" s="11" t="str">
        <f t="shared" si="213"/>
        <v/>
      </c>
      <c r="O1598" s="10" t="str">
        <f t="shared" si="214"/>
        <v/>
      </c>
      <c r="P1598" s="39" t="str">
        <f t="shared" si="215"/>
        <v/>
      </c>
      <c r="Q1598" s="13" t="str">
        <f t="shared" si="211"/>
        <v/>
      </c>
      <c r="R1598" s="13" t="str">
        <f t="shared" si="216"/>
        <v/>
      </c>
      <c r="S1598" s="13" t="str">
        <f t="shared" si="212"/>
        <v/>
      </c>
      <c r="T1598" s="22" t="str">
        <f>IF(R1598&lt;&gt;"",VLOOKUP(P1598,Constants!$D$3:$E$10,2),"")</f>
        <v/>
      </c>
    </row>
    <row r="1599" spans="12:20" x14ac:dyDescent="0.25">
      <c r="L1599" s="10" t="str">
        <f t="shared" si="209"/>
        <v/>
      </c>
      <c r="M1599" s="10" t="str">
        <f t="shared" si="210"/>
        <v/>
      </c>
      <c r="N1599" s="11" t="str">
        <f t="shared" si="213"/>
        <v/>
      </c>
      <c r="O1599" s="10" t="str">
        <f t="shared" si="214"/>
        <v/>
      </c>
      <c r="P1599" s="39" t="str">
        <f t="shared" si="215"/>
        <v/>
      </c>
      <c r="Q1599" s="13" t="str">
        <f t="shared" si="211"/>
        <v/>
      </c>
      <c r="R1599" s="13" t="str">
        <f t="shared" si="216"/>
        <v/>
      </c>
      <c r="S1599" s="13" t="str">
        <f t="shared" si="212"/>
        <v/>
      </c>
      <c r="T1599" s="22" t="str">
        <f>IF(R1599&lt;&gt;"",VLOOKUP(P1599,Constants!$D$3:$E$10,2),"")</f>
        <v/>
      </c>
    </row>
    <row r="1600" spans="12:20" x14ac:dyDescent="0.25">
      <c r="L1600" s="10" t="str">
        <f t="shared" si="209"/>
        <v/>
      </c>
      <c r="M1600" s="10" t="str">
        <f t="shared" si="210"/>
        <v/>
      </c>
      <c r="N1600" s="11" t="str">
        <f t="shared" si="213"/>
        <v/>
      </c>
      <c r="O1600" s="10" t="str">
        <f t="shared" si="214"/>
        <v/>
      </c>
      <c r="P1600" s="39" t="str">
        <f t="shared" si="215"/>
        <v/>
      </c>
      <c r="Q1600" s="13" t="str">
        <f t="shared" si="211"/>
        <v/>
      </c>
      <c r="R1600" s="13" t="str">
        <f t="shared" si="216"/>
        <v/>
      </c>
      <c r="S1600" s="13" t="str">
        <f t="shared" si="212"/>
        <v/>
      </c>
      <c r="T1600" s="22" t="str">
        <f>IF(R1600&lt;&gt;"",VLOOKUP(P1600,Constants!$D$3:$E$10,2),"")</f>
        <v/>
      </c>
    </row>
    <row r="1601" spans="12:20" x14ac:dyDescent="0.25">
      <c r="L1601" s="10" t="str">
        <f t="shared" si="209"/>
        <v/>
      </c>
      <c r="M1601" s="10" t="str">
        <f t="shared" si="210"/>
        <v/>
      </c>
      <c r="N1601" s="11" t="str">
        <f t="shared" si="213"/>
        <v/>
      </c>
      <c r="O1601" s="10" t="str">
        <f t="shared" si="214"/>
        <v/>
      </c>
      <c r="P1601" s="39" t="str">
        <f t="shared" si="215"/>
        <v/>
      </c>
      <c r="Q1601" s="13" t="str">
        <f t="shared" si="211"/>
        <v/>
      </c>
      <c r="R1601" s="13" t="str">
        <f t="shared" si="216"/>
        <v/>
      </c>
      <c r="S1601" s="13" t="str">
        <f t="shared" si="212"/>
        <v/>
      </c>
      <c r="T1601" s="22" t="str">
        <f>IF(R1601&lt;&gt;"",VLOOKUP(P1601,Constants!$D$3:$E$10,2),"")</f>
        <v/>
      </c>
    </row>
    <row r="1602" spans="12:20" x14ac:dyDescent="0.25">
      <c r="L1602" s="10" t="str">
        <f t="shared" si="209"/>
        <v/>
      </c>
      <c r="M1602" s="10" t="str">
        <f t="shared" si="210"/>
        <v/>
      </c>
      <c r="N1602" s="11" t="str">
        <f t="shared" si="213"/>
        <v/>
      </c>
      <c r="O1602" s="10" t="str">
        <f t="shared" si="214"/>
        <v/>
      </c>
      <c r="P1602" s="39" t="str">
        <f t="shared" si="215"/>
        <v/>
      </c>
      <c r="Q1602" s="13" t="str">
        <f t="shared" si="211"/>
        <v/>
      </c>
      <c r="R1602" s="13" t="str">
        <f t="shared" si="216"/>
        <v/>
      </c>
      <c r="S1602" s="13" t="str">
        <f t="shared" si="212"/>
        <v/>
      </c>
      <c r="T1602" s="22" t="str">
        <f>IF(R1602&lt;&gt;"",VLOOKUP(P1602,Constants!$D$3:$E$10,2),"")</f>
        <v/>
      </c>
    </row>
    <row r="1603" spans="12:20" x14ac:dyDescent="0.25">
      <c r="L1603" s="10" t="str">
        <f t="shared" si="209"/>
        <v/>
      </c>
      <c r="M1603" s="10" t="str">
        <f t="shared" si="210"/>
        <v/>
      </c>
      <c r="N1603" s="11" t="str">
        <f t="shared" si="213"/>
        <v/>
      </c>
      <c r="O1603" s="10" t="str">
        <f t="shared" si="214"/>
        <v/>
      </c>
      <c r="P1603" s="39" t="str">
        <f t="shared" si="215"/>
        <v/>
      </c>
      <c r="Q1603" s="13" t="str">
        <f t="shared" si="211"/>
        <v/>
      </c>
      <c r="R1603" s="13" t="str">
        <f t="shared" si="216"/>
        <v/>
      </c>
      <c r="S1603" s="13" t="str">
        <f t="shared" si="212"/>
        <v/>
      </c>
      <c r="T1603" s="22" t="str">
        <f>IF(R1603&lt;&gt;"",VLOOKUP(P1603,Constants!$D$3:$E$10,2),"")</f>
        <v/>
      </c>
    </row>
    <row r="1604" spans="12:20" x14ac:dyDescent="0.25">
      <c r="L1604" s="10" t="str">
        <f t="shared" si="209"/>
        <v/>
      </c>
      <c r="M1604" s="10" t="str">
        <f t="shared" si="210"/>
        <v/>
      </c>
      <c r="N1604" s="11" t="str">
        <f t="shared" si="213"/>
        <v/>
      </c>
      <c r="O1604" s="10" t="str">
        <f t="shared" si="214"/>
        <v/>
      </c>
      <c r="P1604" s="39" t="str">
        <f t="shared" si="215"/>
        <v/>
      </c>
      <c r="Q1604" s="13" t="str">
        <f t="shared" si="211"/>
        <v/>
      </c>
      <c r="R1604" s="13" t="str">
        <f t="shared" si="216"/>
        <v/>
      </c>
      <c r="S1604" s="13" t="str">
        <f t="shared" si="212"/>
        <v/>
      </c>
      <c r="T1604" s="22" t="str">
        <f>IF(R1604&lt;&gt;"",VLOOKUP(P1604,Constants!$D$3:$E$10,2),"")</f>
        <v/>
      </c>
    </row>
    <row r="1605" spans="12:20" x14ac:dyDescent="0.25">
      <c r="L1605" s="10" t="str">
        <f t="shared" si="209"/>
        <v/>
      </c>
      <c r="M1605" s="10" t="str">
        <f t="shared" si="210"/>
        <v/>
      </c>
      <c r="N1605" s="11" t="str">
        <f t="shared" si="213"/>
        <v/>
      </c>
      <c r="O1605" s="10" t="str">
        <f t="shared" si="214"/>
        <v/>
      </c>
      <c r="P1605" s="39" t="str">
        <f t="shared" si="215"/>
        <v/>
      </c>
      <c r="Q1605" s="13" t="str">
        <f t="shared" si="211"/>
        <v/>
      </c>
      <c r="R1605" s="13" t="str">
        <f t="shared" si="216"/>
        <v/>
      </c>
      <c r="S1605" s="13" t="str">
        <f t="shared" si="212"/>
        <v/>
      </c>
      <c r="T1605" s="22" t="str">
        <f>IF(R1605&lt;&gt;"",VLOOKUP(P1605,Constants!$D$3:$E$10,2),"")</f>
        <v/>
      </c>
    </row>
    <row r="1606" spans="12:20" x14ac:dyDescent="0.25">
      <c r="L1606" s="10" t="str">
        <f t="shared" si="209"/>
        <v/>
      </c>
      <c r="M1606" s="10" t="str">
        <f t="shared" si="210"/>
        <v/>
      </c>
      <c r="N1606" s="11" t="str">
        <f t="shared" si="213"/>
        <v/>
      </c>
      <c r="O1606" s="10" t="str">
        <f t="shared" si="214"/>
        <v/>
      </c>
      <c r="P1606" s="39" t="str">
        <f t="shared" si="215"/>
        <v/>
      </c>
      <c r="Q1606" s="13" t="str">
        <f t="shared" si="211"/>
        <v/>
      </c>
      <c r="R1606" s="13" t="str">
        <f t="shared" si="216"/>
        <v/>
      </c>
      <c r="S1606" s="13" t="str">
        <f t="shared" si="212"/>
        <v/>
      </c>
      <c r="T1606" s="22" t="str">
        <f>IF(R1606&lt;&gt;"",VLOOKUP(P1606,Constants!$D$3:$E$10,2),"")</f>
        <v/>
      </c>
    </row>
    <row r="1607" spans="12:20" x14ac:dyDescent="0.25">
      <c r="L1607" s="10" t="str">
        <f t="shared" si="209"/>
        <v/>
      </c>
      <c r="M1607" s="10" t="str">
        <f t="shared" si="210"/>
        <v/>
      </c>
      <c r="N1607" s="11" t="str">
        <f t="shared" si="213"/>
        <v/>
      </c>
      <c r="O1607" s="10" t="str">
        <f t="shared" si="214"/>
        <v/>
      </c>
      <c r="P1607" s="39" t="str">
        <f t="shared" si="215"/>
        <v/>
      </c>
      <c r="Q1607" s="13" t="str">
        <f t="shared" si="211"/>
        <v/>
      </c>
      <c r="R1607" s="13" t="str">
        <f t="shared" si="216"/>
        <v/>
      </c>
      <c r="S1607" s="13" t="str">
        <f t="shared" si="212"/>
        <v/>
      </c>
      <c r="T1607" s="22" t="str">
        <f>IF(R1607&lt;&gt;"",VLOOKUP(P1607,Constants!$D$3:$E$10,2),"")</f>
        <v/>
      </c>
    </row>
    <row r="1608" spans="12:20" x14ac:dyDescent="0.25">
      <c r="L1608" s="10" t="str">
        <f t="shared" ref="L1608:L1636" si="217">IF($D1608&lt;&gt;"",$D1608*$E1608/1000,"")</f>
        <v/>
      </c>
      <c r="M1608" s="10" t="str">
        <f t="shared" ref="M1608:M1636" si="218">IF($D1608&lt;&gt;"",$D1608*$F1608/1000,"")</f>
        <v/>
      </c>
      <c r="N1608" s="11" t="str">
        <f t="shared" si="213"/>
        <v/>
      </c>
      <c r="O1608" s="10" t="str">
        <f t="shared" si="214"/>
        <v/>
      </c>
      <c r="P1608" s="39" t="str">
        <f t="shared" si="215"/>
        <v/>
      </c>
      <c r="Q1608" s="13" t="str">
        <f t="shared" ref="Q1608:Q1636" si="219">IF(F1608&lt;&gt;"",F1608*E1608/1000,"")</f>
        <v/>
      </c>
      <c r="R1608" s="13" t="str">
        <f t="shared" si="216"/>
        <v/>
      </c>
      <c r="S1608" s="13" t="str">
        <f t="shared" ref="S1608:S1636" si="220">IF(R1608&lt;&gt;"",Q1608/R1608*1000,"")</f>
        <v/>
      </c>
      <c r="T1608" s="22" t="str">
        <f>IF(R1608&lt;&gt;"",VLOOKUP(P1608,Constants!$D$3:$E$10,2),"")</f>
        <v/>
      </c>
    </row>
    <row r="1609" spans="12:20" x14ac:dyDescent="0.25">
      <c r="L1609" s="10" t="str">
        <f t="shared" si="217"/>
        <v/>
      </c>
      <c r="M1609" s="10" t="str">
        <f t="shared" si="218"/>
        <v/>
      </c>
      <c r="N1609" s="11" t="str">
        <f t="shared" si="213"/>
        <v/>
      </c>
      <c r="O1609" s="10" t="str">
        <f t="shared" si="214"/>
        <v/>
      </c>
      <c r="P1609" s="39" t="str">
        <f t="shared" si="215"/>
        <v/>
      </c>
      <c r="Q1609" s="13" t="str">
        <f t="shared" si="219"/>
        <v/>
      </c>
      <c r="R1609" s="13" t="str">
        <f t="shared" si="216"/>
        <v/>
      </c>
      <c r="S1609" s="13" t="str">
        <f t="shared" si="220"/>
        <v/>
      </c>
      <c r="T1609" s="22" t="str">
        <f>IF(R1609&lt;&gt;"",VLOOKUP(P1609,Constants!$D$3:$E$10,2),"")</f>
        <v/>
      </c>
    </row>
    <row r="1610" spans="12:20" x14ac:dyDescent="0.25">
      <c r="L1610" s="10" t="str">
        <f t="shared" si="217"/>
        <v/>
      </c>
      <c r="M1610" s="10" t="str">
        <f t="shared" si="218"/>
        <v/>
      </c>
      <c r="N1610" s="11" t="str">
        <f t="shared" si="213"/>
        <v/>
      </c>
      <c r="O1610" s="10" t="str">
        <f t="shared" si="214"/>
        <v/>
      </c>
      <c r="P1610" s="39" t="str">
        <f t="shared" si="215"/>
        <v/>
      </c>
      <c r="Q1610" s="13" t="str">
        <f t="shared" si="219"/>
        <v/>
      </c>
      <c r="R1610" s="13" t="str">
        <f t="shared" si="216"/>
        <v/>
      </c>
      <c r="S1610" s="13" t="str">
        <f t="shared" si="220"/>
        <v/>
      </c>
      <c r="T1610" s="22" t="str">
        <f>IF(R1610&lt;&gt;"",VLOOKUP(P1610,Constants!$D$3:$E$10,2),"")</f>
        <v/>
      </c>
    </row>
    <row r="1611" spans="12:20" x14ac:dyDescent="0.25">
      <c r="L1611" s="10" t="str">
        <f t="shared" si="217"/>
        <v/>
      </c>
      <c r="M1611" s="10" t="str">
        <f t="shared" si="218"/>
        <v/>
      </c>
      <c r="N1611" s="11" t="str">
        <f t="shared" si="213"/>
        <v/>
      </c>
      <c r="O1611" s="10" t="str">
        <f t="shared" si="214"/>
        <v/>
      </c>
      <c r="P1611" s="39" t="str">
        <f t="shared" si="215"/>
        <v/>
      </c>
      <c r="Q1611" s="13" t="str">
        <f t="shared" si="219"/>
        <v/>
      </c>
      <c r="R1611" s="13" t="str">
        <f t="shared" si="216"/>
        <v/>
      </c>
      <c r="S1611" s="13" t="str">
        <f t="shared" si="220"/>
        <v/>
      </c>
      <c r="T1611" s="22" t="str">
        <f>IF(R1611&lt;&gt;"",VLOOKUP(P1611,Constants!$D$3:$E$10,2),"")</f>
        <v/>
      </c>
    </row>
    <row r="1612" spans="12:20" x14ac:dyDescent="0.25">
      <c r="L1612" s="10" t="str">
        <f t="shared" si="217"/>
        <v/>
      </c>
      <c r="M1612" s="10" t="str">
        <f t="shared" si="218"/>
        <v/>
      </c>
      <c r="N1612" s="11" t="str">
        <f t="shared" si="213"/>
        <v/>
      </c>
      <c r="O1612" s="10" t="str">
        <f t="shared" si="214"/>
        <v/>
      </c>
      <c r="P1612" s="39" t="str">
        <f t="shared" si="215"/>
        <v/>
      </c>
      <c r="Q1612" s="13" t="str">
        <f t="shared" si="219"/>
        <v/>
      </c>
      <c r="R1612" s="13" t="str">
        <f t="shared" si="216"/>
        <v/>
      </c>
      <c r="S1612" s="13" t="str">
        <f t="shared" si="220"/>
        <v/>
      </c>
      <c r="T1612" s="22" t="str">
        <f>IF(R1612&lt;&gt;"",VLOOKUP(P1612,Constants!$D$3:$E$10,2),"")</f>
        <v/>
      </c>
    </row>
    <row r="1613" spans="12:20" x14ac:dyDescent="0.25">
      <c r="L1613" s="10" t="str">
        <f t="shared" si="217"/>
        <v/>
      </c>
      <c r="M1613" s="10" t="str">
        <f t="shared" si="218"/>
        <v/>
      </c>
      <c r="N1613" s="11" t="str">
        <f t="shared" si="213"/>
        <v/>
      </c>
      <c r="O1613" s="10" t="str">
        <f t="shared" si="214"/>
        <v/>
      </c>
      <c r="P1613" s="39" t="str">
        <f t="shared" si="215"/>
        <v/>
      </c>
      <c r="Q1613" s="13" t="str">
        <f t="shared" si="219"/>
        <v/>
      </c>
      <c r="R1613" s="13" t="str">
        <f t="shared" si="216"/>
        <v/>
      </c>
      <c r="S1613" s="13" t="str">
        <f t="shared" si="220"/>
        <v/>
      </c>
      <c r="T1613" s="22" t="str">
        <f>IF(R1613&lt;&gt;"",VLOOKUP(P1613,Constants!$D$3:$E$10,2),"")</f>
        <v/>
      </c>
    </row>
    <row r="1614" spans="12:20" x14ac:dyDescent="0.25">
      <c r="L1614" s="10" t="str">
        <f t="shared" si="217"/>
        <v/>
      </c>
      <c r="M1614" s="10" t="str">
        <f t="shared" si="218"/>
        <v/>
      </c>
      <c r="N1614" s="11" t="str">
        <f t="shared" si="213"/>
        <v/>
      </c>
      <c r="O1614" s="10" t="str">
        <f t="shared" si="214"/>
        <v/>
      </c>
      <c r="P1614" s="39" t="str">
        <f t="shared" si="215"/>
        <v/>
      </c>
      <c r="Q1614" s="13" t="str">
        <f t="shared" si="219"/>
        <v/>
      </c>
      <c r="R1614" s="13" t="str">
        <f t="shared" si="216"/>
        <v/>
      </c>
      <c r="S1614" s="13" t="str">
        <f t="shared" si="220"/>
        <v/>
      </c>
      <c r="T1614" s="22" t="str">
        <f>IF(R1614&lt;&gt;"",VLOOKUP(P1614,Constants!$D$3:$E$10,2),"")</f>
        <v/>
      </c>
    </row>
    <row r="1615" spans="12:20" x14ac:dyDescent="0.25">
      <c r="L1615" s="10" t="str">
        <f t="shared" si="217"/>
        <v/>
      </c>
      <c r="M1615" s="10" t="str">
        <f t="shared" si="218"/>
        <v/>
      </c>
      <c r="N1615" s="11" t="str">
        <f t="shared" si="213"/>
        <v/>
      </c>
      <c r="O1615" s="10" t="str">
        <f t="shared" si="214"/>
        <v/>
      </c>
      <c r="P1615" s="39" t="str">
        <f t="shared" si="215"/>
        <v/>
      </c>
      <c r="Q1615" s="13" t="str">
        <f t="shared" si="219"/>
        <v/>
      </c>
      <c r="R1615" s="13" t="str">
        <f t="shared" si="216"/>
        <v/>
      </c>
      <c r="S1615" s="13" t="str">
        <f t="shared" si="220"/>
        <v/>
      </c>
      <c r="T1615" s="22" t="str">
        <f>IF(R1615&lt;&gt;"",VLOOKUP(P1615,Constants!$D$3:$E$10,2),"")</f>
        <v/>
      </c>
    </row>
    <row r="1616" spans="12:20" x14ac:dyDescent="0.25">
      <c r="L1616" s="10" t="str">
        <f t="shared" si="217"/>
        <v/>
      </c>
      <c r="M1616" s="10" t="str">
        <f t="shared" si="218"/>
        <v/>
      </c>
      <c r="N1616" s="11" t="str">
        <f t="shared" ref="N1616:N1636" si="221">IF($L1616&lt;&gt;"",SQRT($L1616*$L1616+$M1616*$M1616),"")</f>
        <v/>
      </c>
      <c r="O1616" s="10" t="str">
        <f t="shared" si="214"/>
        <v/>
      </c>
      <c r="P1616" s="39" t="str">
        <f t="shared" si="215"/>
        <v/>
      </c>
      <c r="Q1616" s="13" t="str">
        <f t="shared" si="219"/>
        <v/>
      </c>
      <c r="R1616" s="13" t="str">
        <f t="shared" si="216"/>
        <v/>
      </c>
      <c r="S1616" s="13" t="str">
        <f t="shared" si="220"/>
        <v/>
      </c>
      <c r="T1616" s="22" t="str">
        <f>IF(R1616&lt;&gt;"",VLOOKUP(P1616,Constants!$D$3:$E$10,2),"")</f>
        <v/>
      </c>
    </row>
    <row r="1617" spans="12:20" x14ac:dyDescent="0.25">
      <c r="L1617" s="10" t="str">
        <f t="shared" si="217"/>
        <v/>
      </c>
      <c r="M1617" s="10" t="str">
        <f t="shared" si="218"/>
        <v/>
      </c>
      <c r="N1617" s="11" t="str">
        <f t="shared" si="221"/>
        <v/>
      </c>
      <c r="O1617" s="10" t="str">
        <f t="shared" si="214"/>
        <v/>
      </c>
      <c r="P1617" s="39" t="str">
        <f t="shared" si="215"/>
        <v/>
      </c>
      <c r="Q1617" s="13" t="str">
        <f t="shared" si="219"/>
        <v/>
      </c>
      <c r="R1617" s="13" t="str">
        <f t="shared" si="216"/>
        <v/>
      </c>
      <c r="S1617" s="13" t="str">
        <f t="shared" si="220"/>
        <v/>
      </c>
      <c r="T1617" s="22" t="str">
        <f>IF(R1617&lt;&gt;"",VLOOKUP(P1617,Constants!$D$3:$E$10,2),"")</f>
        <v/>
      </c>
    </row>
    <row r="1618" spans="12:20" x14ac:dyDescent="0.25">
      <c r="L1618" s="10" t="str">
        <f t="shared" si="217"/>
        <v/>
      </c>
      <c r="M1618" s="10" t="str">
        <f t="shared" si="218"/>
        <v/>
      </c>
      <c r="N1618" s="11" t="str">
        <f t="shared" si="221"/>
        <v/>
      </c>
      <c r="O1618" s="10" t="str">
        <f t="shared" si="214"/>
        <v/>
      </c>
      <c r="P1618" s="39" t="str">
        <f t="shared" si="215"/>
        <v/>
      </c>
      <c r="Q1618" s="13" t="str">
        <f t="shared" si="219"/>
        <v/>
      </c>
      <c r="R1618" s="13" t="str">
        <f t="shared" si="216"/>
        <v/>
      </c>
      <c r="S1618" s="13" t="str">
        <f t="shared" si="220"/>
        <v/>
      </c>
      <c r="T1618" s="22" t="str">
        <f>IF(R1618&lt;&gt;"",VLOOKUP(P1618,Constants!$D$3:$E$10,2),"")</f>
        <v/>
      </c>
    </row>
    <row r="1619" spans="12:20" x14ac:dyDescent="0.25">
      <c r="L1619" s="10" t="str">
        <f t="shared" si="217"/>
        <v/>
      </c>
      <c r="M1619" s="10" t="str">
        <f t="shared" si="218"/>
        <v/>
      </c>
      <c r="N1619" s="11" t="str">
        <f t="shared" si="221"/>
        <v/>
      </c>
      <c r="O1619" s="10" t="str">
        <f t="shared" si="214"/>
        <v/>
      </c>
      <c r="P1619" s="39" t="str">
        <f t="shared" si="215"/>
        <v/>
      </c>
      <c r="Q1619" s="13" t="str">
        <f t="shared" si="219"/>
        <v/>
      </c>
      <c r="R1619" s="13" t="str">
        <f t="shared" si="216"/>
        <v/>
      </c>
      <c r="S1619" s="13" t="str">
        <f t="shared" si="220"/>
        <v/>
      </c>
      <c r="T1619" s="22" t="str">
        <f>IF(R1619&lt;&gt;"",VLOOKUP(P1619,Constants!$D$3:$E$10,2),"")</f>
        <v/>
      </c>
    </row>
    <row r="1620" spans="12:20" x14ac:dyDescent="0.25">
      <c r="L1620" s="10" t="str">
        <f t="shared" si="217"/>
        <v/>
      </c>
      <c r="M1620" s="10" t="str">
        <f t="shared" si="218"/>
        <v/>
      </c>
      <c r="N1620" s="11" t="str">
        <f t="shared" si="221"/>
        <v/>
      </c>
      <c r="O1620" s="10" t="str">
        <f t="shared" si="214"/>
        <v/>
      </c>
      <c r="P1620" s="39" t="str">
        <f t="shared" si="215"/>
        <v/>
      </c>
      <c r="Q1620" s="13" t="str">
        <f t="shared" si="219"/>
        <v/>
      </c>
      <c r="R1620" s="13" t="str">
        <f t="shared" si="216"/>
        <v/>
      </c>
      <c r="S1620" s="13" t="str">
        <f t="shared" si="220"/>
        <v/>
      </c>
      <c r="T1620" s="22" t="str">
        <f>IF(R1620&lt;&gt;"",VLOOKUP(P1620,Constants!$D$3:$E$10,2),"")</f>
        <v/>
      </c>
    </row>
    <row r="1621" spans="12:20" x14ac:dyDescent="0.25">
      <c r="L1621" s="10" t="str">
        <f t="shared" si="217"/>
        <v/>
      </c>
      <c r="M1621" s="10" t="str">
        <f t="shared" si="218"/>
        <v/>
      </c>
      <c r="N1621" s="11" t="str">
        <f t="shared" si="221"/>
        <v/>
      </c>
      <c r="O1621" s="10" t="str">
        <f t="shared" si="214"/>
        <v/>
      </c>
      <c r="P1621" s="39" t="str">
        <f t="shared" si="215"/>
        <v/>
      </c>
      <c r="Q1621" s="13" t="str">
        <f t="shared" si="219"/>
        <v/>
      </c>
      <c r="R1621" s="13" t="str">
        <f t="shared" si="216"/>
        <v/>
      </c>
      <c r="S1621" s="13" t="str">
        <f t="shared" si="220"/>
        <v/>
      </c>
      <c r="T1621" s="22" t="str">
        <f>IF(R1621&lt;&gt;"",VLOOKUP(P1621,Constants!$D$3:$E$10,2),"")</f>
        <v/>
      </c>
    </row>
    <row r="1622" spans="12:20" x14ac:dyDescent="0.25">
      <c r="L1622" s="10" t="str">
        <f t="shared" si="217"/>
        <v/>
      </c>
      <c r="M1622" s="10" t="str">
        <f t="shared" si="218"/>
        <v/>
      </c>
      <c r="N1622" s="11" t="str">
        <f t="shared" si="221"/>
        <v/>
      </c>
      <c r="O1622" s="10" t="str">
        <f t="shared" si="214"/>
        <v/>
      </c>
      <c r="P1622" s="39" t="str">
        <f t="shared" si="215"/>
        <v/>
      </c>
      <c r="Q1622" s="13" t="str">
        <f t="shared" si="219"/>
        <v/>
      </c>
      <c r="R1622" s="13" t="str">
        <f t="shared" si="216"/>
        <v/>
      </c>
      <c r="S1622" s="13" t="str">
        <f t="shared" si="220"/>
        <v/>
      </c>
      <c r="T1622" s="22" t="str">
        <f>IF(R1622&lt;&gt;"",VLOOKUP(P1622,Constants!$D$3:$E$10,2),"")</f>
        <v/>
      </c>
    </row>
    <row r="1623" spans="12:20" x14ac:dyDescent="0.25">
      <c r="L1623" s="10" t="str">
        <f t="shared" si="217"/>
        <v/>
      </c>
      <c r="M1623" s="10" t="str">
        <f t="shared" si="218"/>
        <v/>
      </c>
      <c r="N1623" s="11" t="str">
        <f t="shared" si="221"/>
        <v/>
      </c>
      <c r="O1623" s="10" t="str">
        <f t="shared" ref="O1623:O1636" si="222">IF(D1623&lt;&gt;"",1000/(2*D1623),"")</f>
        <v/>
      </c>
      <c r="P1623" s="39" t="str">
        <f t="shared" ref="P1623:P1636" si="223">IF($N1623&lt;&gt;"",D1623*SQRT(E1623*E1623+F1623*F1623)/16000,"")</f>
        <v/>
      </c>
      <c r="Q1623" s="13" t="str">
        <f t="shared" si="219"/>
        <v/>
      </c>
      <c r="R1623" s="13" t="str">
        <f t="shared" ref="R1623:R1636" si="224">IF(G1623&lt;&gt;"",1000/G1623,"")</f>
        <v/>
      </c>
      <c r="S1623" s="13" t="str">
        <f t="shared" si="220"/>
        <v/>
      </c>
      <c r="T1623" s="22" t="str">
        <f>IF(R1623&lt;&gt;"",VLOOKUP(P1623,Constants!$D$3:$E$10,2),"")</f>
        <v/>
      </c>
    </row>
    <row r="1624" spans="12:20" x14ac:dyDescent="0.25">
      <c r="L1624" s="10" t="str">
        <f t="shared" si="217"/>
        <v/>
      </c>
      <c r="M1624" s="10" t="str">
        <f t="shared" si="218"/>
        <v/>
      </c>
      <c r="N1624" s="11" t="str">
        <f t="shared" si="221"/>
        <v/>
      </c>
      <c r="O1624" s="10" t="str">
        <f t="shared" si="222"/>
        <v/>
      </c>
      <c r="P1624" s="39" t="str">
        <f t="shared" si="223"/>
        <v/>
      </c>
      <c r="Q1624" s="13" t="str">
        <f t="shared" si="219"/>
        <v/>
      </c>
      <c r="R1624" s="13" t="str">
        <f t="shared" si="224"/>
        <v/>
      </c>
      <c r="S1624" s="13" t="str">
        <f t="shared" si="220"/>
        <v/>
      </c>
      <c r="T1624" s="22" t="str">
        <f>IF(R1624&lt;&gt;"",VLOOKUP(P1624,Constants!$D$3:$E$10,2),"")</f>
        <v/>
      </c>
    </row>
    <row r="1625" spans="12:20" x14ac:dyDescent="0.25">
      <c r="L1625" s="10" t="str">
        <f t="shared" si="217"/>
        <v/>
      </c>
      <c r="M1625" s="10" t="str">
        <f t="shared" si="218"/>
        <v/>
      </c>
      <c r="N1625" s="11" t="str">
        <f t="shared" si="221"/>
        <v/>
      </c>
      <c r="O1625" s="10" t="str">
        <f t="shared" si="222"/>
        <v/>
      </c>
      <c r="P1625" s="39" t="str">
        <f t="shared" si="223"/>
        <v/>
      </c>
      <c r="Q1625" s="13" t="str">
        <f t="shared" si="219"/>
        <v/>
      </c>
      <c r="R1625" s="13" t="str">
        <f t="shared" si="224"/>
        <v/>
      </c>
      <c r="S1625" s="13" t="str">
        <f t="shared" si="220"/>
        <v/>
      </c>
      <c r="T1625" s="22" t="str">
        <f>IF(R1625&lt;&gt;"",VLOOKUP(P1625,Constants!$D$3:$E$10,2),"")</f>
        <v/>
      </c>
    </row>
    <row r="1626" spans="12:20" x14ac:dyDescent="0.25">
      <c r="L1626" s="10" t="str">
        <f t="shared" si="217"/>
        <v/>
      </c>
      <c r="M1626" s="10" t="str">
        <f t="shared" si="218"/>
        <v/>
      </c>
      <c r="N1626" s="11" t="str">
        <f t="shared" si="221"/>
        <v/>
      </c>
      <c r="O1626" s="10" t="str">
        <f t="shared" si="222"/>
        <v/>
      </c>
      <c r="P1626" s="39" t="str">
        <f t="shared" si="223"/>
        <v/>
      </c>
      <c r="Q1626" s="13" t="str">
        <f t="shared" si="219"/>
        <v/>
      </c>
      <c r="R1626" s="13" t="str">
        <f t="shared" si="224"/>
        <v/>
      </c>
      <c r="S1626" s="13" t="str">
        <f t="shared" si="220"/>
        <v/>
      </c>
      <c r="T1626" s="22" t="str">
        <f>IF(R1626&lt;&gt;"",VLOOKUP(P1626,Constants!$D$3:$E$10,2),"")</f>
        <v/>
      </c>
    </row>
    <row r="1627" spans="12:20" x14ac:dyDescent="0.25">
      <c r="L1627" s="10" t="str">
        <f t="shared" si="217"/>
        <v/>
      </c>
      <c r="M1627" s="10" t="str">
        <f t="shared" si="218"/>
        <v/>
      </c>
      <c r="N1627" s="11" t="str">
        <f t="shared" si="221"/>
        <v/>
      </c>
      <c r="O1627" s="10" t="str">
        <f t="shared" si="222"/>
        <v/>
      </c>
      <c r="P1627" s="39" t="str">
        <f t="shared" si="223"/>
        <v/>
      </c>
      <c r="Q1627" s="13" t="str">
        <f t="shared" si="219"/>
        <v/>
      </c>
      <c r="R1627" s="13" t="str">
        <f t="shared" si="224"/>
        <v/>
      </c>
      <c r="S1627" s="13" t="str">
        <f t="shared" si="220"/>
        <v/>
      </c>
      <c r="T1627" s="22" t="str">
        <f>IF(R1627&lt;&gt;"",VLOOKUP(P1627,Constants!$D$3:$E$10,2),"")</f>
        <v/>
      </c>
    </row>
    <row r="1628" spans="12:20" x14ac:dyDescent="0.25">
      <c r="L1628" s="10" t="str">
        <f t="shared" si="217"/>
        <v/>
      </c>
      <c r="M1628" s="10" t="str">
        <f t="shared" si="218"/>
        <v/>
      </c>
      <c r="N1628" s="11" t="str">
        <f t="shared" si="221"/>
        <v/>
      </c>
      <c r="O1628" s="10" t="str">
        <f t="shared" si="222"/>
        <v/>
      </c>
      <c r="P1628" s="39" t="str">
        <f t="shared" si="223"/>
        <v/>
      </c>
      <c r="Q1628" s="13" t="str">
        <f t="shared" si="219"/>
        <v/>
      </c>
      <c r="R1628" s="13" t="str">
        <f t="shared" si="224"/>
        <v/>
      </c>
      <c r="S1628" s="13" t="str">
        <f t="shared" si="220"/>
        <v/>
      </c>
      <c r="T1628" s="22" t="str">
        <f>IF(R1628&lt;&gt;"",VLOOKUP(P1628,Constants!$D$3:$E$10,2),"")</f>
        <v/>
      </c>
    </row>
    <row r="1629" spans="12:20" x14ac:dyDescent="0.25">
      <c r="L1629" s="10" t="str">
        <f t="shared" si="217"/>
        <v/>
      </c>
      <c r="M1629" s="10" t="str">
        <f t="shared" si="218"/>
        <v/>
      </c>
      <c r="N1629" s="11" t="str">
        <f t="shared" si="221"/>
        <v/>
      </c>
      <c r="O1629" s="10" t="str">
        <f t="shared" si="222"/>
        <v/>
      </c>
      <c r="P1629" s="39" t="str">
        <f t="shared" si="223"/>
        <v/>
      </c>
      <c r="Q1629" s="13" t="str">
        <f t="shared" si="219"/>
        <v/>
      </c>
      <c r="R1629" s="13" t="str">
        <f t="shared" si="224"/>
        <v/>
      </c>
      <c r="S1629" s="13" t="str">
        <f t="shared" si="220"/>
        <v/>
      </c>
      <c r="T1629" s="22" t="str">
        <f>IF(R1629&lt;&gt;"",VLOOKUP(P1629,Constants!$D$3:$E$10,2),"")</f>
        <v/>
      </c>
    </row>
    <row r="1630" spans="12:20" x14ac:dyDescent="0.25">
      <c r="L1630" s="10" t="str">
        <f t="shared" si="217"/>
        <v/>
      </c>
      <c r="M1630" s="10" t="str">
        <f t="shared" si="218"/>
        <v/>
      </c>
      <c r="N1630" s="11" t="str">
        <f t="shared" si="221"/>
        <v/>
      </c>
      <c r="O1630" s="10" t="str">
        <f t="shared" si="222"/>
        <v/>
      </c>
      <c r="P1630" s="39" t="str">
        <f t="shared" si="223"/>
        <v/>
      </c>
      <c r="Q1630" s="13" t="str">
        <f t="shared" si="219"/>
        <v/>
      </c>
      <c r="R1630" s="13" t="str">
        <f t="shared" si="224"/>
        <v/>
      </c>
      <c r="S1630" s="13" t="str">
        <f t="shared" si="220"/>
        <v/>
      </c>
      <c r="T1630" s="22" t="str">
        <f>IF(R1630&lt;&gt;"",VLOOKUP(P1630,Constants!$D$3:$E$10,2),"")</f>
        <v/>
      </c>
    </row>
    <row r="1631" spans="12:20" x14ac:dyDescent="0.25">
      <c r="L1631" s="10" t="str">
        <f t="shared" si="217"/>
        <v/>
      </c>
      <c r="M1631" s="10" t="str">
        <f t="shared" si="218"/>
        <v/>
      </c>
      <c r="N1631" s="11" t="str">
        <f t="shared" si="221"/>
        <v/>
      </c>
      <c r="O1631" s="10" t="str">
        <f t="shared" si="222"/>
        <v/>
      </c>
      <c r="P1631" s="39" t="str">
        <f t="shared" si="223"/>
        <v/>
      </c>
      <c r="Q1631" s="13" t="str">
        <f t="shared" si="219"/>
        <v/>
      </c>
      <c r="R1631" s="13" t="str">
        <f t="shared" si="224"/>
        <v/>
      </c>
      <c r="S1631" s="13" t="str">
        <f t="shared" si="220"/>
        <v/>
      </c>
      <c r="T1631" s="22" t="str">
        <f>IF(R1631&lt;&gt;"",VLOOKUP(P1631,Constants!$D$3:$E$10,2),"")</f>
        <v/>
      </c>
    </row>
    <row r="1632" spans="12:20" x14ac:dyDescent="0.25">
      <c r="L1632" s="10" t="str">
        <f t="shared" si="217"/>
        <v/>
      </c>
      <c r="M1632" s="10" t="str">
        <f t="shared" si="218"/>
        <v/>
      </c>
      <c r="N1632" s="11" t="str">
        <f t="shared" si="221"/>
        <v/>
      </c>
      <c r="O1632" s="10" t="str">
        <f t="shared" si="222"/>
        <v/>
      </c>
      <c r="P1632" s="39" t="str">
        <f t="shared" si="223"/>
        <v/>
      </c>
      <c r="Q1632" s="13" t="str">
        <f t="shared" si="219"/>
        <v/>
      </c>
      <c r="R1632" s="13" t="str">
        <f t="shared" si="224"/>
        <v/>
      </c>
      <c r="S1632" s="13" t="str">
        <f t="shared" si="220"/>
        <v/>
      </c>
      <c r="T1632" s="22" t="str">
        <f>IF(R1632&lt;&gt;"",VLOOKUP(P1632,Constants!$D$3:$E$10,2),"")</f>
        <v/>
      </c>
    </row>
    <row r="1633" spans="12:20" x14ac:dyDescent="0.25">
      <c r="L1633" s="10" t="str">
        <f t="shared" si="217"/>
        <v/>
      </c>
      <c r="M1633" s="10" t="str">
        <f t="shared" si="218"/>
        <v/>
      </c>
      <c r="N1633" s="11" t="str">
        <f t="shared" si="221"/>
        <v/>
      </c>
      <c r="O1633" s="10" t="str">
        <f t="shared" si="222"/>
        <v/>
      </c>
      <c r="P1633" s="39" t="str">
        <f t="shared" si="223"/>
        <v/>
      </c>
      <c r="Q1633" s="13" t="str">
        <f t="shared" si="219"/>
        <v/>
      </c>
      <c r="R1633" s="13" t="str">
        <f t="shared" si="224"/>
        <v/>
      </c>
      <c r="S1633" s="13" t="str">
        <f t="shared" si="220"/>
        <v/>
      </c>
      <c r="T1633" s="22" t="str">
        <f>IF(R1633&lt;&gt;"",VLOOKUP(P1633,Constants!$D$3:$E$10,2),"")</f>
        <v/>
      </c>
    </row>
    <row r="1634" spans="12:20" x14ac:dyDescent="0.25">
      <c r="L1634" s="10" t="str">
        <f t="shared" si="217"/>
        <v/>
      </c>
      <c r="M1634" s="10" t="str">
        <f t="shared" si="218"/>
        <v/>
      </c>
      <c r="N1634" s="11" t="str">
        <f t="shared" si="221"/>
        <v/>
      </c>
      <c r="O1634" s="10" t="str">
        <f t="shared" si="222"/>
        <v/>
      </c>
      <c r="P1634" s="39" t="str">
        <f t="shared" si="223"/>
        <v/>
      </c>
      <c r="Q1634" s="13" t="str">
        <f t="shared" si="219"/>
        <v/>
      </c>
      <c r="R1634" s="13" t="str">
        <f t="shared" si="224"/>
        <v/>
      </c>
      <c r="S1634" s="13" t="str">
        <f t="shared" si="220"/>
        <v/>
      </c>
      <c r="T1634" s="22" t="str">
        <f>IF(R1634&lt;&gt;"",VLOOKUP(P1634,Constants!$D$3:$E$10,2),"")</f>
        <v/>
      </c>
    </row>
    <row r="1635" spans="12:20" x14ac:dyDescent="0.25">
      <c r="L1635" s="10" t="str">
        <f t="shared" si="217"/>
        <v/>
      </c>
      <c r="M1635" s="10" t="str">
        <f t="shared" si="218"/>
        <v/>
      </c>
      <c r="N1635" s="11" t="str">
        <f t="shared" si="221"/>
        <v/>
      </c>
      <c r="O1635" s="10" t="str">
        <f t="shared" si="222"/>
        <v/>
      </c>
      <c r="P1635" s="39" t="str">
        <f t="shared" si="223"/>
        <v/>
      </c>
      <c r="Q1635" s="13" t="str">
        <f t="shared" si="219"/>
        <v/>
      </c>
      <c r="R1635" s="13" t="str">
        <f t="shared" si="224"/>
        <v/>
      </c>
      <c r="S1635" s="13" t="str">
        <f t="shared" si="220"/>
        <v/>
      </c>
      <c r="T1635" s="22" t="str">
        <f>IF(R1635&lt;&gt;"",VLOOKUP(P1635,Constants!$D$3:$E$10,2),"")</f>
        <v/>
      </c>
    </row>
    <row r="1636" spans="12:20" x14ac:dyDescent="0.25">
      <c r="L1636" s="10" t="str">
        <f t="shared" si="217"/>
        <v/>
      </c>
      <c r="M1636" s="10" t="str">
        <f t="shared" si="218"/>
        <v/>
      </c>
      <c r="N1636" s="11" t="str">
        <f t="shared" si="221"/>
        <v/>
      </c>
      <c r="O1636" s="10" t="str">
        <f t="shared" si="222"/>
        <v/>
      </c>
      <c r="P1636" s="39" t="str">
        <f t="shared" si="223"/>
        <v/>
      </c>
      <c r="Q1636" s="13" t="str">
        <f t="shared" si="219"/>
        <v/>
      </c>
      <c r="R1636" s="13" t="str">
        <f t="shared" si="224"/>
        <v/>
      </c>
      <c r="S1636" s="13" t="str">
        <f t="shared" si="220"/>
        <v/>
      </c>
      <c r="T1636" s="22" t="str">
        <f>IF(R1636&lt;&gt;"",VLOOKUP(P1636,Constants!$D$3:$E$10,2),"")</f>
        <v/>
      </c>
    </row>
  </sheetData>
  <sheetProtection sheet="1" objects="1" scenarios="1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7929BE6-1319-42BC-A7BB-6EDC42124D80}">
          <x14:formula1>
            <xm:f>Constants!$H$3:$H$4</xm:f>
          </x14:formula1>
          <xm:sqref>J3:J1071</xm:sqref>
        </x14:dataValidation>
        <x14:dataValidation type="list" allowBlank="1" showInputMessage="1" showErrorMessage="1" xr:uid="{AA3CB618-B48D-4342-A25A-CCEDB8C23D0E}">
          <x14:formula1>
            <xm:f>Constants!$B$3:$B$5</xm:f>
          </x14:formula1>
          <xm:sqref>I1:I1048576</xm:sqref>
        </x14:dataValidation>
        <x14:dataValidation type="list" allowBlank="1" showInputMessage="1" showErrorMessage="1" xr:uid="{9DCCD2B2-FF75-4FC4-9371-DC241E3D71BF}">
          <x14:formula1>
            <xm:f>Constants!$C$3:$C$4</xm:f>
          </x14:formula1>
          <xm:sqref>H1:H1048576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87E47-549F-442F-954E-B524C7857402}">
  <sheetPr codeName="Full3"/>
  <dimension ref="B1:J449"/>
  <sheetViews>
    <sheetView topLeftCell="A18" workbookViewId="0">
      <selection activeCell="H42" sqref="H42"/>
    </sheetView>
  </sheetViews>
  <sheetFormatPr defaultColWidth="11.5703125" defaultRowHeight="15" x14ac:dyDescent="0.25"/>
  <cols>
    <col min="2" max="2" width="20.7109375" customWidth="1"/>
    <col min="3" max="3" width="52.28515625" customWidth="1"/>
    <col min="4" max="4" width="18.85546875" style="20" customWidth="1"/>
    <col min="5" max="5" width="20.7109375" style="9" customWidth="1"/>
    <col min="6" max="6" width="20.7109375" customWidth="1"/>
    <col min="7" max="7" width="20.7109375" style="33" customWidth="1"/>
    <col min="8" max="8" width="12.85546875" customWidth="1"/>
    <col min="9" max="9" width="16.7109375" style="23" customWidth="1"/>
    <col min="10" max="10" width="17" customWidth="1"/>
  </cols>
  <sheetData>
    <row r="1" spans="2:10" ht="30" x14ac:dyDescent="0.25">
      <c r="B1" s="24" t="s">
        <v>1</v>
      </c>
      <c r="C1" s="24" t="s">
        <v>5</v>
      </c>
      <c r="D1" s="31" t="s">
        <v>182</v>
      </c>
      <c r="E1" s="28" t="s">
        <v>207</v>
      </c>
      <c r="F1" s="24" t="s">
        <v>25</v>
      </c>
      <c r="G1" s="24" t="s">
        <v>199</v>
      </c>
      <c r="H1" s="24" t="s">
        <v>134</v>
      </c>
      <c r="I1" s="24" t="s">
        <v>88</v>
      </c>
      <c r="J1" s="24" t="s">
        <v>201</v>
      </c>
    </row>
    <row r="2" spans="2:10" x14ac:dyDescent="0.25">
      <c r="B2" s="4"/>
      <c r="C2" s="14" t="s">
        <v>18</v>
      </c>
      <c r="D2" s="19"/>
      <c r="E2" s="14"/>
      <c r="F2" s="4"/>
      <c r="G2" s="32"/>
      <c r="H2" s="4"/>
      <c r="I2" s="4"/>
      <c r="J2" s="4"/>
    </row>
    <row r="3" spans="2:10" x14ac:dyDescent="0.25">
      <c r="B3" s="59" t="s">
        <v>19</v>
      </c>
      <c r="C3" s="59"/>
      <c r="D3" s="71"/>
      <c r="E3" s="60"/>
      <c r="F3" s="59"/>
      <c r="G3" s="72"/>
      <c r="H3" s="59"/>
      <c r="I3" s="22" t="str">
        <f>IF(D3&lt;&gt;"",VLOOKUP(E3,Constants!$D$3:$E$10,2),"")</f>
        <v/>
      </c>
      <c r="J3" s="76"/>
    </row>
    <row r="4" spans="2:10" x14ac:dyDescent="0.25">
      <c r="B4" s="59"/>
      <c r="C4" s="59"/>
      <c r="D4" s="71"/>
      <c r="E4" s="60"/>
      <c r="F4" s="59"/>
      <c r="G4" s="72"/>
      <c r="H4" s="59"/>
      <c r="I4" s="22" t="str">
        <f>IF(D4&lt;&gt;"",VLOOKUP(E4,Constants!$D$3:$E$10,2),"")</f>
        <v/>
      </c>
      <c r="J4" s="76"/>
    </row>
    <row r="5" spans="2:10" x14ac:dyDescent="0.25">
      <c r="B5" s="59"/>
      <c r="C5" s="59"/>
      <c r="D5" s="71"/>
      <c r="E5" s="60"/>
      <c r="F5" s="59"/>
      <c r="G5" s="72"/>
      <c r="H5" s="59"/>
      <c r="I5" s="22" t="str">
        <f>IF(D5&lt;&gt;"",VLOOKUP(E5,Constants!$D$3:$E$10,2),"")</f>
        <v/>
      </c>
      <c r="J5" s="76"/>
    </row>
    <row r="6" spans="2:10" x14ac:dyDescent="0.25">
      <c r="B6" s="63"/>
      <c r="C6" s="64" t="s">
        <v>183</v>
      </c>
      <c r="D6" s="73"/>
      <c r="E6" s="64"/>
      <c r="F6" s="63"/>
      <c r="G6" s="74"/>
      <c r="H6" s="63"/>
      <c r="I6" s="21"/>
      <c r="J6" s="77"/>
    </row>
    <row r="7" spans="2:10" x14ac:dyDescent="0.25">
      <c r="B7" s="59" t="s">
        <v>37</v>
      </c>
      <c r="C7" s="59" t="s">
        <v>39</v>
      </c>
      <c r="D7" s="71">
        <v>6</v>
      </c>
      <c r="E7" s="60">
        <f>1/2</f>
        <v>0.5</v>
      </c>
      <c r="F7" s="59">
        <v>100</v>
      </c>
      <c r="G7" s="75">
        <f>1/(2*0.0062)</f>
        <v>80.645161290322577</v>
      </c>
      <c r="H7" s="59" t="s">
        <v>136</v>
      </c>
      <c r="I7" s="22" t="str">
        <f>IF(D7&lt;&gt;"",VLOOKUP(E7,Constants!$D$3:$E$10,2),"")</f>
        <v>1/2</v>
      </c>
      <c r="J7" s="76">
        <v>1.5</v>
      </c>
    </row>
    <row r="8" spans="2:10" x14ac:dyDescent="0.25">
      <c r="B8" s="59" t="s">
        <v>38</v>
      </c>
      <c r="C8" s="59" t="s">
        <v>40</v>
      </c>
      <c r="D8" s="71">
        <v>9</v>
      </c>
      <c r="E8" s="60">
        <v>0.66666666666666663</v>
      </c>
      <c r="F8" s="59">
        <v>100</v>
      </c>
      <c r="G8" s="75">
        <f t="shared" ref="G8:G14" si="0">1/(2*0.0062)</f>
        <v>80.645161290322577</v>
      </c>
      <c r="H8" s="59" t="s">
        <v>136</v>
      </c>
      <c r="I8" s="22" t="str">
        <f>IF(D8&lt;&gt;"",VLOOKUP(E8,Constants!$D$3:$E$10,2),"")</f>
        <v>2/3</v>
      </c>
      <c r="J8" s="76">
        <v>1.5</v>
      </c>
    </row>
    <row r="9" spans="2:10" x14ac:dyDescent="0.25">
      <c r="B9" s="59" t="s">
        <v>41</v>
      </c>
      <c r="C9" s="59" t="s">
        <v>42</v>
      </c>
      <c r="D9" s="71">
        <v>12.5</v>
      </c>
      <c r="E9" s="60">
        <v>0.66666666666666663</v>
      </c>
      <c r="F9" s="59">
        <v>100</v>
      </c>
      <c r="G9" s="75">
        <f t="shared" si="0"/>
        <v>80.645161290322577</v>
      </c>
      <c r="H9" s="59" t="s">
        <v>136</v>
      </c>
      <c r="I9" s="22" t="str">
        <f>IF(D9&lt;&gt;"",VLOOKUP(E9,Constants!$D$3:$E$10,2),"")</f>
        <v>2/3</v>
      </c>
      <c r="J9" s="76">
        <v>1.5</v>
      </c>
    </row>
    <row r="10" spans="2:10" x14ac:dyDescent="0.25">
      <c r="B10" s="59" t="s">
        <v>43</v>
      </c>
      <c r="C10" s="59" t="s">
        <v>44</v>
      </c>
      <c r="D10" s="71">
        <v>16</v>
      </c>
      <c r="E10" s="60">
        <v>0.66666666666666663</v>
      </c>
      <c r="F10" s="59">
        <v>100</v>
      </c>
      <c r="G10" s="75">
        <f t="shared" si="0"/>
        <v>80.645161290322577</v>
      </c>
      <c r="H10" s="59" t="s">
        <v>136</v>
      </c>
      <c r="I10" s="22" t="str">
        <f>IF(D10&lt;&gt;"",VLOOKUP(E10,Constants!$D$3:$E$10,2),"")</f>
        <v>2/3</v>
      </c>
      <c r="J10" s="76">
        <v>1.5</v>
      </c>
    </row>
    <row r="11" spans="2:10" x14ac:dyDescent="0.25">
      <c r="B11" s="59" t="s">
        <v>45</v>
      </c>
      <c r="C11" s="59" t="s">
        <v>49</v>
      </c>
      <c r="D11" s="71">
        <v>25</v>
      </c>
      <c r="E11" s="60">
        <v>0.66666666666666663</v>
      </c>
      <c r="F11" s="59">
        <v>150</v>
      </c>
      <c r="G11" s="75">
        <f t="shared" si="0"/>
        <v>80.645161290322577</v>
      </c>
      <c r="H11" s="59" t="s">
        <v>136</v>
      </c>
      <c r="I11" s="22" t="str">
        <f>IF(D11&lt;&gt;"",VLOOKUP(E11,Constants!$D$3:$E$10,2),"")</f>
        <v>2/3</v>
      </c>
      <c r="J11" s="76">
        <v>1.5</v>
      </c>
    </row>
    <row r="12" spans="2:10" x14ac:dyDescent="0.25">
      <c r="B12" s="59" t="s">
        <v>46</v>
      </c>
      <c r="C12" s="59" t="s">
        <v>50</v>
      </c>
      <c r="D12" s="71">
        <v>35</v>
      </c>
      <c r="E12" s="60">
        <v>0.66666666666666663</v>
      </c>
      <c r="F12" s="59">
        <v>250</v>
      </c>
      <c r="G12" s="75">
        <f t="shared" si="0"/>
        <v>80.645161290322577</v>
      </c>
      <c r="H12" s="59" t="s">
        <v>136</v>
      </c>
      <c r="I12" s="22" t="str">
        <f>IF(D12&lt;&gt;"",VLOOKUP(E12,Constants!$D$3:$E$10,2),"")</f>
        <v>2/3</v>
      </c>
      <c r="J12" s="76">
        <v>1.5</v>
      </c>
    </row>
    <row r="13" spans="2:10" x14ac:dyDescent="0.25">
      <c r="B13" s="59" t="s">
        <v>47</v>
      </c>
      <c r="C13" s="59" t="s">
        <v>51</v>
      </c>
      <c r="D13" s="71">
        <v>50</v>
      </c>
      <c r="E13" s="60">
        <v>0.66666666666666663</v>
      </c>
      <c r="F13" s="59">
        <v>500</v>
      </c>
      <c r="G13" s="75">
        <f t="shared" si="0"/>
        <v>80.645161290322577</v>
      </c>
      <c r="H13" s="59" t="s">
        <v>136</v>
      </c>
      <c r="I13" s="22" t="str">
        <f>IF(D13&lt;&gt;"",VLOOKUP(E13,Constants!$D$3:$E$10,2),"")</f>
        <v>2/3</v>
      </c>
      <c r="J13" s="76">
        <v>1.5</v>
      </c>
    </row>
    <row r="14" spans="2:10" x14ac:dyDescent="0.25">
      <c r="B14" s="59" t="s">
        <v>48</v>
      </c>
      <c r="C14" s="59" t="s">
        <v>52</v>
      </c>
      <c r="D14" s="71">
        <v>75</v>
      </c>
      <c r="E14" s="60">
        <v>0.66666666666666663</v>
      </c>
      <c r="F14" s="59">
        <v>1100</v>
      </c>
      <c r="G14" s="75">
        <f t="shared" si="0"/>
        <v>80.645161290322577</v>
      </c>
      <c r="H14" s="59" t="s">
        <v>136</v>
      </c>
      <c r="I14" s="22" t="str">
        <f>IF(D14&lt;&gt;"",VLOOKUP(E14,Constants!$D$3:$E$10,2),"")</f>
        <v>2/3</v>
      </c>
      <c r="J14" s="76">
        <v>1.5</v>
      </c>
    </row>
    <row r="15" spans="2:10" x14ac:dyDescent="0.25">
      <c r="B15" s="59"/>
      <c r="C15" s="59"/>
      <c r="D15" s="71"/>
      <c r="E15" s="60"/>
      <c r="F15" s="59"/>
      <c r="G15" s="72"/>
      <c r="H15" s="59"/>
      <c r="I15" s="22" t="str">
        <f>IF(D15&lt;&gt;"",VLOOKUP(E15,Constants!$D$3:$E$10,2),"")</f>
        <v/>
      </c>
      <c r="J15" s="76"/>
    </row>
    <row r="16" spans="2:10" x14ac:dyDescent="0.25">
      <c r="B16" s="59" t="s">
        <v>53</v>
      </c>
      <c r="C16" s="59" t="s">
        <v>54</v>
      </c>
      <c r="D16" s="71">
        <v>6</v>
      </c>
      <c r="E16" s="60">
        <v>0.66666666666666663</v>
      </c>
      <c r="F16" s="59">
        <v>100</v>
      </c>
      <c r="G16" s="72">
        <f>1/(2*0.00345)</f>
        <v>144.92753623188406</v>
      </c>
      <c r="H16" s="59" t="s">
        <v>136</v>
      </c>
      <c r="I16" s="22" t="str">
        <f>IF(D16&lt;&gt;"",VLOOKUP(E16,Constants!$D$3:$E$10,2),"")</f>
        <v>2/3</v>
      </c>
      <c r="J16" s="76">
        <v>5</v>
      </c>
    </row>
    <row r="17" spans="2:10" x14ac:dyDescent="0.25">
      <c r="B17" s="59" t="s">
        <v>55</v>
      </c>
      <c r="C17" s="59" t="s">
        <v>56</v>
      </c>
      <c r="D17" s="71">
        <v>8</v>
      </c>
      <c r="E17" s="60">
        <v>0.66666666666666663</v>
      </c>
      <c r="F17" s="59">
        <v>100</v>
      </c>
      <c r="G17" s="72">
        <f t="shared" ref="G17:G22" si="1">1/(2*0.00345)</f>
        <v>144.92753623188406</v>
      </c>
      <c r="H17" s="59" t="s">
        <v>136</v>
      </c>
      <c r="I17" s="22" t="str">
        <f>IF(D17&lt;&gt;"",VLOOKUP(E17,Constants!$D$3:$E$10,2),"")</f>
        <v>2/3</v>
      </c>
      <c r="J17" s="76">
        <v>5</v>
      </c>
    </row>
    <row r="18" spans="2:10" x14ac:dyDescent="0.25">
      <c r="B18" s="59" t="s">
        <v>57</v>
      </c>
      <c r="C18" s="59" t="s">
        <v>58</v>
      </c>
      <c r="D18" s="71">
        <v>12</v>
      </c>
      <c r="E18" s="60">
        <v>0.66666666666666663</v>
      </c>
      <c r="F18" s="59">
        <v>100</v>
      </c>
      <c r="G18" s="72">
        <f t="shared" si="1"/>
        <v>144.92753623188406</v>
      </c>
      <c r="H18" s="59" t="s">
        <v>136</v>
      </c>
      <c r="I18" s="22" t="str">
        <f>IF(D18&lt;&gt;"",VLOOKUP(E18,Constants!$D$3:$E$10,2),"")</f>
        <v>2/3</v>
      </c>
      <c r="J18" s="76">
        <v>5</v>
      </c>
    </row>
    <row r="19" spans="2:10" x14ac:dyDescent="0.25">
      <c r="B19" s="59" t="s">
        <v>59</v>
      </c>
      <c r="C19" s="59" t="s">
        <v>60</v>
      </c>
      <c r="D19" s="71">
        <v>16</v>
      </c>
      <c r="E19" s="60">
        <v>0.66666666666666663</v>
      </c>
      <c r="F19" s="59">
        <v>100</v>
      </c>
      <c r="G19" s="72">
        <f t="shared" si="1"/>
        <v>144.92753623188406</v>
      </c>
      <c r="H19" s="59" t="s">
        <v>136</v>
      </c>
      <c r="I19" s="22" t="str">
        <f>IF(D19&lt;&gt;"",VLOOKUP(E19,Constants!$D$3:$E$10,2),"")</f>
        <v>2/3</v>
      </c>
      <c r="J19" s="76">
        <v>5</v>
      </c>
    </row>
    <row r="20" spans="2:10" x14ac:dyDescent="0.25">
      <c r="B20" s="59" t="s">
        <v>61</v>
      </c>
      <c r="C20" s="59" t="s">
        <v>62</v>
      </c>
      <c r="D20" s="71">
        <v>25</v>
      </c>
      <c r="E20" s="60">
        <v>0.66666666666666663</v>
      </c>
      <c r="F20" s="59">
        <v>100</v>
      </c>
      <c r="G20" s="72">
        <f t="shared" si="1"/>
        <v>144.92753623188406</v>
      </c>
      <c r="H20" s="59" t="s">
        <v>136</v>
      </c>
      <c r="I20" s="22" t="str">
        <f>IF(D20&lt;&gt;"",VLOOKUP(E20,Constants!$D$3:$E$10,2),"")</f>
        <v>2/3</v>
      </c>
      <c r="J20" s="76">
        <v>5</v>
      </c>
    </row>
    <row r="21" spans="2:10" x14ac:dyDescent="0.25">
      <c r="B21" s="59" t="s">
        <v>63</v>
      </c>
      <c r="C21" s="59" t="s">
        <v>64</v>
      </c>
      <c r="D21" s="71">
        <v>35</v>
      </c>
      <c r="E21" s="60">
        <v>0.66666666666666663</v>
      </c>
      <c r="F21" s="59">
        <v>200</v>
      </c>
      <c r="G21" s="72">
        <f t="shared" si="1"/>
        <v>144.92753623188406</v>
      </c>
      <c r="H21" s="59" t="s">
        <v>136</v>
      </c>
      <c r="I21" s="22" t="str">
        <f>IF(D21&lt;&gt;"",VLOOKUP(E21,Constants!$D$3:$E$10,2),"")</f>
        <v>2/3</v>
      </c>
      <c r="J21" s="76">
        <v>5</v>
      </c>
    </row>
    <row r="22" spans="2:10" x14ac:dyDescent="0.25">
      <c r="B22" s="59" t="s">
        <v>65</v>
      </c>
      <c r="C22" s="59" t="s">
        <v>66</v>
      </c>
      <c r="D22" s="71">
        <v>50</v>
      </c>
      <c r="E22" s="60">
        <v>0.66666666666666663</v>
      </c>
      <c r="F22" s="59">
        <v>200</v>
      </c>
      <c r="G22" s="72">
        <f t="shared" si="1"/>
        <v>144.92753623188406</v>
      </c>
      <c r="H22" s="59" t="s">
        <v>136</v>
      </c>
      <c r="I22" s="22" t="str">
        <f>IF(D22&lt;&gt;"",VLOOKUP(E22,Constants!$D$3:$E$10,2),"")</f>
        <v>2/3</v>
      </c>
      <c r="J22" s="76">
        <v>5</v>
      </c>
    </row>
    <row r="23" spans="2:10" x14ac:dyDescent="0.25">
      <c r="B23" s="59"/>
      <c r="C23" s="59"/>
      <c r="D23" s="71"/>
      <c r="E23" s="60"/>
      <c r="F23" s="59"/>
      <c r="G23" s="72"/>
      <c r="H23" s="59"/>
      <c r="I23" s="22" t="str">
        <f>IF(D23&lt;&gt;"",VLOOKUP(E23,Constants!$D$3:$E$10,2),"")</f>
        <v/>
      </c>
      <c r="J23" s="76"/>
    </row>
    <row r="24" spans="2:10" x14ac:dyDescent="0.25">
      <c r="B24" s="59" t="s">
        <v>67</v>
      </c>
      <c r="C24" s="59" t="s">
        <v>68</v>
      </c>
      <c r="D24" s="71">
        <v>8</v>
      </c>
      <c r="E24" s="60">
        <v>0.66666666666666663</v>
      </c>
      <c r="F24" s="59">
        <v>100</v>
      </c>
      <c r="G24" s="72">
        <f>1/(2*0.0021)</f>
        <v>238.0952380952381</v>
      </c>
      <c r="H24" s="59" t="s">
        <v>136</v>
      </c>
      <c r="I24" s="22" t="str">
        <f>IF(D24&lt;&gt;"",VLOOKUP(E24,Constants!$D$3:$E$10,2),"")</f>
        <v>2/3</v>
      </c>
      <c r="J24" s="76">
        <v>12</v>
      </c>
    </row>
    <row r="25" spans="2:10" x14ac:dyDescent="0.25">
      <c r="B25" s="59" t="s">
        <v>69</v>
      </c>
      <c r="C25" s="59" t="s">
        <v>70</v>
      </c>
      <c r="D25" s="71">
        <v>12</v>
      </c>
      <c r="E25" s="60">
        <v>0.66666666666666663</v>
      </c>
      <c r="F25" s="59">
        <v>100</v>
      </c>
      <c r="G25" s="72">
        <f t="shared" ref="G25:G28" si="2">1/(2*0.0021)</f>
        <v>238.0952380952381</v>
      </c>
      <c r="H25" s="59" t="s">
        <v>136</v>
      </c>
      <c r="I25" s="22" t="str">
        <f>IF(D25&lt;&gt;"",VLOOKUP(E25,Constants!$D$3:$E$10,2),"")</f>
        <v>2/3</v>
      </c>
      <c r="J25" s="76">
        <v>12</v>
      </c>
    </row>
    <row r="26" spans="2:10" x14ac:dyDescent="0.25">
      <c r="B26" s="59" t="s">
        <v>71</v>
      </c>
      <c r="C26" s="59" t="s">
        <v>72</v>
      </c>
      <c r="D26" s="71">
        <v>16</v>
      </c>
      <c r="E26" s="60">
        <v>0.66666666666666663</v>
      </c>
      <c r="F26" s="59">
        <v>100</v>
      </c>
      <c r="G26" s="72">
        <f t="shared" si="2"/>
        <v>238.0952380952381</v>
      </c>
      <c r="H26" s="59" t="s">
        <v>136</v>
      </c>
      <c r="I26" s="22" t="str">
        <f>IF(D26&lt;&gt;"",VLOOKUP(E26,Constants!$D$3:$E$10,2),"")</f>
        <v>2/3</v>
      </c>
      <c r="J26" s="76">
        <v>12</v>
      </c>
    </row>
    <row r="27" spans="2:10" x14ac:dyDescent="0.25">
      <c r="B27" s="59" t="s">
        <v>73</v>
      </c>
      <c r="C27" s="59" t="s">
        <v>76</v>
      </c>
      <c r="D27" s="71">
        <v>25</v>
      </c>
      <c r="E27" s="60">
        <v>0.66666666666666663</v>
      </c>
      <c r="F27" s="59">
        <v>100</v>
      </c>
      <c r="G27" s="72">
        <f t="shared" si="2"/>
        <v>238.0952380952381</v>
      </c>
      <c r="H27" s="59" t="s">
        <v>136</v>
      </c>
      <c r="I27" s="22" t="str">
        <f>IF(D27&lt;&gt;"",VLOOKUP(E27,Constants!$D$3:$E$10,2),"")</f>
        <v>2/3</v>
      </c>
      <c r="J27" s="76">
        <v>12</v>
      </c>
    </row>
    <row r="28" spans="2:10" x14ac:dyDescent="0.25">
      <c r="B28" s="59" t="s">
        <v>74</v>
      </c>
      <c r="C28" s="59" t="s">
        <v>75</v>
      </c>
      <c r="D28" s="71">
        <v>35</v>
      </c>
      <c r="E28" s="60">
        <v>0.66666666666666663</v>
      </c>
      <c r="F28" s="59">
        <v>200</v>
      </c>
      <c r="G28" s="72">
        <f t="shared" si="2"/>
        <v>238.0952380952381</v>
      </c>
      <c r="H28" s="59" t="s">
        <v>136</v>
      </c>
      <c r="I28" s="22" t="str">
        <f>IF(D28&lt;&gt;"",VLOOKUP(E28,Constants!$D$3:$E$10,2),"")</f>
        <v>2/3</v>
      </c>
      <c r="J28" s="76">
        <v>12</v>
      </c>
    </row>
    <row r="29" spans="2:10" x14ac:dyDescent="0.25">
      <c r="B29" s="59"/>
      <c r="C29" s="59"/>
      <c r="D29" s="71"/>
      <c r="E29" s="60"/>
      <c r="F29" s="59"/>
      <c r="G29" s="72"/>
      <c r="H29" s="59"/>
      <c r="I29" s="22" t="str">
        <f>IF(D29&lt;&gt;"",VLOOKUP(E29,Constants!$D$3:$E$10,2),"")</f>
        <v/>
      </c>
      <c r="J29" s="76"/>
    </row>
    <row r="30" spans="2:10" x14ac:dyDescent="0.25">
      <c r="B30" s="59" t="s">
        <v>77</v>
      </c>
      <c r="C30" s="59" t="s">
        <v>78</v>
      </c>
      <c r="D30" s="71">
        <v>8</v>
      </c>
      <c r="E30" s="60">
        <v>1.1000000000000001</v>
      </c>
      <c r="F30" s="59">
        <v>100</v>
      </c>
      <c r="G30" s="72">
        <f>1/(2*0.0024)</f>
        <v>208.33333333333334</v>
      </c>
      <c r="H30" s="59" t="s">
        <v>136</v>
      </c>
      <c r="I30" s="22" t="str">
        <f>IF(D30&lt;&gt;"",VLOOKUP(E30,Constants!$D$3:$E$10,2),"")</f>
        <v>1,1</v>
      </c>
      <c r="J30" s="76">
        <v>20</v>
      </c>
    </row>
    <row r="31" spans="2:10" x14ac:dyDescent="0.25">
      <c r="B31" s="59" t="s">
        <v>79</v>
      </c>
      <c r="C31" s="59" t="s">
        <v>80</v>
      </c>
      <c r="D31" s="71">
        <v>12</v>
      </c>
      <c r="E31" s="60">
        <v>1.1000000000000001</v>
      </c>
      <c r="F31" s="59">
        <v>100</v>
      </c>
      <c r="G31" s="72">
        <f t="shared" ref="G31:G34" si="3">1/(2*0.0024)</f>
        <v>208.33333333333334</v>
      </c>
      <c r="H31" s="59" t="s">
        <v>136</v>
      </c>
      <c r="I31" s="22" t="str">
        <f>IF(D31&lt;&gt;"",VLOOKUP(E31,Constants!$D$3:$E$10,2),"")</f>
        <v>1,1</v>
      </c>
      <c r="J31" s="76">
        <v>20</v>
      </c>
    </row>
    <row r="32" spans="2:10" x14ac:dyDescent="0.25">
      <c r="B32" s="59" t="s">
        <v>81</v>
      </c>
      <c r="C32" s="59" t="s">
        <v>82</v>
      </c>
      <c r="D32" s="71">
        <v>16</v>
      </c>
      <c r="E32" s="60">
        <v>1.1000000000000001</v>
      </c>
      <c r="F32" s="59">
        <v>100</v>
      </c>
      <c r="G32" s="72">
        <f t="shared" si="3"/>
        <v>208.33333333333334</v>
      </c>
      <c r="H32" s="59" t="s">
        <v>136</v>
      </c>
      <c r="I32" s="22" t="str">
        <f>IF(D32&lt;&gt;"",VLOOKUP(E32,Constants!$D$3:$E$10,2),"")</f>
        <v>1,1</v>
      </c>
      <c r="J32" s="76">
        <v>20</v>
      </c>
    </row>
    <row r="33" spans="2:10" x14ac:dyDescent="0.25">
      <c r="B33" s="59" t="s">
        <v>83</v>
      </c>
      <c r="C33" s="59" t="s">
        <v>84</v>
      </c>
      <c r="D33" s="71">
        <v>25</v>
      </c>
      <c r="E33" s="60">
        <v>1.1000000000000001</v>
      </c>
      <c r="F33" s="59">
        <v>200</v>
      </c>
      <c r="G33" s="72">
        <f t="shared" si="3"/>
        <v>208.33333333333334</v>
      </c>
      <c r="H33" s="59" t="s">
        <v>136</v>
      </c>
      <c r="I33" s="22" t="str">
        <f>IF(D33&lt;&gt;"",VLOOKUP(E33,Constants!$D$3:$E$10,2),"")</f>
        <v>1,1</v>
      </c>
      <c r="J33" s="76">
        <v>20</v>
      </c>
    </row>
    <row r="34" spans="2:10" x14ac:dyDescent="0.25">
      <c r="B34" s="59" t="s">
        <v>85</v>
      </c>
      <c r="C34" s="59" t="s">
        <v>86</v>
      </c>
      <c r="D34" s="71">
        <v>35</v>
      </c>
      <c r="E34" s="60">
        <v>1.1000000000000001</v>
      </c>
      <c r="F34" s="59">
        <v>200</v>
      </c>
      <c r="G34" s="72">
        <f t="shared" si="3"/>
        <v>208.33333333333334</v>
      </c>
      <c r="H34" s="59" t="s">
        <v>136</v>
      </c>
      <c r="I34" s="22" t="str">
        <f>IF(D34&lt;&gt;"",VLOOKUP(E34,Constants!$D$3:$E$10,2),"")</f>
        <v>1,1</v>
      </c>
      <c r="J34" s="76">
        <v>20</v>
      </c>
    </row>
    <row r="35" spans="2:10" x14ac:dyDescent="0.25">
      <c r="B35" s="59"/>
      <c r="C35" s="59"/>
      <c r="D35" s="71"/>
      <c r="E35" s="60"/>
      <c r="F35" s="59"/>
      <c r="G35" s="72"/>
      <c r="H35" s="59"/>
      <c r="I35" s="22" t="str">
        <f>IF(D35&lt;&gt;"",VLOOKUP(E35,Constants!$D$3:$E$10,2),"")</f>
        <v/>
      </c>
      <c r="J35" s="76"/>
    </row>
    <row r="36" spans="2:10" x14ac:dyDescent="0.25">
      <c r="B36" s="63"/>
      <c r="C36" s="64" t="s">
        <v>184</v>
      </c>
      <c r="D36" s="73"/>
      <c r="E36" s="64"/>
      <c r="F36" s="63"/>
      <c r="G36" s="74"/>
      <c r="H36" s="63"/>
      <c r="I36" s="21"/>
      <c r="J36" s="77"/>
    </row>
    <row r="37" spans="2:10" x14ac:dyDescent="0.25">
      <c r="B37" s="59" t="s">
        <v>196</v>
      </c>
      <c r="C37" s="59" t="s">
        <v>197</v>
      </c>
      <c r="D37" s="71">
        <v>25</v>
      </c>
      <c r="E37" s="60">
        <f>43/16</f>
        <v>2.6875</v>
      </c>
      <c r="F37" s="59">
        <v>150</v>
      </c>
      <c r="G37" s="72">
        <v>50</v>
      </c>
      <c r="H37" s="59" t="s">
        <v>135</v>
      </c>
      <c r="I37" s="22" t="str">
        <f>IF(D37&lt;&gt;"",VLOOKUP(E37,Constants!$D$3:$E$15,2),"")</f>
        <v>Full-Frame</v>
      </c>
      <c r="J37" s="76"/>
    </row>
    <row r="38" spans="2:10" x14ac:dyDescent="0.25">
      <c r="B38" s="59" t="s">
        <v>202</v>
      </c>
      <c r="C38" s="59" t="s">
        <v>203</v>
      </c>
      <c r="D38" s="71">
        <v>50</v>
      </c>
      <c r="E38" s="60">
        <f>43/16</f>
        <v>2.6875</v>
      </c>
      <c r="F38" s="59">
        <v>400</v>
      </c>
      <c r="G38" s="72">
        <v>50</v>
      </c>
      <c r="H38" s="59" t="s">
        <v>135</v>
      </c>
      <c r="I38" s="22" t="str">
        <f>IF(D38&lt;&gt;"",VLOOKUP(E38,Constants!$D$3:$E$15,2),"")</f>
        <v>Full-Frame</v>
      </c>
      <c r="J38" s="76"/>
    </row>
    <row r="39" spans="2:10" x14ac:dyDescent="0.25">
      <c r="B39" s="59"/>
      <c r="C39" s="59"/>
      <c r="D39" s="71"/>
      <c r="E39" s="60"/>
      <c r="F39" s="59"/>
      <c r="G39" s="72"/>
      <c r="H39" s="59"/>
      <c r="I39" s="22"/>
      <c r="J39" s="76"/>
    </row>
    <row r="40" spans="2:10" x14ac:dyDescent="0.25">
      <c r="B40" s="59"/>
      <c r="C40" s="59"/>
      <c r="D40" s="71"/>
      <c r="E40" s="60"/>
      <c r="F40" s="59"/>
      <c r="G40" s="72"/>
      <c r="H40" s="59"/>
      <c r="I40" s="22"/>
      <c r="J40" s="76"/>
    </row>
    <row r="41" spans="2:10" x14ac:dyDescent="0.25">
      <c r="B41" s="59"/>
      <c r="C41" s="59"/>
      <c r="D41" s="71"/>
      <c r="E41" s="60"/>
      <c r="F41" s="59"/>
      <c r="G41" s="72"/>
      <c r="H41" s="59"/>
      <c r="I41" s="22" t="str">
        <f>IF(D41&lt;&gt;"",VLOOKUP(E41,Constants!$D$3:$E$15,2),"")</f>
        <v/>
      </c>
      <c r="J41" s="76"/>
    </row>
    <row r="42" spans="2:10" x14ac:dyDescent="0.25">
      <c r="B42" s="59"/>
      <c r="C42" s="59"/>
      <c r="D42" s="71"/>
      <c r="E42" s="60"/>
      <c r="F42" s="59"/>
      <c r="G42" s="72"/>
      <c r="H42" s="59"/>
      <c r="I42" s="22" t="str">
        <f>IF(D42&lt;&gt;"",VLOOKUP(E42,Constants!$D$3:$E$15,2),"")</f>
        <v/>
      </c>
      <c r="J42" s="76"/>
    </row>
    <row r="43" spans="2:10" x14ac:dyDescent="0.25">
      <c r="B43" s="59"/>
      <c r="C43" s="59"/>
      <c r="D43" s="71"/>
      <c r="E43" s="60"/>
      <c r="F43" s="59"/>
      <c r="G43" s="72"/>
      <c r="H43" s="59"/>
      <c r="I43" s="22" t="str">
        <f>IF(D43&lt;&gt;"",VLOOKUP(E43,Constants!$D$3:$E$15,2),"")</f>
        <v/>
      </c>
      <c r="J43" s="76"/>
    </row>
    <row r="44" spans="2:10" x14ac:dyDescent="0.25">
      <c r="B44" s="59"/>
      <c r="C44" s="59"/>
      <c r="D44" s="71"/>
      <c r="E44" s="60"/>
      <c r="F44" s="59"/>
      <c r="G44" s="72"/>
      <c r="H44" s="59"/>
      <c r="I44" s="22" t="str">
        <f>IF(D44&lt;&gt;"",VLOOKUP(E44,Constants!$D$3:$E$15,2),"")</f>
        <v/>
      </c>
      <c r="J44" s="76"/>
    </row>
    <row r="45" spans="2:10" x14ac:dyDescent="0.25">
      <c r="B45" s="59"/>
      <c r="C45" s="59"/>
      <c r="D45" s="71"/>
      <c r="E45" s="60"/>
      <c r="F45" s="59"/>
      <c r="G45" s="72"/>
      <c r="H45" s="59"/>
      <c r="I45" s="22" t="str">
        <f>IF(D45&lt;&gt;"",VLOOKUP(E45,Constants!$D$3:$E$15,2),"")</f>
        <v/>
      </c>
      <c r="J45" s="76"/>
    </row>
    <row r="46" spans="2:10" x14ac:dyDescent="0.25">
      <c r="B46" s="59"/>
      <c r="C46" s="59"/>
      <c r="D46" s="71"/>
      <c r="E46" s="60"/>
      <c r="F46" s="59"/>
      <c r="G46" s="72"/>
      <c r="H46" s="59"/>
      <c r="I46" s="22" t="str">
        <f>IF(D46&lt;&gt;"",VLOOKUP(E46,Constants!$D$3:$E$15,2),"")</f>
        <v/>
      </c>
      <c r="J46" s="76"/>
    </row>
    <row r="47" spans="2:10" x14ac:dyDescent="0.25">
      <c r="B47" s="59"/>
      <c r="C47" s="59"/>
      <c r="D47" s="71"/>
      <c r="E47" s="60"/>
      <c r="F47" s="59"/>
      <c r="G47" s="72"/>
      <c r="H47" s="59"/>
      <c r="I47" s="22" t="str">
        <f>IF(D47&lt;&gt;"",VLOOKUP(E47,Constants!$D$3:$E$15,2),"")</f>
        <v/>
      </c>
      <c r="J47" s="76"/>
    </row>
    <row r="48" spans="2:10" x14ac:dyDescent="0.25">
      <c r="B48" s="59"/>
      <c r="C48" s="59"/>
      <c r="D48" s="71"/>
      <c r="E48" s="60"/>
      <c r="F48" s="59"/>
      <c r="G48" s="72"/>
      <c r="H48" s="59"/>
      <c r="I48" s="22" t="str">
        <f>IF(D48&lt;&gt;"",VLOOKUP(E48,Constants!$D$3:$E$15,2),"")</f>
        <v/>
      </c>
      <c r="J48" s="76"/>
    </row>
    <row r="49" spans="2:10" x14ac:dyDescent="0.25">
      <c r="B49" s="59"/>
      <c r="C49" s="59"/>
      <c r="D49" s="71"/>
      <c r="E49" s="60"/>
      <c r="F49" s="59"/>
      <c r="G49" s="72"/>
      <c r="H49" s="59"/>
      <c r="I49" s="22" t="str">
        <f>IF(D49&lt;&gt;"",VLOOKUP(E49,Constants!$D$3:$E$15,2),"")</f>
        <v/>
      </c>
      <c r="J49" s="76"/>
    </row>
    <row r="50" spans="2:10" x14ac:dyDescent="0.25">
      <c r="B50" s="59"/>
      <c r="C50" s="59"/>
      <c r="D50" s="71"/>
      <c r="E50" s="60"/>
      <c r="F50" s="59"/>
      <c r="G50" s="72"/>
      <c r="H50" s="59"/>
      <c r="I50" s="22" t="str">
        <f>IF(D50&lt;&gt;"",VLOOKUP(E50,Constants!$D$3:$E$15,2),"")</f>
        <v/>
      </c>
      <c r="J50" s="76"/>
    </row>
    <row r="51" spans="2:10" x14ac:dyDescent="0.25">
      <c r="B51" s="59"/>
      <c r="C51" s="59"/>
      <c r="D51" s="71"/>
      <c r="E51" s="60"/>
      <c r="F51" s="59"/>
      <c r="G51" s="72"/>
      <c r="H51" s="59"/>
      <c r="I51" s="22" t="str">
        <f>IF(D51&lt;&gt;"",VLOOKUP(E51,Constants!$D$3:$E$15,2),"")</f>
        <v/>
      </c>
      <c r="J51" s="76"/>
    </row>
    <row r="52" spans="2:10" x14ac:dyDescent="0.25">
      <c r="B52" s="59"/>
      <c r="C52" s="59"/>
      <c r="D52" s="71"/>
      <c r="E52" s="60"/>
      <c r="F52" s="59"/>
      <c r="G52" s="72"/>
      <c r="H52" s="59"/>
      <c r="I52" s="22" t="str">
        <f>IF(D52&lt;&gt;"",VLOOKUP(E52,Constants!$D$3:$E$15,2),"")</f>
        <v/>
      </c>
      <c r="J52" s="76"/>
    </row>
    <row r="53" spans="2:10" x14ac:dyDescent="0.25">
      <c r="B53" s="59"/>
      <c r="C53" s="59"/>
      <c r="D53" s="71"/>
      <c r="E53" s="60"/>
      <c r="F53" s="59"/>
      <c r="G53" s="72"/>
      <c r="H53" s="59"/>
      <c r="I53" s="22" t="str">
        <f>IF(D53&lt;&gt;"",VLOOKUP(E53,Constants!$D$3:$E$15,2),"")</f>
        <v/>
      </c>
      <c r="J53" s="76"/>
    </row>
    <row r="54" spans="2:10" x14ac:dyDescent="0.25">
      <c r="B54" s="59"/>
      <c r="C54" s="59"/>
      <c r="D54" s="71"/>
      <c r="E54" s="60"/>
      <c r="F54" s="59"/>
      <c r="G54" s="72"/>
      <c r="H54" s="59"/>
      <c r="I54" s="22" t="str">
        <f>IF(D54&lt;&gt;"",VLOOKUP(E54,Constants!$D$3:$E$15,2),"")</f>
        <v/>
      </c>
      <c r="J54" s="76"/>
    </row>
    <row r="55" spans="2:10" x14ac:dyDescent="0.25">
      <c r="B55" s="59"/>
      <c r="C55" s="59"/>
      <c r="D55" s="71"/>
      <c r="E55" s="60"/>
      <c r="F55" s="59"/>
      <c r="G55" s="72"/>
      <c r="H55" s="59"/>
      <c r="I55" s="22" t="str">
        <f>IF(D55&lt;&gt;"",VLOOKUP(E55,Constants!$D$3:$E$15,2),"")</f>
        <v/>
      </c>
      <c r="J55" s="76"/>
    </row>
    <row r="56" spans="2:10" x14ac:dyDescent="0.25">
      <c r="B56" s="59"/>
      <c r="C56" s="59"/>
      <c r="D56" s="71"/>
      <c r="E56" s="60"/>
      <c r="F56" s="59"/>
      <c r="G56" s="72"/>
      <c r="H56" s="59"/>
      <c r="I56" s="22" t="str">
        <f>IF(D56&lt;&gt;"",VLOOKUP(E56,Constants!$D$3:$E$15,2),"")</f>
        <v/>
      </c>
      <c r="J56" s="76"/>
    </row>
    <row r="57" spans="2:10" x14ac:dyDescent="0.25">
      <c r="B57" s="59"/>
      <c r="C57" s="59"/>
      <c r="D57" s="71"/>
      <c r="E57" s="60"/>
      <c r="F57" s="59"/>
      <c r="G57" s="72"/>
      <c r="H57" s="59"/>
      <c r="I57" s="22" t="str">
        <f>IF(D57&lt;&gt;"",VLOOKUP(E57,Constants!$D$3:$E$15,2),"")</f>
        <v/>
      </c>
      <c r="J57" s="76"/>
    </row>
    <row r="58" spans="2:10" x14ac:dyDescent="0.25">
      <c r="B58" s="59"/>
      <c r="C58" s="59"/>
      <c r="D58" s="71"/>
      <c r="E58" s="60"/>
      <c r="F58" s="59"/>
      <c r="G58" s="72"/>
      <c r="H58" s="59"/>
      <c r="I58" s="22" t="str">
        <f>IF(D58&lt;&gt;"",VLOOKUP(E58,Constants!$D$3:$E$15,2),"")</f>
        <v/>
      </c>
      <c r="J58" s="76"/>
    </row>
    <row r="59" spans="2:10" x14ac:dyDescent="0.25">
      <c r="B59" s="59"/>
      <c r="C59" s="59"/>
      <c r="D59" s="71"/>
      <c r="E59" s="60"/>
      <c r="F59" s="59"/>
      <c r="G59" s="72"/>
      <c r="H59" s="59"/>
      <c r="I59" s="22" t="str">
        <f>IF(D59&lt;&gt;"",VLOOKUP(E59,Constants!$D$3:$E$15,2),"")</f>
        <v/>
      </c>
      <c r="J59" s="76"/>
    </row>
    <row r="60" spans="2:10" x14ac:dyDescent="0.25">
      <c r="B60" s="59"/>
      <c r="C60" s="59"/>
      <c r="D60" s="71"/>
      <c r="E60" s="60"/>
      <c r="F60" s="59"/>
      <c r="G60" s="72"/>
      <c r="H60" s="59"/>
      <c r="I60" s="22" t="str">
        <f>IF(D60&lt;&gt;"",VLOOKUP(E60,Constants!$D$3:$E$15,2),"")</f>
        <v/>
      </c>
      <c r="J60" s="76"/>
    </row>
    <row r="61" spans="2:10" x14ac:dyDescent="0.25">
      <c r="B61" s="59"/>
      <c r="C61" s="59"/>
      <c r="D61" s="71"/>
      <c r="E61" s="60"/>
      <c r="F61" s="59"/>
      <c r="G61" s="72"/>
      <c r="H61" s="59"/>
      <c r="I61" s="22" t="str">
        <f>IF(D61&lt;&gt;"",VLOOKUP(E61,Constants!$D$3:$E$15,2),"")</f>
        <v/>
      </c>
      <c r="J61" s="76"/>
    </row>
    <row r="62" spans="2:10" x14ac:dyDescent="0.25">
      <c r="B62" s="59"/>
      <c r="C62" s="59"/>
      <c r="D62" s="71"/>
      <c r="E62" s="60"/>
      <c r="F62" s="59"/>
      <c r="G62" s="72"/>
      <c r="H62" s="59"/>
      <c r="I62" s="22" t="str">
        <f>IF(D62&lt;&gt;"",VLOOKUP(E62,Constants!$D$3:$E$15,2),"")</f>
        <v/>
      </c>
      <c r="J62" s="76"/>
    </row>
    <row r="63" spans="2:10" x14ac:dyDescent="0.25">
      <c r="B63" s="59"/>
      <c r="C63" s="59"/>
      <c r="D63" s="71"/>
      <c r="E63" s="60"/>
      <c r="F63" s="59"/>
      <c r="G63" s="72"/>
      <c r="H63" s="59"/>
      <c r="I63" s="22" t="str">
        <f>IF(D63&lt;&gt;"",VLOOKUP(E63,Constants!$D$3:$E$15,2),"")</f>
        <v/>
      </c>
      <c r="J63" s="76"/>
    </row>
    <row r="64" spans="2:10" x14ac:dyDescent="0.25">
      <c r="B64" s="59"/>
      <c r="C64" s="59"/>
      <c r="D64" s="71"/>
      <c r="E64" s="60"/>
      <c r="F64" s="59"/>
      <c r="G64" s="72"/>
      <c r="H64" s="59"/>
      <c r="I64" s="22" t="str">
        <f>IF(D64&lt;&gt;"",VLOOKUP(E64,Constants!$D$3:$E$15,2),"")</f>
        <v/>
      </c>
      <c r="J64" s="76"/>
    </row>
    <row r="65" spans="2:10" x14ac:dyDescent="0.25">
      <c r="B65" s="59"/>
      <c r="C65" s="59"/>
      <c r="D65" s="71"/>
      <c r="E65" s="60"/>
      <c r="F65" s="59"/>
      <c r="G65" s="72"/>
      <c r="H65" s="59"/>
      <c r="I65" s="22" t="str">
        <f>IF(D65&lt;&gt;"",VLOOKUP(E65,Constants!$D$3:$E$15,2),"")</f>
        <v/>
      </c>
      <c r="J65" s="76"/>
    </row>
    <row r="66" spans="2:10" x14ac:dyDescent="0.25">
      <c r="B66" s="59"/>
      <c r="C66" s="59"/>
      <c r="D66" s="71"/>
      <c r="E66" s="60"/>
      <c r="F66" s="59"/>
      <c r="G66" s="72"/>
      <c r="H66" s="59"/>
      <c r="I66" s="22" t="str">
        <f>IF(D66&lt;&gt;"",VLOOKUP(E66,Constants!$D$3:$E$15,2),"")</f>
        <v/>
      </c>
      <c r="J66" s="76"/>
    </row>
    <row r="67" spans="2:10" x14ac:dyDescent="0.25">
      <c r="B67" s="59"/>
      <c r="C67" s="59"/>
      <c r="D67" s="71"/>
      <c r="E67" s="60"/>
      <c r="F67" s="59"/>
      <c r="G67" s="72"/>
      <c r="H67" s="59"/>
      <c r="I67" s="22" t="str">
        <f>IF(D67&lt;&gt;"",VLOOKUP(E67,Constants!$D$3:$E$15,2),"")</f>
        <v/>
      </c>
      <c r="J67" s="76"/>
    </row>
    <row r="68" spans="2:10" x14ac:dyDescent="0.25">
      <c r="B68" s="59"/>
      <c r="C68" s="59"/>
      <c r="D68" s="71"/>
      <c r="E68" s="60"/>
      <c r="F68" s="59"/>
      <c r="G68" s="72"/>
      <c r="H68" s="59"/>
      <c r="I68" s="22" t="str">
        <f>IF(D68&lt;&gt;"",VLOOKUP(E68,Constants!$D$3:$E$15,2),"")</f>
        <v/>
      </c>
      <c r="J68" s="76"/>
    </row>
    <row r="69" spans="2:10" x14ac:dyDescent="0.25">
      <c r="B69" s="59"/>
      <c r="C69" s="59"/>
      <c r="D69" s="71"/>
      <c r="E69" s="60"/>
      <c r="F69" s="59"/>
      <c r="G69" s="72"/>
      <c r="H69" s="59"/>
      <c r="I69" s="22" t="str">
        <f>IF(D69&lt;&gt;"",VLOOKUP(E69,Constants!$D$3:$E$15,2),"")</f>
        <v/>
      </c>
      <c r="J69" s="76"/>
    </row>
    <row r="70" spans="2:10" x14ac:dyDescent="0.25">
      <c r="B70" s="59"/>
      <c r="C70" s="59"/>
      <c r="D70" s="71"/>
      <c r="E70" s="60"/>
      <c r="F70" s="59"/>
      <c r="G70" s="72"/>
      <c r="H70" s="59"/>
      <c r="I70" s="22" t="str">
        <f>IF(D70&lt;&gt;"",VLOOKUP(E70,Constants!$D$3:$E$15,2),"")</f>
        <v/>
      </c>
      <c r="J70" s="76"/>
    </row>
    <row r="71" spans="2:10" x14ac:dyDescent="0.25">
      <c r="B71" s="59"/>
      <c r="C71" s="59"/>
      <c r="D71" s="71"/>
      <c r="E71" s="60"/>
      <c r="F71" s="59"/>
      <c r="G71" s="72"/>
      <c r="H71" s="59"/>
      <c r="I71" s="22" t="str">
        <f>IF(D71&lt;&gt;"",VLOOKUP(E71,Constants!$D$3:$E$15,2),"")</f>
        <v/>
      </c>
      <c r="J71" s="76"/>
    </row>
    <row r="72" spans="2:10" x14ac:dyDescent="0.25">
      <c r="B72" s="59"/>
      <c r="C72" s="59"/>
      <c r="D72" s="71"/>
      <c r="E72" s="60"/>
      <c r="F72" s="59"/>
      <c r="G72" s="72"/>
      <c r="H72" s="59"/>
      <c r="I72" s="22" t="str">
        <f>IF(D72&lt;&gt;"",VLOOKUP(E72,Constants!$D$3:$E$15,2),"")</f>
        <v/>
      </c>
      <c r="J72" s="76"/>
    </row>
    <row r="73" spans="2:10" x14ac:dyDescent="0.25">
      <c r="B73" s="59"/>
      <c r="C73" s="59"/>
      <c r="D73" s="71"/>
      <c r="E73" s="60"/>
      <c r="F73" s="59"/>
      <c r="G73" s="72"/>
      <c r="H73" s="59"/>
      <c r="I73" s="22" t="str">
        <f>IF(D73&lt;&gt;"",VLOOKUP(E73,Constants!$D$3:$E$15,2),"")</f>
        <v/>
      </c>
      <c r="J73" s="76"/>
    </row>
    <row r="74" spans="2:10" x14ac:dyDescent="0.25">
      <c r="B74" s="59"/>
      <c r="C74" s="59"/>
      <c r="D74" s="71"/>
      <c r="E74" s="60"/>
      <c r="F74" s="59"/>
      <c r="G74" s="72"/>
      <c r="H74" s="59"/>
      <c r="I74" s="22" t="str">
        <f>IF(D74&lt;&gt;"",VLOOKUP(E74,Constants!$D$3:$E$15,2),"")</f>
        <v/>
      </c>
      <c r="J74" s="76"/>
    </row>
    <row r="75" spans="2:10" x14ac:dyDescent="0.25">
      <c r="B75" s="59"/>
      <c r="C75" s="59"/>
      <c r="D75" s="71"/>
      <c r="E75" s="60"/>
      <c r="F75" s="59"/>
      <c r="G75" s="72"/>
      <c r="H75" s="59"/>
      <c r="I75" s="22" t="str">
        <f>IF(D75&lt;&gt;"",VLOOKUP(E75,Constants!$D$3:$E$15,2),"")</f>
        <v/>
      </c>
      <c r="J75" s="76"/>
    </row>
    <row r="76" spans="2:10" x14ac:dyDescent="0.25">
      <c r="B76" s="59"/>
      <c r="C76" s="59"/>
      <c r="D76" s="71"/>
      <c r="E76" s="60"/>
      <c r="F76" s="59"/>
      <c r="G76" s="72"/>
      <c r="H76" s="59"/>
      <c r="I76" s="22" t="str">
        <f>IF(D76&lt;&gt;"",VLOOKUP(E76,Constants!$D$3:$E$15,2),"")</f>
        <v/>
      </c>
      <c r="J76" s="76"/>
    </row>
    <row r="77" spans="2:10" x14ac:dyDescent="0.25">
      <c r="B77" s="59"/>
      <c r="C77" s="59"/>
      <c r="D77" s="71"/>
      <c r="E77" s="60"/>
      <c r="F77" s="59"/>
      <c r="G77" s="72"/>
      <c r="H77" s="59"/>
      <c r="I77" s="22" t="str">
        <f>IF(D77&lt;&gt;"",VLOOKUP(E77,Constants!$D$3:$E$15,2),"")</f>
        <v/>
      </c>
      <c r="J77" s="76"/>
    </row>
    <row r="78" spans="2:10" x14ac:dyDescent="0.25">
      <c r="B78" s="59"/>
      <c r="C78" s="59"/>
      <c r="D78" s="71"/>
      <c r="E78" s="60"/>
      <c r="F78" s="59"/>
      <c r="G78" s="72"/>
      <c r="H78" s="59"/>
      <c r="I78" s="22" t="str">
        <f>IF(D78&lt;&gt;"",VLOOKUP(E78,Constants!$D$3:$E$15,2),"")</f>
        <v/>
      </c>
      <c r="J78" s="76"/>
    </row>
    <row r="79" spans="2:10" x14ac:dyDescent="0.25">
      <c r="B79" s="59"/>
      <c r="C79" s="59"/>
      <c r="D79" s="71"/>
      <c r="E79" s="60"/>
      <c r="F79" s="59"/>
      <c r="G79" s="72"/>
      <c r="H79" s="59"/>
      <c r="I79" s="22" t="str">
        <f>IF(D79&lt;&gt;"",VLOOKUP(E79,Constants!$D$3:$E$15,2),"")</f>
        <v/>
      </c>
      <c r="J79" s="76"/>
    </row>
    <row r="80" spans="2:10" x14ac:dyDescent="0.25">
      <c r="B80" s="59"/>
      <c r="C80" s="59"/>
      <c r="D80" s="71"/>
      <c r="E80" s="60"/>
      <c r="F80" s="59"/>
      <c r="G80" s="72"/>
      <c r="H80" s="59"/>
      <c r="I80" s="22" t="str">
        <f>IF(D80&lt;&gt;"",VLOOKUP(E80,Constants!$D$3:$E$15,2),"")</f>
        <v/>
      </c>
      <c r="J80" s="76"/>
    </row>
    <row r="81" spans="2:10" x14ac:dyDescent="0.25">
      <c r="B81" s="59"/>
      <c r="C81" s="59"/>
      <c r="D81" s="71"/>
      <c r="E81" s="60"/>
      <c r="F81" s="59"/>
      <c r="G81" s="72"/>
      <c r="H81" s="59"/>
      <c r="I81" s="22" t="str">
        <f>IF(D81&lt;&gt;"",VLOOKUP(E81,Constants!$D$3:$E$15,2),"")</f>
        <v/>
      </c>
      <c r="J81" s="76"/>
    </row>
    <row r="82" spans="2:10" x14ac:dyDescent="0.25">
      <c r="B82" s="59"/>
      <c r="C82" s="59"/>
      <c r="D82" s="71"/>
      <c r="E82" s="60"/>
      <c r="F82" s="59"/>
      <c r="G82" s="72"/>
      <c r="H82" s="59"/>
      <c r="I82" s="22" t="str">
        <f>IF(D82&lt;&gt;"",VLOOKUP(E82,Constants!$D$3:$E$15,2),"")</f>
        <v/>
      </c>
      <c r="J82" s="76"/>
    </row>
    <row r="83" spans="2:10" x14ac:dyDescent="0.25">
      <c r="B83" s="59"/>
      <c r="C83" s="59"/>
      <c r="D83" s="71"/>
      <c r="E83" s="60"/>
      <c r="F83" s="59"/>
      <c r="G83" s="72"/>
      <c r="H83" s="59"/>
      <c r="I83" s="22" t="str">
        <f>IF(D83&lt;&gt;"",VLOOKUP(E83,Constants!$D$3:$E$15,2),"")</f>
        <v/>
      </c>
      <c r="J83" s="76"/>
    </row>
    <row r="84" spans="2:10" x14ac:dyDescent="0.25">
      <c r="B84" s="59"/>
      <c r="C84" s="59"/>
      <c r="D84" s="71"/>
      <c r="E84" s="60"/>
      <c r="F84" s="59"/>
      <c r="G84" s="72"/>
      <c r="H84" s="59"/>
      <c r="I84" s="22" t="str">
        <f>IF(D84&lt;&gt;"",VLOOKUP(E84,Constants!$D$3:$E$15,2),"")</f>
        <v/>
      </c>
      <c r="J84" s="76"/>
    </row>
    <row r="85" spans="2:10" x14ac:dyDescent="0.25">
      <c r="B85" s="59"/>
      <c r="C85" s="59"/>
      <c r="D85" s="71"/>
      <c r="E85" s="60"/>
      <c r="F85" s="59"/>
      <c r="G85" s="72"/>
      <c r="H85" s="59"/>
      <c r="I85" s="22" t="str">
        <f>IF(D85&lt;&gt;"",VLOOKUP(E85,Constants!$D$3:$E$15,2),"")</f>
        <v/>
      </c>
      <c r="J85" s="76"/>
    </row>
    <row r="86" spans="2:10" x14ac:dyDescent="0.25">
      <c r="B86" s="59"/>
      <c r="C86" s="59"/>
      <c r="D86" s="71"/>
      <c r="E86" s="60"/>
      <c r="F86" s="59"/>
      <c r="G86" s="72"/>
      <c r="H86" s="59"/>
      <c r="I86" s="22" t="str">
        <f>IF(D86&lt;&gt;"",VLOOKUP(E86,Constants!$D$3:$E$15,2),"")</f>
        <v/>
      </c>
      <c r="J86" s="76"/>
    </row>
    <row r="87" spans="2:10" x14ac:dyDescent="0.25">
      <c r="B87" s="59"/>
      <c r="C87" s="59"/>
      <c r="D87" s="71"/>
      <c r="E87" s="60"/>
      <c r="F87" s="59"/>
      <c r="G87" s="72"/>
      <c r="H87" s="59"/>
      <c r="I87" s="22" t="str">
        <f>IF(D87&lt;&gt;"",VLOOKUP(E87,Constants!$D$3:$E$15,2),"")</f>
        <v/>
      </c>
      <c r="J87" s="76"/>
    </row>
    <row r="88" spans="2:10" x14ac:dyDescent="0.25">
      <c r="B88" s="59"/>
      <c r="C88" s="59"/>
      <c r="D88" s="71"/>
      <c r="E88" s="60"/>
      <c r="F88" s="59"/>
      <c r="G88" s="72"/>
      <c r="H88" s="59"/>
      <c r="I88" s="22" t="str">
        <f>IF(D88&lt;&gt;"",VLOOKUP(E88,Constants!$D$3:$E$15,2),"")</f>
        <v/>
      </c>
      <c r="J88" s="76"/>
    </row>
    <row r="89" spans="2:10" x14ac:dyDescent="0.25">
      <c r="B89" s="59"/>
      <c r="C89" s="59"/>
      <c r="D89" s="71"/>
      <c r="E89" s="60"/>
      <c r="F89" s="59"/>
      <c r="G89" s="72"/>
      <c r="H89" s="59"/>
      <c r="I89" s="22" t="str">
        <f>IF(D89&lt;&gt;"",VLOOKUP(E89,Constants!$D$3:$E$15,2),"")</f>
        <v/>
      </c>
      <c r="J89" s="76"/>
    </row>
    <row r="90" spans="2:10" x14ac:dyDescent="0.25">
      <c r="B90" s="59"/>
      <c r="C90" s="59"/>
      <c r="D90" s="71"/>
      <c r="E90" s="60"/>
      <c r="F90" s="59"/>
      <c r="G90" s="72"/>
      <c r="H90" s="59"/>
      <c r="I90" s="22" t="str">
        <f>IF(D90&lt;&gt;"",VLOOKUP(E90,Constants!$D$3:$E$15,2),"")</f>
        <v/>
      </c>
      <c r="J90" s="76"/>
    </row>
    <row r="91" spans="2:10" x14ac:dyDescent="0.25">
      <c r="B91" s="59"/>
      <c r="C91" s="59"/>
      <c r="D91" s="71"/>
      <c r="E91" s="60"/>
      <c r="F91" s="59"/>
      <c r="G91" s="72"/>
      <c r="H91" s="59"/>
      <c r="I91" s="22" t="str">
        <f>IF(D91&lt;&gt;"",VLOOKUP(E91,Constants!$D$3:$E$15,2),"")</f>
        <v/>
      </c>
      <c r="J91" s="76"/>
    </row>
    <row r="92" spans="2:10" x14ac:dyDescent="0.25">
      <c r="B92" s="59"/>
      <c r="C92" s="59"/>
      <c r="D92" s="71"/>
      <c r="E92" s="60"/>
      <c r="F92" s="59"/>
      <c r="G92" s="72"/>
      <c r="H92" s="59"/>
      <c r="I92" s="22" t="str">
        <f>IF(D92&lt;&gt;"",VLOOKUP(E92,Constants!$D$3:$E$15,2),"")</f>
        <v/>
      </c>
      <c r="J92" s="76"/>
    </row>
    <row r="93" spans="2:10" x14ac:dyDescent="0.25">
      <c r="B93" s="59"/>
      <c r="C93" s="59"/>
      <c r="D93" s="71"/>
      <c r="E93" s="60"/>
      <c r="F93" s="59"/>
      <c r="G93" s="72"/>
      <c r="H93" s="59"/>
      <c r="I93" s="22" t="str">
        <f>IF(D93&lt;&gt;"",VLOOKUP(E93,Constants!$D$3:$E$15,2),"")</f>
        <v/>
      </c>
      <c r="J93" s="76"/>
    </row>
    <row r="94" spans="2:10" x14ac:dyDescent="0.25">
      <c r="B94" s="59"/>
      <c r="C94" s="59"/>
      <c r="D94" s="71"/>
      <c r="E94" s="60"/>
      <c r="F94" s="59"/>
      <c r="G94" s="72"/>
      <c r="H94" s="59"/>
      <c r="I94" s="22" t="str">
        <f>IF(D94&lt;&gt;"",VLOOKUP(E94,Constants!$D$3:$E$15,2),"")</f>
        <v/>
      </c>
      <c r="J94" s="76"/>
    </row>
    <row r="95" spans="2:10" x14ac:dyDescent="0.25">
      <c r="B95" s="59"/>
      <c r="C95" s="59"/>
      <c r="D95" s="71"/>
      <c r="E95" s="60"/>
      <c r="F95" s="59"/>
      <c r="G95" s="72"/>
      <c r="H95" s="59"/>
      <c r="I95" s="22" t="str">
        <f>IF(D95&lt;&gt;"",VLOOKUP(E95,Constants!$D$3:$E$15,2),"")</f>
        <v/>
      </c>
      <c r="J95" s="76"/>
    </row>
    <row r="96" spans="2:10" x14ac:dyDescent="0.25">
      <c r="B96" s="59"/>
      <c r="C96" s="59"/>
      <c r="D96" s="71"/>
      <c r="E96" s="60"/>
      <c r="F96" s="59"/>
      <c r="G96" s="72"/>
      <c r="H96" s="59"/>
      <c r="I96" s="22" t="str">
        <f>IF(D96&lt;&gt;"",VLOOKUP(E96,Constants!$D$3:$E$15,2),"")</f>
        <v/>
      </c>
      <c r="J96" s="76"/>
    </row>
    <row r="97" spans="2:10" x14ac:dyDescent="0.25">
      <c r="B97" s="59"/>
      <c r="C97" s="59"/>
      <c r="D97" s="71"/>
      <c r="E97" s="60"/>
      <c r="F97" s="59"/>
      <c r="G97" s="72"/>
      <c r="H97" s="59"/>
      <c r="I97" s="22" t="str">
        <f>IF(D97&lt;&gt;"",VLOOKUP(E97,Constants!$D$3:$E$15,2),"")</f>
        <v/>
      </c>
      <c r="J97" s="76"/>
    </row>
    <row r="98" spans="2:10" x14ac:dyDescent="0.25">
      <c r="B98" s="59"/>
      <c r="C98" s="59"/>
      <c r="D98" s="71"/>
      <c r="E98" s="60"/>
      <c r="F98" s="59"/>
      <c r="G98" s="72"/>
      <c r="H98" s="59"/>
      <c r="I98" s="22" t="str">
        <f>IF(D98&lt;&gt;"",VLOOKUP(E98,Constants!$D$3:$E$15,2),"")</f>
        <v/>
      </c>
      <c r="J98" s="76"/>
    </row>
    <row r="99" spans="2:10" x14ac:dyDescent="0.25">
      <c r="B99" s="59"/>
      <c r="C99" s="59"/>
      <c r="D99" s="71"/>
      <c r="E99" s="60"/>
      <c r="F99" s="59"/>
      <c r="G99" s="72"/>
      <c r="H99" s="59"/>
      <c r="I99" s="22" t="str">
        <f>IF(D99&lt;&gt;"",VLOOKUP(E99,Constants!$D$3:$E$15,2),"")</f>
        <v/>
      </c>
      <c r="J99" s="76"/>
    </row>
    <row r="100" spans="2:10" x14ac:dyDescent="0.25">
      <c r="B100" s="59"/>
      <c r="C100" s="59"/>
      <c r="D100" s="71"/>
      <c r="E100" s="60"/>
      <c r="F100" s="59"/>
      <c r="G100" s="72"/>
      <c r="H100" s="59"/>
      <c r="I100" s="22" t="str">
        <f>IF(D100&lt;&gt;"",VLOOKUP(E100,Constants!$D$3:$E$15,2),"")</f>
        <v/>
      </c>
      <c r="J100" s="76"/>
    </row>
    <row r="101" spans="2:10" x14ac:dyDescent="0.25">
      <c r="B101" s="59"/>
      <c r="C101" s="59"/>
      <c r="D101" s="71"/>
      <c r="E101" s="60"/>
      <c r="F101" s="59"/>
      <c r="G101" s="72"/>
      <c r="H101" s="59"/>
      <c r="I101" s="22" t="str">
        <f>IF(D101&lt;&gt;"",VLOOKUP(E101,Constants!$D$3:$E$15,2),"")</f>
        <v/>
      </c>
      <c r="J101" s="76"/>
    </row>
    <row r="102" spans="2:10" x14ac:dyDescent="0.25">
      <c r="B102" s="59"/>
      <c r="C102" s="59"/>
      <c r="D102" s="71"/>
      <c r="E102" s="60"/>
      <c r="F102" s="59"/>
      <c r="G102" s="72"/>
      <c r="H102" s="59"/>
      <c r="I102" s="22" t="str">
        <f>IF(D102&lt;&gt;"",VLOOKUP(E102,Constants!$D$3:$E$15,2),"")</f>
        <v/>
      </c>
      <c r="J102" s="76"/>
    </row>
    <row r="103" spans="2:10" x14ac:dyDescent="0.25">
      <c r="B103" s="59"/>
      <c r="C103" s="59"/>
      <c r="D103" s="71"/>
      <c r="E103" s="60"/>
      <c r="F103" s="59"/>
      <c r="G103" s="72"/>
      <c r="H103" s="59"/>
      <c r="I103" s="22" t="str">
        <f>IF(D103&lt;&gt;"",VLOOKUP(E103,Constants!$D$3:$E$15,2),"")</f>
        <v/>
      </c>
      <c r="J103" s="76"/>
    </row>
    <row r="104" spans="2:10" x14ac:dyDescent="0.25">
      <c r="B104" s="59"/>
      <c r="C104" s="59"/>
      <c r="D104" s="71"/>
      <c r="E104" s="60"/>
      <c r="F104" s="59"/>
      <c r="G104" s="72"/>
      <c r="H104" s="59"/>
      <c r="I104" s="22" t="str">
        <f>IF(D104&lt;&gt;"",VLOOKUP(E104,Constants!$D$3:$E$15,2),"")</f>
        <v/>
      </c>
      <c r="J104" s="76"/>
    </row>
    <row r="105" spans="2:10" x14ac:dyDescent="0.25">
      <c r="B105" s="59"/>
      <c r="C105" s="59"/>
      <c r="D105" s="71"/>
      <c r="E105" s="60"/>
      <c r="F105" s="59"/>
      <c r="G105" s="72"/>
      <c r="H105" s="59"/>
      <c r="I105" s="22" t="str">
        <f>IF(D105&lt;&gt;"",VLOOKUP(E105,Constants!$D$3:$E$15,2),"")</f>
        <v/>
      </c>
      <c r="J105" s="76"/>
    </row>
    <row r="106" spans="2:10" x14ac:dyDescent="0.25">
      <c r="B106" s="59"/>
      <c r="C106" s="59"/>
      <c r="D106" s="71"/>
      <c r="E106" s="60"/>
      <c r="F106" s="59"/>
      <c r="G106" s="72"/>
      <c r="H106" s="59"/>
      <c r="I106" s="22" t="str">
        <f>IF(D106&lt;&gt;"",VLOOKUP(E106,Constants!$D$3:$E$15,2),"")</f>
        <v/>
      </c>
      <c r="J106" s="76"/>
    </row>
    <row r="107" spans="2:10" x14ac:dyDescent="0.25">
      <c r="B107" s="59"/>
      <c r="C107" s="59"/>
      <c r="D107" s="71"/>
      <c r="E107" s="60"/>
      <c r="F107" s="59"/>
      <c r="G107" s="72"/>
      <c r="H107" s="59"/>
      <c r="I107" s="22" t="str">
        <f>IF(D107&lt;&gt;"",VLOOKUP(E107,Constants!$D$3:$E$15,2),"")</f>
        <v/>
      </c>
      <c r="J107" s="76"/>
    </row>
    <row r="108" spans="2:10" x14ac:dyDescent="0.25">
      <c r="B108" s="59"/>
      <c r="C108" s="59"/>
      <c r="D108" s="71"/>
      <c r="E108" s="60"/>
      <c r="F108" s="59"/>
      <c r="G108" s="72"/>
      <c r="H108" s="59"/>
      <c r="I108" s="22" t="str">
        <f>IF(D108&lt;&gt;"",VLOOKUP(E108,Constants!$D$3:$E$15,2),"")</f>
        <v/>
      </c>
      <c r="J108" s="76"/>
    </row>
    <row r="109" spans="2:10" x14ac:dyDescent="0.25">
      <c r="B109" s="59"/>
      <c r="C109" s="59"/>
      <c r="D109" s="71"/>
      <c r="E109" s="60"/>
      <c r="F109" s="59"/>
      <c r="G109" s="72"/>
      <c r="H109" s="59"/>
      <c r="I109" s="22" t="str">
        <f>IF(D109&lt;&gt;"",VLOOKUP(E109,Constants!$D$3:$E$15,2),"")</f>
        <v/>
      </c>
      <c r="J109" s="76"/>
    </row>
    <row r="110" spans="2:10" x14ac:dyDescent="0.25">
      <c r="B110" s="59"/>
      <c r="C110" s="59"/>
      <c r="D110" s="71"/>
      <c r="E110" s="60"/>
      <c r="F110" s="59"/>
      <c r="G110" s="72"/>
      <c r="H110" s="59"/>
      <c r="I110" s="22" t="str">
        <f>IF(D110&lt;&gt;"",VLOOKUP(E110,Constants!$D$3:$E$15,2),"")</f>
        <v/>
      </c>
      <c r="J110" s="76"/>
    </row>
    <row r="111" spans="2:10" x14ac:dyDescent="0.25">
      <c r="B111" s="59"/>
      <c r="C111" s="59"/>
      <c r="D111" s="71"/>
      <c r="E111" s="60"/>
      <c r="F111" s="59"/>
      <c r="G111" s="72"/>
      <c r="H111" s="59"/>
      <c r="I111" s="22" t="str">
        <f>IF(D111&lt;&gt;"",VLOOKUP(E111,Constants!$D$3:$E$15,2),"")</f>
        <v/>
      </c>
      <c r="J111" s="76"/>
    </row>
    <row r="112" spans="2:10" x14ac:dyDescent="0.25">
      <c r="B112" s="59"/>
      <c r="C112" s="59"/>
      <c r="D112" s="71"/>
      <c r="E112" s="60"/>
      <c r="F112" s="59"/>
      <c r="G112" s="72"/>
      <c r="H112" s="59"/>
      <c r="I112" s="22" t="str">
        <f>IF(D112&lt;&gt;"",VLOOKUP(E112,Constants!$D$3:$E$15,2),"")</f>
        <v/>
      </c>
      <c r="J112" s="76"/>
    </row>
    <row r="113" spans="2:10" x14ac:dyDescent="0.25">
      <c r="B113" s="59"/>
      <c r="C113" s="59"/>
      <c r="D113" s="71"/>
      <c r="E113" s="60"/>
      <c r="F113" s="59"/>
      <c r="G113" s="72"/>
      <c r="H113" s="59"/>
      <c r="I113" s="22" t="str">
        <f>IF(D113&lt;&gt;"",VLOOKUP(E113,Constants!$D$3:$E$15,2),"")</f>
        <v/>
      </c>
      <c r="J113" s="76"/>
    </row>
    <row r="114" spans="2:10" x14ac:dyDescent="0.25">
      <c r="B114" s="59"/>
      <c r="C114" s="59"/>
      <c r="D114" s="71"/>
      <c r="E114" s="60"/>
      <c r="F114" s="59"/>
      <c r="G114" s="72"/>
      <c r="H114" s="59"/>
      <c r="I114" s="22" t="str">
        <f>IF(D114&lt;&gt;"",VLOOKUP(E114,Constants!$D$3:$E$15,2),"")</f>
        <v/>
      </c>
      <c r="J114" s="76"/>
    </row>
    <row r="115" spans="2:10" x14ac:dyDescent="0.25">
      <c r="B115" s="59"/>
      <c r="C115" s="59"/>
      <c r="D115" s="71"/>
      <c r="E115" s="60"/>
      <c r="F115" s="59"/>
      <c r="G115" s="72"/>
      <c r="H115" s="59"/>
      <c r="I115" s="22" t="str">
        <f>IF(D115&lt;&gt;"",VLOOKUP(E115,Constants!$D$3:$E$15,2),"")</f>
        <v/>
      </c>
      <c r="J115" s="76"/>
    </row>
    <row r="116" spans="2:10" x14ac:dyDescent="0.25">
      <c r="B116" s="59"/>
      <c r="C116" s="59"/>
      <c r="D116" s="71"/>
      <c r="E116" s="60"/>
      <c r="F116" s="59"/>
      <c r="G116" s="72"/>
      <c r="H116" s="59"/>
      <c r="I116" s="22" t="str">
        <f>IF(D116&lt;&gt;"",VLOOKUP(E116,Constants!$D$3:$E$15,2),"")</f>
        <v/>
      </c>
      <c r="J116" s="76"/>
    </row>
    <row r="117" spans="2:10" x14ac:dyDescent="0.25">
      <c r="B117" s="59"/>
      <c r="C117" s="59"/>
      <c r="D117" s="71"/>
      <c r="E117" s="60"/>
      <c r="F117" s="59"/>
      <c r="G117" s="72"/>
      <c r="H117" s="59"/>
      <c r="I117" s="22" t="str">
        <f>IF(D117&lt;&gt;"",VLOOKUP(E117,Constants!$D$3:$E$15,2),"")</f>
        <v/>
      </c>
      <c r="J117" s="76"/>
    </row>
    <row r="118" spans="2:10" x14ac:dyDescent="0.25">
      <c r="B118" s="59"/>
      <c r="C118" s="59"/>
      <c r="D118" s="71"/>
      <c r="E118" s="60"/>
      <c r="F118" s="59"/>
      <c r="G118" s="72"/>
      <c r="H118" s="59"/>
      <c r="I118" s="22" t="str">
        <f>IF(D118&lt;&gt;"",VLOOKUP(E118,Constants!$D$3:$E$15,2),"")</f>
        <v/>
      </c>
      <c r="J118" s="76"/>
    </row>
    <row r="119" spans="2:10" x14ac:dyDescent="0.25">
      <c r="B119" s="59"/>
      <c r="C119" s="59"/>
      <c r="D119" s="71"/>
      <c r="E119" s="60"/>
      <c r="F119" s="59"/>
      <c r="G119" s="72"/>
      <c r="H119" s="59"/>
      <c r="I119" s="22" t="str">
        <f>IF(D119&lt;&gt;"",VLOOKUP(E119,Constants!$D$3:$E$15,2),"")</f>
        <v/>
      </c>
      <c r="J119" s="76"/>
    </row>
    <row r="120" spans="2:10" x14ac:dyDescent="0.25">
      <c r="B120" s="59"/>
      <c r="C120" s="59"/>
      <c r="D120" s="71"/>
      <c r="E120" s="60"/>
      <c r="F120" s="59"/>
      <c r="G120" s="72"/>
      <c r="H120" s="59"/>
      <c r="I120" s="22" t="str">
        <f>IF(D120&lt;&gt;"",VLOOKUP(E120,Constants!$D$3:$E$15,2),"")</f>
        <v/>
      </c>
      <c r="J120" s="76"/>
    </row>
    <row r="121" spans="2:10" x14ac:dyDescent="0.25">
      <c r="B121" s="59"/>
      <c r="C121" s="59"/>
      <c r="D121" s="71"/>
      <c r="E121" s="60"/>
      <c r="F121" s="59"/>
      <c r="G121" s="72"/>
      <c r="H121" s="59"/>
      <c r="I121" s="22" t="str">
        <f>IF(D121&lt;&gt;"",VLOOKUP(E121,Constants!$D$3:$E$15,2),"")</f>
        <v/>
      </c>
      <c r="J121" s="76"/>
    </row>
    <row r="122" spans="2:10" x14ac:dyDescent="0.25">
      <c r="B122" s="59"/>
      <c r="C122" s="59"/>
      <c r="D122" s="71"/>
      <c r="E122" s="60"/>
      <c r="F122" s="59"/>
      <c r="G122" s="72"/>
      <c r="H122" s="59"/>
      <c r="I122" s="22" t="str">
        <f>IF(D122&lt;&gt;"",VLOOKUP(E122,Constants!$D$3:$E$15,2),"")</f>
        <v/>
      </c>
      <c r="J122" s="76"/>
    </row>
    <row r="123" spans="2:10" x14ac:dyDescent="0.25">
      <c r="B123" s="59"/>
      <c r="C123" s="59"/>
      <c r="D123" s="71"/>
      <c r="E123" s="60"/>
      <c r="F123" s="59"/>
      <c r="G123" s="72"/>
      <c r="H123" s="59"/>
      <c r="I123" s="22" t="str">
        <f>IF(D123&lt;&gt;"",VLOOKUP(E123,Constants!$D$3:$E$15,2),"")</f>
        <v/>
      </c>
      <c r="J123" s="76"/>
    </row>
    <row r="124" spans="2:10" x14ac:dyDescent="0.25">
      <c r="B124" s="59"/>
      <c r="C124" s="59"/>
      <c r="D124" s="71"/>
      <c r="E124" s="60"/>
      <c r="F124" s="59"/>
      <c r="G124" s="72"/>
      <c r="H124" s="59"/>
      <c r="I124" s="22" t="str">
        <f>IF(D124&lt;&gt;"",VLOOKUP(E124,Constants!$D$3:$E$15,2),"")</f>
        <v/>
      </c>
      <c r="J124" s="76"/>
    </row>
    <row r="125" spans="2:10" x14ac:dyDescent="0.25">
      <c r="B125" s="59"/>
      <c r="C125" s="59"/>
      <c r="D125" s="71"/>
      <c r="E125" s="60"/>
      <c r="F125" s="59"/>
      <c r="G125" s="72"/>
      <c r="H125" s="59"/>
      <c r="I125" s="22" t="str">
        <f>IF(D125&lt;&gt;"",VLOOKUP(E125,Constants!$D$3:$E$15,2),"")</f>
        <v/>
      </c>
      <c r="J125" s="76"/>
    </row>
    <row r="126" spans="2:10" x14ac:dyDescent="0.25">
      <c r="B126" s="59"/>
      <c r="C126" s="59"/>
      <c r="D126" s="71"/>
      <c r="E126" s="60"/>
      <c r="F126" s="59"/>
      <c r="G126" s="72"/>
      <c r="H126" s="59"/>
      <c r="I126" s="22" t="str">
        <f>IF(D126&lt;&gt;"",VLOOKUP(E126,Constants!$D$3:$E$15,2),"")</f>
        <v/>
      </c>
      <c r="J126" s="76"/>
    </row>
    <row r="127" spans="2:10" x14ac:dyDescent="0.25">
      <c r="B127" s="59"/>
      <c r="C127" s="59"/>
      <c r="D127" s="71"/>
      <c r="E127" s="60"/>
      <c r="F127" s="59"/>
      <c r="G127" s="72"/>
      <c r="H127" s="59"/>
      <c r="I127" s="22" t="str">
        <f>IF(D127&lt;&gt;"",VLOOKUP(E127,Constants!$D$3:$E$15,2),"")</f>
        <v/>
      </c>
      <c r="J127" s="76"/>
    </row>
    <row r="128" spans="2:10" x14ac:dyDescent="0.25">
      <c r="B128" s="59"/>
      <c r="C128" s="59"/>
      <c r="D128" s="71"/>
      <c r="E128" s="60"/>
      <c r="F128" s="59"/>
      <c r="G128" s="72"/>
      <c r="H128" s="59"/>
      <c r="I128" s="22" t="str">
        <f>IF(D128&lt;&gt;"",VLOOKUP(E128,Constants!$D$3:$E$15,2),"")</f>
        <v/>
      </c>
      <c r="J128" s="76"/>
    </row>
    <row r="129" spans="2:10" x14ac:dyDescent="0.25">
      <c r="B129" s="59"/>
      <c r="C129" s="59"/>
      <c r="D129" s="71"/>
      <c r="E129" s="60"/>
      <c r="F129" s="59"/>
      <c r="G129" s="72"/>
      <c r="H129" s="59"/>
      <c r="I129" s="22" t="str">
        <f>IF(D129&lt;&gt;"",VLOOKUP(E129,Constants!$D$3:$E$15,2),"")</f>
        <v/>
      </c>
      <c r="J129" s="76"/>
    </row>
    <row r="130" spans="2:10" x14ac:dyDescent="0.25">
      <c r="B130" s="59"/>
      <c r="C130" s="59"/>
      <c r="D130" s="71"/>
      <c r="E130" s="60"/>
      <c r="F130" s="59"/>
      <c r="G130" s="72"/>
      <c r="H130" s="59"/>
      <c r="I130" s="22" t="str">
        <f>IF(D130&lt;&gt;"",VLOOKUP(E130,Constants!$D$3:$E$15,2),"")</f>
        <v/>
      </c>
      <c r="J130" s="76"/>
    </row>
    <row r="131" spans="2:10" x14ac:dyDescent="0.25">
      <c r="B131" s="59"/>
      <c r="C131" s="59"/>
      <c r="D131" s="71"/>
      <c r="E131" s="60"/>
      <c r="F131" s="59"/>
      <c r="G131" s="72"/>
      <c r="H131" s="59"/>
      <c r="I131" s="22" t="str">
        <f>IF(D131&lt;&gt;"",VLOOKUP(E131,Constants!$D$3:$E$15,2),"")</f>
        <v/>
      </c>
      <c r="J131" s="76"/>
    </row>
    <row r="132" spans="2:10" x14ac:dyDescent="0.25">
      <c r="B132" s="59"/>
      <c r="C132" s="59"/>
      <c r="D132" s="71"/>
      <c r="E132" s="60"/>
      <c r="F132" s="59"/>
      <c r="G132" s="72"/>
      <c r="H132" s="59"/>
      <c r="I132" s="22" t="str">
        <f>IF(D132&lt;&gt;"",VLOOKUP(E132,Constants!$D$3:$E$15,2),"")</f>
        <v/>
      </c>
      <c r="J132" s="76"/>
    </row>
    <row r="133" spans="2:10" x14ac:dyDescent="0.25">
      <c r="B133" s="59"/>
      <c r="C133" s="59"/>
      <c r="D133" s="71"/>
      <c r="E133" s="60"/>
      <c r="F133" s="59"/>
      <c r="G133" s="72"/>
      <c r="H133" s="59"/>
      <c r="I133" s="22" t="str">
        <f>IF(D133&lt;&gt;"",VLOOKUP(E133,Constants!$D$3:$E$15,2),"")</f>
        <v/>
      </c>
      <c r="J133" s="76"/>
    </row>
    <row r="134" spans="2:10" x14ac:dyDescent="0.25">
      <c r="B134" s="59"/>
      <c r="C134" s="59"/>
      <c r="D134" s="71"/>
      <c r="E134" s="60"/>
      <c r="F134" s="59"/>
      <c r="G134" s="72"/>
      <c r="H134" s="59"/>
      <c r="I134" s="22" t="str">
        <f>IF(D134&lt;&gt;"",VLOOKUP(E134,Constants!$D$3:$E$15,2),"")</f>
        <v/>
      </c>
      <c r="J134" s="76"/>
    </row>
    <row r="135" spans="2:10" x14ac:dyDescent="0.25">
      <c r="B135" s="59"/>
      <c r="C135" s="59"/>
      <c r="D135" s="71"/>
      <c r="E135" s="60"/>
      <c r="F135" s="59"/>
      <c r="G135" s="72"/>
      <c r="H135" s="59"/>
      <c r="I135" s="22" t="str">
        <f>IF(D135&lt;&gt;"",VLOOKUP(E135,Constants!$D$3:$E$15,2),"")</f>
        <v/>
      </c>
      <c r="J135" s="76"/>
    </row>
    <row r="136" spans="2:10" x14ac:dyDescent="0.25">
      <c r="B136" s="59"/>
      <c r="C136" s="59"/>
      <c r="D136" s="71"/>
      <c r="E136" s="60"/>
      <c r="F136" s="59"/>
      <c r="G136" s="72"/>
      <c r="H136" s="59"/>
      <c r="I136" s="22" t="str">
        <f>IF(D136&lt;&gt;"",VLOOKUP(E136,Constants!$D$3:$E$15,2),"")</f>
        <v/>
      </c>
      <c r="J136" s="76"/>
    </row>
    <row r="137" spans="2:10" x14ac:dyDescent="0.25">
      <c r="B137" s="59"/>
      <c r="C137" s="59"/>
      <c r="D137" s="71"/>
      <c r="E137" s="60"/>
      <c r="F137" s="59"/>
      <c r="G137" s="72"/>
      <c r="H137" s="59"/>
      <c r="I137" s="22" t="str">
        <f>IF(D137&lt;&gt;"",VLOOKUP(E137,Constants!$D$3:$E$15,2),"")</f>
        <v/>
      </c>
      <c r="J137" s="76"/>
    </row>
    <row r="138" spans="2:10" x14ac:dyDescent="0.25">
      <c r="B138" s="59"/>
      <c r="C138" s="59"/>
      <c r="D138" s="71"/>
      <c r="E138" s="60"/>
      <c r="F138" s="59"/>
      <c r="G138" s="72"/>
      <c r="H138" s="59"/>
      <c r="I138" s="22" t="str">
        <f>IF(D138&lt;&gt;"",VLOOKUP(E138,Constants!$D$3:$E$15,2),"")</f>
        <v/>
      </c>
      <c r="J138" s="76"/>
    </row>
    <row r="139" spans="2:10" x14ac:dyDescent="0.25">
      <c r="B139" s="59"/>
      <c r="C139" s="59"/>
      <c r="D139" s="71"/>
      <c r="E139" s="60"/>
      <c r="F139" s="59"/>
      <c r="G139" s="72"/>
      <c r="H139" s="59"/>
      <c r="I139" s="22" t="str">
        <f>IF(D139&lt;&gt;"",VLOOKUP(E139,Constants!$D$3:$E$15,2),"")</f>
        <v/>
      </c>
      <c r="J139" s="76"/>
    </row>
    <row r="140" spans="2:10" x14ac:dyDescent="0.25">
      <c r="B140" s="59"/>
      <c r="C140" s="59"/>
      <c r="D140" s="71"/>
      <c r="E140" s="60"/>
      <c r="F140" s="59"/>
      <c r="G140" s="72"/>
      <c r="H140" s="59"/>
      <c r="I140" s="22" t="str">
        <f>IF(D140&lt;&gt;"",VLOOKUP(E140,Constants!$D$3:$E$15,2),"")</f>
        <v/>
      </c>
      <c r="J140" s="76"/>
    </row>
    <row r="141" spans="2:10" x14ac:dyDescent="0.25">
      <c r="B141" s="59"/>
      <c r="C141" s="59"/>
      <c r="D141" s="71"/>
      <c r="E141" s="60"/>
      <c r="F141" s="59"/>
      <c r="G141" s="72"/>
      <c r="H141" s="59"/>
      <c r="I141" s="22" t="str">
        <f>IF(D141&lt;&gt;"",VLOOKUP(E141,Constants!$D$3:$E$15,2),"")</f>
        <v/>
      </c>
      <c r="J141" s="76"/>
    </row>
    <row r="142" spans="2:10" x14ac:dyDescent="0.25">
      <c r="B142" s="59"/>
      <c r="C142" s="59"/>
      <c r="D142" s="71"/>
      <c r="E142" s="60"/>
      <c r="F142" s="59"/>
      <c r="G142" s="72"/>
      <c r="H142" s="59"/>
      <c r="I142" s="22" t="str">
        <f>IF(D142&lt;&gt;"",VLOOKUP(E142,Constants!$D$3:$E$15,2),"")</f>
        <v/>
      </c>
      <c r="J142" s="76"/>
    </row>
    <row r="143" spans="2:10" x14ac:dyDescent="0.25">
      <c r="B143" s="59"/>
      <c r="C143" s="59"/>
      <c r="D143" s="71"/>
      <c r="E143" s="60"/>
      <c r="F143" s="59"/>
      <c r="G143" s="72"/>
      <c r="H143" s="59"/>
      <c r="I143" s="22" t="str">
        <f>IF(D143&lt;&gt;"",VLOOKUP(E143,Constants!$D$3:$E$15,2),"")</f>
        <v/>
      </c>
      <c r="J143" s="76"/>
    </row>
    <row r="144" spans="2:10" x14ac:dyDescent="0.25">
      <c r="B144" s="59"/>
      <c r="C144" s="59"/>
      <c r="D144" s="71"/>
      <c r="E144" s="60"/>
      <c r="F144" s="59"/>
      <c r="G144" s="72"/>
      <c r="H144" s="59"/>
      <c r="I144" s="22" t="str">
        <f>IF(D144&lt;&gt;"",VLOOKUP(E144,Constants!$D$3:$E$15,2),"")</f>
        <v/>
      </c>
      <c r="J144" s="76"/>
    </row>
    <row r="145" spans="2:10" x14ac:dyDescent="0.25">
      <c r="B145" s="59"/>
      <c r="C145" s="59"/>
      <c r="D145" s="71"/>
      <c r="E145" s="60"/>
      <c r="F145" s="59"/>
      <c r="G145" s="72"/>
      <c r="H145" s="59"/>
      <c r="I145" s="22" t="str">
        <f>IF(D145&lt;&gt;"",VLOOKUP(E145,Constants!$D$3:$E$15,2),"")</f>
        <v/>
      </c>
      <c r="J145" s="76"/>
    </row>
    <row r="146" spans="2:10" x14ac:dyDescent="0.25">
      <c r="B146" s="59"/>
      <c r="C146" s="59"/>
      <c r="D146" s="71"/>
      <c r="E146" s="60"/>
      <c r="F146" s="59"/>
      <c r="G146" s="72"/>
      <c r="H146" s="59"/>
      <c r="I146" s="22" t="str">
        <f>IF(D146&lt;&gt;"",VLOOKUP(E146,Constants!$D$3:$E$15,2),"")</f>
        <v/>
      </c>
      <c r="J146" s="76"/>
    </row>
    <row r="147" spans="2:10" x14ac:dyDescent="0.25">
      <c r="B147" s="59"/>
      <c r="C147" s="59"/>
      <c r="D147" s="71"/>
      <c r="E147" s="60"/>
      <c r="F147" s="59"/>
      <c r="G147" s="72"/>
      <c r="H147" s="59"/>
      <c r="I147" s="22" t="str">
        <f>IF(D147&lt;&gt;"",VLOOKUP(E147,Constants!$D$3:$E$15,2),"")</f>
        <v/>
      </c>
      <c r="J147" s="76"/>
    </row>
    <row r="148" spans="2:10" x14ac:dyDescent="0.25">
      <c r="B148" s="59"/>
      <c r="C148" s="59"/>
      <c r="D148" s="71"/>
      <c r="E148" s="60"/>
      <c r="F148" s="59"/>
      <c r="G148" s="72"/>
      <c r="H148" s="59"/>
      <c r="I148" s="22" t="str">
        <f>IF(D148&lt;&gt;"",VLOOKUP(E148,Constants!$D$3:$E$15,2),"")</f>
        <v/>
      </c>
      <c r="J148" s="76"/>
    </row>
    <row r="149" spans="2:10" x14ac:dyDescent="0.25">
      <c r="B149" s="59"/>
      <c r="C149" s="59"/>
      <c r="D149" s="71"/>
      <c r="E149" s="60"/>
      <c r="F149" s="59"/>
      <c r="G149" s="72"/>
      <c r="H149" s="59"/>
      <c r="I149" s="22" t="str">
        <f>IF(D149&lt;&gt;"",VLOOKUP(E149,Constants!$D$3:$E$15,2),"")</f>
        <v/>
      </c>
      <c r="J149" s="76"/>
    </row>
    <row r="150" spans="2:10" x14ac:dyDescent="0.25">
      <c r="B150" s="59"/>
      <c r="C150" s="59"/>
      <c r="D150" s="71"/>
      <c r="E150" s="60"/>
      <c r="F150" s="59"/>
      <c r="G150" s="72"/>
      <c r="H150" s="59"/>
      <c r="I150" s="22" t="str">
        <f>IF(D150&lt;&gt;"",VLOOKUP(E150,Constants!$D$3:$E$15,2),"")</f>
        <v/>
      </c>
      <c r="J150" s="76"/>
    </row>
    <row r="151" spans="2:10" x14ac:dyDescent="0.25">
      <c r="B151" s="59"/>
      <c r="C151" s="59"/>
      <c r="D151" s="71"/>
      <c r="E151" s="60"/>
      <c r="F151" s="59"/>
      <c r="G151" s="72"/>
      <c r="H151" s="59"/>
      <c r="I151" s="22" t="str">
        <f>IF(D151&lt;&gt;"",VLOOKUP(E151,Constants!$D$3:$E$15,2),"")</f>
        <v/>
      </c>
      <c r="J151" s="76"/>
    </row>
    <row r="152" spans="2:10" x14ac:dyDescent="0.25">
      <c r="B152" s="59"/>
      <c r="C152" s="59"/>
      <c r="D152" s="71"/>
      <c r="E152" s="60"/>
      <c r="F152" s="59"/>
      <c r="G152" s="72"/>
      <c r="H152" s="59"/>
      <c r="I152" s="22" t="str">
        <f>IF(D152&lt;&gt;"",VLOOKUP(E152,Constants!$D$3:$E$15,2),"")</f>
        <v/>
      </c>
      <c r="J152" s="76"/>
    </row>
    <row r="153" spans="2:10" x14ac:dyDescent="0.25">
      <c r="B153" s="59"/>
      <c r="C153" s="59"/>
      <c r="D153" s="71"/>
      <c r="E153" s="60"/>
      <c r="F153" s="59"/>
      <c r="G153" s="72"/>
      <c r="H153" s="59"/>
      <c r="I153" s="22" t="str">
        <f>IF(D153&lt;&gt;"",VLOOKUP(E153,Constants!$D$3:$E$15,2),"")</f>
        <v/>
      </c>
      <c r="J153" s="76"/>
    </row>
    <row r="154" spans="2:10" x14ac:dyDescent="0.25">
      <c r="B154" s="59"/>
      <c r="C154" s="59"/>
      <c r="D154" s="71"/>
      <c r="E154" s="60"/>
      <c r="F154" s="59"/>
      <c r="G154" s="72"/>
      <c r="H154" s="59"/>
      <c r="I154" s="22" t="str">
        <f>IF(D154&lt;&gt;"",VLOOKUP(E154,Constants!$D$3:$E$15,2),"")</f>
        <v/>
      </c>
      <c r="J154" s="76"/>
    </row>
    <row r="155" spans="2:10" x14ac:dyDescent="0.25">
      <c r="B155" s="59"/>
      <c r="C155" s="59"/>
      <c r="D155" s="71"/>
      <c r="E155" s="60"/>
      <c r="F155" s="59"/>
      <c r="G155" s="72"/>
      <c r="H155" s="59"/>
      <c r="I155" s="22" t="str">
        <f>IF(D155&lt;&gt;"",VLOOKUP(E155,Constants!$D$3:$E$15,2),"")</f>
        <v/>
      </c>
      <c r="J155" s="76"/>
    </row>
    <row r="156" spans="2:10" x14ac:dyDescent="0.25">
      <c r="B156" s="59"/>
      <c r="C156" s="59"/>
      <c r="D156" s="71"/>
      <c r="E156" s="60"/>
      <c r="F156" s="59"/>
      <c r="G156" s="72"/>
      <c r="H156" s="59"/>
      <c r="I156" s="22" t="str">
        <f>IF(D156&lt;&gt;"",VLOOKUP(E156,Constants!$D$3:$E$15,2),"")</f>
        <v/>
      </c>
      <c r="J156" s="76"/>
    </row>
    <row r="157" spans="2:10" x14ac:dyDescent="0.25">
      <c r="B157" s="59"/>
      <c r="C157" s="59"/>
      <c r="D157" s="71"/>
      <c r="E157" s="60"/>
      <c r="F157" s="59"/>
      <c r="G157" s="72"/>
      <c r="H157" s="59"/>
      <c r="I157" s="22" t="str">
        <f>IF(D157&lt;&gt;"",VLOOKUP(E157,Constants!$D$3:$E$15,2),"")</f>
        <v/>
      </c>
      <c r="J157" s="76"/>
    </row>
    <row r="158" spans="2:10" x14ac:dyDescent="0.25">
      <c r="B158" s="59"/>
      <c r="C158" s="59"/>
      <c r="D158" s="71"/>
      <c r="E158" s="60"/>
      <c r="F158" s="59"/>
      <c r="G158" s="72"/>
      <c r="H158" s="59"/>
      <c r="I158" s="22" t="str">
        <f>IF(D158&lt;&gt;"",VLOOKUP(E158,Constants!$D$3:$E$15,2),"")</f>
        <v/>
      </c>
      <c r="J158" s="76"/>
    </row>
    <row r="159" spans="2:10" x14ac:dyDescent="0.25">
      <c r="B159" s="59"/>
      <c r="C159" s="59"/>
      <c r="D159" s="71"/>
      <c r="E159" s="60"/>
      <c r="F159" s="59"/>
      <c r="G159" s="72"/>
      <c r="H159" s="59"/>
      <c r="I159" s="22" t="str">
        <f>IF(D159&lt;&gt;"",VLOOKUP(E159,Constants!$D$3:$E$15,2),"")</f>
        <v/>
      </c>
      <c r="J159" s="76"/>
    </row>
    <row r="160" spans="2:10" x14ac:dyDescent="0.25">
      <c r="B160" s="59"/>
      <c r="C160" s="59"/>
      <c r="D160" s="71"/>
      <c r="E160" s="60"/>
      <c r="F160" s="59"/>
      <c r="G160" s="72"/>
      <c r="H160" s="59"/>
      <c r="I160" s="22" t="str">
        <f>IF(D160&lt;&gt;"",VLOOKUP(E160,Constants!$D$3:$E$15,2),"")</f>
        <v/>
      </c>
      <c r="J160" s="76"/>
    </row>
    <row r="161" spans="2:10" x14ac:dyDescent="0.25">
      <c r="B161" s="59"/>
      <c r="C161" s="59"/>
      <c r="D161" s="71"/>
      <c r="E161" s="60"/>
      <c r="F161" s="59"/>
      <c r="G161" s="72"/>
      <c r="H161" s="59"/>
      <c r="I161" s="22" t="str">
        <f>IF(D161&lt;&gt;"",VLOOKUP(E161,Constants!$D$3:$E$15,2),"")</f>
        <v/>
      </c>
      <c r="J161" s="76"/>
    </row>
    <row r="162" spans="2:10" x14ac:dyDescent="0.25">
      <c r="B162" s="59"/>
      <c r="C162" s="59"/>
      <c r="D162" s="71"/>
      <c r="E162" s="60"/>
      <c r="F162" s="59"/>
      <c r="G162" s="72"/>
      <c r="H162" s="59"/>
      <c r="I162" s="22" t="str">
        <f>IF(D162&lt;&gt;"",VLOOKUP(E162,Constants!$D$3:$E$15,2),"")</f>
        <v/>
      </c>
      <c r="J162" s="76"/>
    </row>
    <row r="163" spans="2:10" x14ac:dyDescent="0.25">
      <c r="B163" s="59"/>
      <c r="C163" s="59"/>
      <c r="D163" s="71"/>
      <c r="E163" s="60"/>
      <c r="F163" s="59"/>
      <c r="G163" s="72"/>
      <c r="H163" s="59"/>
      <c r="I163" s="22" t="str">
        <f>IF(D163&lt;&gt;"",VLOOKUP(E163,Constants!$D$3:$E$15,2),"")</f>
        <v/>
      </c>
      <c r="J163" s="76"/>
    </row>
    <row r="164" spans="2:10" x14ac:dyDescent="0.25">
      <c r="B164" s="59"/>
      <c r="C164" s="59"/>
      <c r="D164" s="71"/>
      <c r="E164" s="60"/>
      <c r="F164" s="59"/>
      <c r="G164" s="72"/>
      <c r="H164" s="59"/>
      <c r="I164" s="22" t="str">
        <f>IF(D164&lt;&gt;"",VLOOKUP(E164,Constants!$D$3:$E$15,2),"")</f>
        <v/>
      </c>
      <c r="J164" s="76"/>
    </row>
    <row r="165" spans="2:10" x14ac:dyDescent="0.25">
      <c r="B165" s="59"/>
      <c r="C165" s="59"/>
      <c r="D165" s="71"/>
      <c r="E165" s="60"/>
      <c r="F165" s="59"/>
      <c r="G165" s="72"/>
      <c r="H165" s="59"/>
      <c r="I165" s="22" t="str">
        <f>IF(D165&lt;&gt;"",VLOOKUP(E165,Constants!$D$3:$E$15,2),"")</f>
        <v/>
      </c>
      <c r="J165" s="76"/>
    </row>
    <row r="166" spans="2:10" x14ac:dyDescent="0.25">
      <c r="B166" s="59"/>
      <c r="C166" s="59"/>
      <c r="D166" s="71"/>
      <c r="E166" s="60"/>
      <c r="F166" s="59"/>
      <c r="G166" s="72"/>
      <c r="H166" s="59"/>
      <c r="I166" s="22" t="str">
        <f>IF(D166&lt;&gt;"",VLOOKUP(E166,Constants!$D$3:$E$15,2),"")</f>
        <v/>
      </c>
      <c r="J166" s="76"/>
    </row>
    <row r="167" spans="2:10" x14ac:dyDescent="0.25">
      <c r="B167" s="59"/>
      <c r="C167" s="59"/>
      <c r="D167" s="71"/>
      <c r="E167" s="60"/>
      <c r="F167" s="59"/>
      <c r="G167" s="72"/>
      <c r="H167" s="59"/>
      <c r="I167" s="22" t="str">
        <f>IF(D167&lt;&gt;"",VLOOKUP(E167,Constants!$D$3:$E$15,2),"")</f>
        <v/>
      </c>
      <c r="J167" s="76"/>
    </row>
    <row r="168" spans="2:10" x14ac:dyDescent="0.25">
      <c r="B168" s="59"/>
      <c r="C168" s="59"/>
      <c r="D168" s="71"/>
      <c r="E168" s="60"/>
      <c r="F168" s="59"/>
      <c r="G168" s="72"/>
      <c r="H168" s="59"/>
      <c r="I168" s="22" t="str">
        <f>IF(D168&lt;&gt;"",VLOOKUP(E168,Constants!$D$3:$E$15,2),"")</f>
        <v/>
      </c>
      <c r="J168" s="76"/>
    </row>
    <row r="169" spans="2:10" x14ac:dyDescent="0.25">
      <c r="B169" s="59"/>
      <c r="C169" s="59"/>
      <c r="D169" s="71"/>
      <c r="E169" s="60"/>
      <c r="F169" s="59"/>
      <c r="G169" s="72"/>
      <c r="H169" s="59"/>
      <c r="I169" s="22" t="str">
        <f>IF(D169&lt;&gt;"",VLOOKUP(E169,Constants!$D$3:$E$15,2),"")</f>
        <v/>
      </c>
      <c r="J169" s="76"/>
    </row>
    <row r="170" spans="2:10" x14ac:dyDescent="0.25">
      <c r="B170" s="59"/>
      <c r="C170" s="59"/>
      <c r="D170" s="71"/>
      <c r="E170" s="60"/>
      <c r="F170" s="59"/>
      <c r="G170" s="72"/>
      <c r="H170" s="59"/>
      <c r="I170" s="22" t="str">
        <f>IF(D170&lt;&gt;"",VLOOKUP(E170,Constants!$D$3:$E$15,2),"")</f>
        <v/>
      </c>
      <c r="J170" s="76"/>
    </row>
    <row r="171" spans="2:10" x14ac:dyDescent="0.25">
      <c r="B171" s="59"/>
      <c r="C171" s="59"/>
      <c r="D171" s="71"/>
      <c r="E171" s="60"/>
      <c r="F171" s="59"/>
      <c r="G171" s="72"/>
      <c r="H171" s="59"/>
      <c r="I171" s="22" t="str">
        <f>IF(D171&lt;&gt;"",VLOOKUP(E171,Constants!$D$3:$E$15,2),"")</f>
        <v/>
      </c>
      <c r="J171" s="76"/>
    </row>
    <row r="172" spans="2:10" x14ac:dyDescent="0.25">
      <c r="B172" s="59"/>
      <c r="C172" s="59"/>
      <c r="D172" s="71"/>
      <c r="E172" s="60"/>
      <c r="F172" s="59"/>
      <c r="G172" s="72"/>
      <c r="H172" s="59"/>
      <c r="I172" s="22" t="str">
        <f>IF(D172&lt;&gt;"",VLOOKUP(E172,Constants!$D$3:$E$15,2),"")</f>
        <v/>
      </c>
      <c r="J172" s="76"/>
    </row>
    <row r="173" spans="2:10" x14ac:dyDescent="0.25">
      <c r="B173" s="59"/>
      <c r="C173" s="59"/>
      <c r="D173" s="71"/>
      <c r="E173" s="60"/>
      <c r="F173" s="59"/>
      <c r="G173" s="72"/>
      <c r="H173" s="59"/>
      <c r="I173" s="22" t="str">
        <f>IF(D173&lt;&gt;"",VLOOKUP(E173,Constants!$D$3:$E$15,2),"")</f>
        <v/>
      </c>
      <c r="J173" s="76"/>
    </row>
    <row r="174" spans="2:10" x14ac:dyDescent="0.25">
      <c r="B174" s="59"/>
      <c r="C174" s="59"/>
      <c r="D174" s="71"/>
      <c r="E174" s="60"/>
      <c r="F174" s="59"/>
      <c r="G174" s="72"/>
      <c r="H174" s="59"/>
      <c r="I174" s="22" t="str">
        <f>IF(D174&lt;&gt;"",VLOOKUP(E174,Constants!$D$3:$E$15,2),"")</f>
        <v/>
      </c>
      <c r="J174" s="76"/>
    </row>
    <row r="175" spans="2:10" x14ac:dyDescent="0.25">
      <c r="B175" s="59"/>
      <c r="C175" s="59"/>
      <c r="D175" s="71"/>
      <c r="E175" s="60"/>
      <c r="F175" s="59"/>
      <c r="G175" s="72"/>
      <c r="H175" s="59"/>
      <c r="I175" s="22" t="str">
        <f>IF(D175&lt;&gt;"",VLOOKUP(E175,Constants!$D$3:$E$15,2),"")</f>
        <v/>
      </c>
      <c r="J175" s="76"/>
    </row>
    <row r="176" spans="2:10" x14ac:dyDescent="0.25">
      <c r="B176" s="59"/>
      <c r="C176" s="59"/>
      <c r="D176" s="71"/>
      <c r="E176" s="60"/>
      <c r="F176" s="59"/>
      <c r="G176" s="72"/>
      <c r="H176" s="59"/>
      <c r="I176" s="22" t="str">
        <f>IF(D176&lt;&gt;"",VLOOKUP(E176,Constants!$D$3:$E$15,2),"")</f>
        <v/>
      </c>
      <c r="J176" s="76"/>
    </row>
    <row r="177" spans="2:10" x14ac:dyDescent="0.25">
      <c r="B177" s="59"/>
      <c r="C177" s="59"/>
      <c r="D177" s="71"/>
      <c r="E177" s="60"/>
      <c r="F177" s="59"/>
      <c r="G177" s="72"/>
      <c r="H177" s="59"/>
      <c r="I177" s="22" t="str">
        <f>IF(D177&lt;&gt;"",VLOOKUP(E177,Constants!$D$3:$E$15,2),"")</f>
        <v/>
      </c>
      <c r="J177" s="76"/>
    </row>
    <row r="178" spans="2:10" x14ac:dyDescent="0.25">
      <c r="B178" s="59"/>
      <c r="C178" s="59"/>
      <c r="D178" s="71"/>
      <c r="E178" s="60"/>
      <c r="F178" s="59"/>
      <c r="G178" s="72"/>
      <c r="H178" s="59"/>
      <c r="I178" s="22" t="str">
        <f>IF(D178&lt;&gt;"",VLOOKUP(E178,Constants!$D$3:$E$15,2),"")</f>
        <v/>
      </c>
      <c r="J178" s="76"/>
    </row>
    <row r="179" spans="2:10" x14ac:dyDescent="0.25">
      <c r="B179" s="59"/>
      <c r="C179" s="59"/>
      <c r="D179" s="71"/>
      <c r="E179" s="60"/>
      <c r="F179" s="59"/>
      <c r="G179" s="72"/>
      <c r="H179" s="59"/>
      <c r="I179" s="22" t="str">
        <f>IF(D179&lt;&gt;"",VLOOKUP(E179,Constants!$D$3:$E$15,2),"")</f>
        <v/>
      </c>
      <c r="J179" s="76"/>
    </row>
    <row r="180" spans="2:10" x14ac:dyDescent="0.25">
      <c r="B180" s="59"/>
      <c r="C180" s="59"/>
      <c r="D180" s="71"/>
      <c r="E180" s="60"/>
      <c r="F180" s="59"/>
      <c r="G180" s="72"/>
      <c r="H180" s="59"/>
      <c r="I180" s="22" t="str">
        <f>IF(D180&lt;&gt;"",VLOOKUP(E180,Constants!$D$3:$E$15,2),"")</f>
        <v/>
      </c>
      <c r="J180" s="76"/>
    </row>
    <row r="181" spans="2:10" x14ac:dyDescent="0.25">
      <c r="B181" s="59"/>
      <c r="C181" s="59"/>
      <c r="D181" s="71"/>
      <c r="E181" s="60"/>
      <c r="F181" s="59"/>
      <c r="G181" s="72"/>
      <c r="H181" s="59"/>
      <c r="I181" s="22" t="str">
        <f>IF(D181&lt;&gt;"",VLOOKUP(E181,Constants!$D$3:$E$15,2),"")</f>
        <v/>
      </c>
      <c r="J181" s="76"/>
    </row>
    <row r="182" spans="2:10" x14ac:dyDescent="0.25">
      <c r="B182" s="59"/>
      <c r="C182" s="59"/>
      <c r="D182" s="71"/>
      <c r="E182" s="60"/>
      <c r="F182" s="59"/>
      <c r="G182" s="72"/>
      <c r="H182" s="59"/>
      <c r="I182" s="22" t="str">
        <f>IF(D182&lt;&gt;"",VLOOKUP(E182,Constants!$D$3:$E$15,2),"")</f>
        <v/>
      </c>
      <c r="J182" s="76"/>
    </row>
    <row r="183" spans="2:10" x14ac:dyDescent="0.25">
      <c r="B183" s="59"/>
      <c r="C183" s="59"/>
      <c r="D183" s="71"/>
      <c r="E183" s="60"/>
      <c r="F183" s="59"/>
      <c r="G183" s="72"/>
      <c r="H183" s="59"/>
      <c r="I183" s="22" t="str">
        <f>IF(D183&lt;&gt;"",VLOOKUP(E183,Constants!$D$3:$E$15,2),"")</f>
        <v/>
      </c>
      <c r="J183" s="76"/>
    </row>
    <row r="184" spans="2:10" x14ac:dyDescent="0.25">
      <c r="B184" s="59"/>
      <c r="C184" s="59"/>
      <c r="D184" s="71"/>
      <c r="E184" s="60"/>
      <c r="F184" s="59"/>
      <c r="G184" s="72"/>
      <c r="H184" s="59"/>
      <c r="I184" s="22" t="str">
        <f>IF(D184&lt;&gt;"",VLOOKUP(E184,Constants!$D$3:$E$15,2),"")</f>
        <v/>
      </c>
      <c r="J184" s="76"/>
    </row>
    <row r="185" spans="2:10" x14ac:dyDescent="0.25">
      <c r="B185" s="59"/>
      <c r="C185" s="59"/>
      <c r="D185" s="71"/>
      <c r="E185" s="60"/>
      <c r="F185" s="59"/>
      <c r="G185" s="72"/>
      <c r="H185" s="59"/>
      <c r="I185" s="22" t="str">
        <f>IF(D185&lt;&gt;"",VLOOKUP(E185,Constants!$D$3:$E$15,2),"")</f>
        <v/>
      </c>
      <c r="J185" s="76"/>
    </row>
    <row r="186" spans="2:10" x14ac:dyDescent="0.25">
      <c r="B186" s="59"/>
      <c r="C186" s="59"/>
      <c r="D186" s="71"/>
      <c r="E186" s="60"/>
      <c r="F186" s="59"/>
      <c r="G186" s="72"/>
      <c r="H186" s="59"/>
      <c r="I186" s="22" t="str">
        <f>IF(D186&lt;&gt;"",VLOOKUP(E186,Constants!$D$3:$E$15,2),"")</f>
        <v/>
      </c>
      <c r="J186" s="76"/>
    </row>
    <row r="187" spans="2:10" x14ac:dyDescent="0.25">
      <c r="B187" s="59"/>
      <c r="C187" s="59"/>
      <c r="D187" s="71"/>
      <c r="E187" s="60"/>
      <c r="F187" s="59"/>
      <c r="G187" s="72"/>
      <c r="H187" s="59"/>
      <c r="I187" s="22" t="str">
        <f>IF(D187&lt;&gt;"",VLOOKUP(E187,Constants!$D$3:$E$15,2),"")</f>
        <v/>
      </c>
      <c r="J187" s="76"/>
    </row>
    <row r="188" spans="2:10" x14ac:dyDescent="0.25">
      <c r="B188" s="59"/>
      <c r="C188" s="59"/>
      <c r="D188" s="71"/>
      <c r="E188" s="60"/>
      <c r="F188" s="59"/>
      <c r="G188" s="72"/>
      <c r="H188" s="59"/>
      <c r="I188" s="22" t="str">
        <f>IF(D188&lt;&gt;"",VLOOKUP(E188,Constants!$D$3:$E$15,2),"")</f>
        <v/>
      </c>
      <c r="J188" s="76"/>
    </row>
    <row r="189" spans="2:10" x14ac:dyDescent="0.25">
      <c r="B189" s="59"/>
      <c r="C189" s="59"/>
      <c r="D189" s="71"/>
      <c r="E189" s="60"/>
      <c r="F189" s="59"/>
      <c r="G189" s="72"/>
      <c r="H189" s="59"/>
      <c r="I189" s="22" t="str">
        <f>IF(D189&lt;&gt;"",VLOOKUP(E189,Constants!$D$3:$E$15,2),"")</f>
        <v/>
      </c>
      <c r="J189" s="76"/>
    </row>
    <row r="190" spans="2:10" x14ac:dyDescent="0.25">
      <c r="B190" s="59"/>
      <c r="C190" s="59"/>
      <c r="D190" s="71"/>
      <c r="E190" s="60"/>
      <c r="F190" s="59"/>
      <c r="G190" s="72"/>
      <c r="H190" s="59"/>
      <c r="I190" s="22" t="str">
        <f>IF(D190&lt;&gt;"",VLOOKUP(E190,Constants!$D$3:$E$15,2),"")</f>
        <v/>
      </c>
      <c r="J190" s="76"/>
    </row>
    <row r="191" spans="2:10" x14ac:dyDescent="0.25">
      <c r="B191" s="59"/>
      <c r="C191" s="59"/>
      <c r="D191" s="71"/>
      <c r="E191" s="60"/>
      <c r="F191" s="59"/>
      <c r="G191" s="72"/>
      <c r="H191" s="59"/>
      <c r="I191" s="22" t="str">
        <f>IF(D191&lt;&gt;"",VLOOKUP(E191,Constants!$D$3:$E$15,2),"")</f>
        <v/>
      </c>
      <c r="J191" s="76"/>
    </row>
    <row r="192" spans="2:10" x14ac:dyDescent="0.25">
      <c r="B192" s="59"/>
      <c r="C192" s="59"/>
      <c r="D192" s="71"/>
      <c r="E192" s="60"/>
      <c r="F192" s="59"/>
      <c r="G192" s="72"/>
      <c r="H192" s="59"/>
      <c r="I192" s="22" t="str">
        <f>IF(D192&lt;&gt;"",VLOOKUP(E192,Constants!$D$3:$E$15,2),"")</f>
        <v/>
      </c>
      <c r="J192" s="76"/>
    </row>
    <row r="193" spans="2:10" x14ac:dyDescent="0.25">
      <c r="B193" s="59"/>
      <c r="C193" s="59"/>
      <c r="D193" s="71"/>
      <c r="E193" s="60"/>
      <c r="F193" s="59"/>
      <c r="G193" s="72"/>
      <c r="H193" s="59"/>
      <c r="I193" s="22" t="str">
        <f>IF(D193&lt;&gt;"",VLOOKUP(E193,Constants!$D$3:$E$15,2),"")</f>
        <v/>
      </c>
      <c r="J193" s="76"/>
    </row>
    <row r="194" spans="2:10" x14ac:dyDescent="0.25">
      <c r="B194" s="59"/>
      <c r="C194" s="59"/>
      <c r="D194" s="71"/>
      <c r="E194" s="60"/>
      <c r="F194" s="59"/>
      <c r="G194" s="72"/>
      <c r="H194" s="59"/>
      <c r="I194" s="22" t="str">
        <f>IF(D194&lt;&gt;"",VLOOKUP(E194,Constants!$D$3:$E$15,2),"")</f>
        <v/>
      </c>
      <c r="J194" s="76"/>
    </row>
    <row r="195" spans="2:10" x14ac:dyDescent="0.25">
      <c r="B195" s="59"/>
      <c r="C195" s="59"/>
      <c r="D195" s="71"/>
      <c r="E195" s="60"/>
      <c r="F195" s="59"/>
      <c r="G195" s="72"/>
      <c r="H195" s="59"/>
      <c r="I195" s="22" t="str">
        <f>IF(D195&lt;&gt;"",VLOOKUP(E195,Constants!$D$3:$E$15,2),"")</f>
        <v/>
      </c>
      <c r="J195" s="76"/>
    </row>
    <row r="196" spans="2:10" x14ac:dyDescent="0.25">
      <c r="B196" s="59"/>
      <c r="C196" s="59"/>
      <c r="D196" s="71"/>
      <c r="E196" s="60"/>
      <c r="F196" s="59"/>
      <c r="G196" s="72"/>
      <c r="H196" s="59"/>
      <c r="I196" s="22" t="str">
        <f>IF(D196&lt;&gt;"",VLOOKUP(E196,Constants!$D$3:$E$15,2),"")</f>
        <v/>
      </c>
      <c r="J196" s="76"/>
    </row>
    <row r="197" spans="2:10" x14ac:dyDescent="0.25">
      <c r="B197" s="59"/>
      <c r="C197" s="59"/>
      <c r="D197" s="71"/>
      <c r="E197" s="60"/>
      <c r="F197" s="59"/>
      <c r="G197" s="72"/>
      <c r="H197" s="59"/>
      <c r="I197" s="22" t="str">
        <f>IF(D197&lt;&gt;"",VLOOKUP(E197,Constants!$D$3:$E$15,2),"")</f>
        <v/>
      </c>
      <c r="J197" s="76"/>
    </row>
    <row r="198" spans="2:10" x14ac:dyDescent="0.25">
      <c r="B198" s="59"/>
      <c r="C198" s="59"/>
      <c r="D198" s="71"/>
      <c r="E198" s="60"/>
      <c r="F198" s="59"/>
      <c r="G198" s="72"/>
      <c r="H198" s="59"/>
      <c r="I198" s="22" t="str">
        <f>IF(D198&lt;&gt;"",VLOOKUP(E198,Constants!$D$3:$E$15,2),"")</f>
        <v/>
      </c>
      <c r="J198" s="76"/>
    </row>
    <row r="199" spans="2:10" x14ac:dyDescent="0.25">
      <c r="B199" s="59"/>
      <c r="C199" s="59"/>
      <c r="D199" s="71"/>
      <c r="E199" s="60"/>
      <c r="F199" s="59"/>
      <c r="G199" s="72"/>
      <c r="H199" s="59"/>
      <c r="I199" s="22" t="str">
        <f>IF(D199&lt;&gt;"",VLOOKUP(E199,Constants!$D$3:$E$15,2),"")</f>
        <v/>
      </c>
      <c r="J199" s="76"/>
    </row>
    <row r="200" spans="2:10" x14ac:dyDescent="0.25">
      <c r="B200" s="59"/>
      <c r="C200" s="59"/>
      <c r="D200" s="71"/>
      <c r="E200" s="60"/>
      <c r="F200" s="59"/>
      <c r="G200" s="72"/>
      <c r="H200" s="59"/>
      <c r="I200" s="22" t="str">
        <f>IF(D200&lt;&gt;"",VLOOKUP(E200,Constants!$D$3:$E$15,2),"")</f>
        <v/>
      </c>
      <c r="J200" s="76"/>
    </row>
    <row r="201" spans="2:10" x14ac:dyDescent="0.25">
      <c r="B201" s="59"/>
      <c r="C201" s="59"/>
      <c r="D201" s="71"/>
      <c r="E201" s="60"/>
      <c r="F201" s="59"/>
      <c r="G201" s="72"/>
      <c r="H201" s="59"/>
      <c r="I201" s="22" t="str">
        <f>IF(D201&lt;&gt;"",VLOOKUP(E201,Constants!$D$3:$E$15,2),"")</f>
        <v/>
      </c>
      <c r="J201" s="76"/>
    </row>
    <row r="202" spans="2:10" x14ac:dyDescent="0.25">
      <c r="B202" s="59"/>
      <c r="C202" s="59"/>
      <c r="D202" s="71"/>
      <c r="E202" s="60"/>
      <c r="F202" s="59"/>
      <c r="G202" s="72"/>
      <c r="H202" s="59"/>
      <c r="I202" s="22" t="str">
        <f>IF(D202&lt;&gt;"",VLOOKUP(E202,Constants!$D$3:$E$15,2),"")</f>
        <v/>
      </c>
      <c r="J202" s="76"/>
    </row>
    <row r="203" spans="2:10" x14ac:dyDescent="0.25">
      <c r="B203" s="59"/>
      <c r="C203" s="59"/>
      <c r="D203" s="71"/>
      <c r="E203" s="60"/>
      <c r="F203" s="59"/>
      <c r="G203" s="72"/>
      <c r="H203" s="59"/>
      <c r="I203" s="22" t="str">
        <f>IF(D203&lt;&gt;"",VLOOKUP(E203,Constants!$D$3:$E$15,2),"")</f>
        <v/>
      </c>
      <c r="J203" s="76"/>
    </row>
    <row r="204" spans="2:10" x14ac:dyDescent="0.25">
      <c r="B204" s="59"/>
      <c r="C204" s="59"/>
      <c r="D204" s="71"/>
      <c r="E204" s="60"/>
      <c r="F204" s="59"/>
      <c r="G204" s="72"/>
      <c r="H204" s="59"/>
      <c r="I204" s="22" t="str">
        <f>IF(D204&lt;&gt;"",VLOOKUP(E204,Constants!$D$3:$E$15,2),"")</f>
        <v/>
      </c>
      <c r="J204" s="76"/>
    </row>
    <row r="205" spans="2:10" x14ac:dyDescent="0.25">
      <c r="B205" s="59"/>
      <c r="C205" s="59"/>
      <c r="D205" s="71"/>
      <c r="E205" s="60"/>
      <c r="F205" s="59"/>
      <c r="G205" s="72"/>
      <c r="H205" s="59"/>
      <c r="I205" s="22" t="str">
        <f>IF(D205&lt;&gt;"",VLOOKUP(E205,Constants!$D$3:$E$15,2),"")</f>
        <v/>
      </c>
      <c r="J205" s="76"/>
    </row>
    <row r="206" spans="2:10" x14ac:dyDescent="0.25">
      <c r="B206" s="59"/>
      <c r="C206" s="59"/>
      <c r="D206" s="71"/>
      <c r="E206" s="60"/>
      <c r="F206" s="59"/>
      <c r="G206" s="72"/>
      <c r="H206" s="59"/>
      <c r="I206" s="22" t="str">
        <f>IF(D206&lt;&gt;"",VLOOKUP(E206,Constants!$D$3:$E$15,2),"")</f>
        <v/>
      </c>
      <c r="J206" s="76"/>
    </row>
    <row r="207" spans="2:10" x14ac:dyDescent="0.25">
      <c r="B207" s="59"/>
      <c r="C207" s="59"/>
      <c r="D207" s="71"/>
      <c r="E207" s="60"/>
      <c r="F207" s="59"/>
      <c r="G207" s="72"/>
      <c r="H207" s="59"/>
      <c r="I207" s="22" t="str">
        <f>IF(D207&lt;&gt;"",VLOOKUP(E207,Constants!$D$3:$E$15,2),"")</f>
        <v/>
      </c>
      <c r="J207" s="76"/>
    </row>
    <row r="208" spans="2:10" x14ac:dyDescent="0.25">
      <c r="B208" s="59"/>
      <c r="C208" s="59"/>
      <c r="D208" s="71"/>
      <c r="E208" s="60"/>
      <c r="F208" s="59"/>
      <c r="G208" s="72"/>
      <c r="H208" s="59"/>
      <c r="I208" s="22" t="str">
        <f>IF(D208&lt;&gt;"",VLOOKUP(E208,Constants!$D$3:$E$15,2),"")</f>
        <v/>
      </c>
      <c r="J208" s="76"/>
    </row>
    <row r="209" spans="2:10" x14ac:dyDescent="0.25">
      <c r="B209" s="59"/>
      <c r="C209" s="59"/>
      <c r="D209" s="71"/>
      <c r="E209" s="60"/>
      <c r="F209" s="59"/>
      <c r="G209" s="72"/>
      <c r="H209" s="59"/>
      <c r="I209" s="22" t="str">
        <f>IF(D209&lt;&gt;"",VLOOKUP(E209,Constants!$D$3:$E$15,2),"")</f>
        <v/>
      </c>
      <c r="J209" s="76"/>
    </row>
    <row r="210" spans="2:10" x14ac:dyDescent="0.25">
      <c r="B210" s="59"/>
      <c r="C210" s="59"/>
      <c r="D210" s="71"/>
      <c r="E210" s="60"/>
      <c r="F210" s="59"/>
      <c r="G210" s="72"/>
      <c r="H210" s="59"/>
      <c r="I210" s="22" t="str">
        <f>IF(D210&lt;&gt;"",VLOOKUP(E210,Constants!$D$3:$E$15,2),"")</f>
        <v/>
      </c>
      <c r="J210" s="76"/>
    </row>
    <row r="211" spans="2:10" x14ac:dyDescent="0.25">
      <c r="B211" s="59"/>
      <c r="C211" s="59"/>
      <c r="D211" s="71"/>
      <c r="E211" s="60"/>
      <c r="F211" s="59"/>
      <c r="G211" s="72"/>
      <c r="H211" s="59"/>
      <c r="I211" s="22" t="str">
        <f>IF(D211&lt;&gt;"",VLOOKUP(E211,Constants!$D$3:$E$15,2),"")</f>
        <v/>
      </c>
      <c r="J211" s="76"/>
    </row>
    <row r="212" spans="2:10" x14ac:dyDescent="0.25">
      <c r="B212" s="59"/>
      <c r="C212" s="59"/>
      <c r="D212" s="71"/>
      <c r="E212" s="60"/>
      <c r="F212" s="59"/>
      <c r="G212" s="72"/>
      <c r="H212" s="59"/>
      <c r="I212" s="22" t="str">
        <f>IF(D212&lt;&gt;"",VLOOKUP(E212,Constants!$D$3:$E$15,2),"")</f>
        <v/>
      </c>
      <c r="J212" s="76"/>
    </row>
    <row r="213" spans="2:10" x14ac:dyDescent="0.25">
      <c r="B213" s="59"/>
      <c r="C213" s="59"/>
      <c r="D213" s="71"/>
      <c r="E213" s="60"/>
      <c r="F213" s="59"/>
      <c r="G213" s="72"/>
      <c r="H213" s="59"/>
      <c r="I213" s="22" t="str">
        <f>IF(D213&lt;&gt;"",VLOOKUP(E213,Constants!$D$3:$E$15,2),"")</f>
        <v/>
      </c>
      <c r="J213" s="76"/>
    </row>
    <row r="214" spans="2:10" x14ac:dyDescent="0.25">
      <c r="B214" s="59"/>
      <c r="C214" s="59"/>
      <c r="D214" s="71"/>
      <c r="E214" s="60"/>
      <c r="F214" s="59"/>
      <c r="G214" s="72"/>
      <c r="H214" s="59"/>
      <c r="I214" s="22" t="str">
        <f>IF(D214&lt;&gt;"",VLOOKUP(E214,Constants!$D$3:$E$15,2),"")</f>
        <v/>
      </c>
      <c r="J214" s="76"/>
    </row>
    <row r="215" spans="2:10" x14ac:dyDescent="0.25">
      <c r="B215" s="59"/>
      <c r="C215" s="59"/>
      <c r="D215" s="71"/>
      <c r="E215" s="60"/>
      <c r="F215" s="59"/>
      <c r="G215" s="72"/>
      <c r="H215" s="59"/>
      <c r="I215" s="22" t="str">
        <f>IF(D215&lt;&gt;"",VLOOKUP(E215,Constants!$D$3:$E$15,2),"")</f>
        <v/>
      </c>
      <c r="J215" s="76"/>
    </row>
    <row r="216" spans="2:10" x14ac:dyDescent="0.25">
      <c r="B216" s="59"/>
      <c r="C216" s="59"/>
      <c r="D216" s="71"/>
      <c r="E216" s="60"/>
      <c r="F216" s="59"/>
      <c r="G216" s="72"/>
      <c r="H216" s="59"/>
      <c r="I216" s="22" t="str">
        <f>IF(D216&lt;&gt;"",VLOOKUP(E216,Constants!$D$3:$E$15,2),"")</f>
        <v/>
      </c>
      <c r="J216" s="76"/>
    </row>
    <row r="217" spans="2:10" x14ac:dyDescent="0.25">
      <c r="B217" s="59"/>
      <c r="C217" s="59"/>
      <c r="D217" s="71"/>
      <c r="E217" s="60"/>
      <c r="F217" s="59"/>
      <c r="G217" s="72"/>
      <c r="H217" s="59"/>
      <c r="I217" s="22" t="str">
        <f>IF(D217&lt;&gt;"",VLOOKUP(E217,Constants!$D$3:$E$15,2),"")</f>
        <v/>
      </c>
      <c r="J217" s="76"/>
    </row>
    <row r="218" spans="2:10" x14ac:dyDescent="0.25">
      <c r="B218" s="59"/>
      <c r="C218" s="59"/>
      <c r="D218" s="71"/>
      <c r="E218" s="60"/>
      <c r="F218" s="59"/>
      <c r="G218" s="72"/>
      <c r="H218" s="59"/>
      <c r="I218" s="22" t="str">
        <f>IF(D218&lt;&gt;"",VLOOKUP(E218,Constants!$D$3:$E$15,2),"")</f>
        <v/>
      </c>
      <c r="J218" s="76"/>
    </row>
    <row r="219" spans="2:10" x14ac:dyDescent="0.25">
      <c r="B219" s="59"/>
      <c r="C219" s="59"/>
      <c r="D219" s="71"/>
      <c r="E219" s="60"/>
      <c r="F219" s="59"/>
      <c r="G219" s="72"/>
      <c r="H219" s="59"/>
      <c r="I219" s="22" t="str">
        <f>IF(D219&lt;&gt;"",VLOOKUP(E219,Constants!$D$3:$E$15,2),"")</f>
        <v/>
      </c>
      <c r="J219" s="76"/>
    </row>
    <row r="220" spans="2:10" x14ac:dyDescent="0.25">
      <c r="B220" s="59"/>
      <c r="C220" s="59"/>
      <c r="D220" s="71"/>
      <c r="E220" s="60"/>
      <c r="F220" s="59"/>
      <c r="G220" s="72"/>
      <c r="H220" s="59"/>
      <c r="I220" s="22" t="str">
        <f>IF(D220&lt;&gt;"",VLOOKUP(E220,Constants!$D$3:$E$15,2),"")</f>
        <v/>
      </c>
      <c r="J220" s="76"/>
    </row>
    <row r="221" spans="2:10" x14ac:dyDescent="0.25">
      <c r="B221" s="59"/>
      <c r="C221" s="59"/>
      <c r="D221" s="71"/>
      <c r="E221" s="60"/>
      <c r="F221" s="59"/>
      <c r="G221" s="72"/>
      <c r="H221" s="59"/>
      <c r="I221" s="22" t="str">
        <f>IF(D221&lt;&gt;"",VLOOKUP(E221,Constants!$D$3:$E$15,2),"")</f>
        <v/>
      </c>
      <c r="J221" s="76"/>
    </row>
    <row r="222" spans="2:10" x14ac:dyDescent="0.25">
      <c r="B222" s="59"/>
      <c r="C222" s="59"/>
      <c r="D222" s="71"/>
      <c r="E222" s="60"/>
      <c r="F222" s="59"/>
      <c r="G222" s="72"/>
      <c r="H222" s="59"/>
      <c r="I222" s="22" t="str">
        <f>IF(D222&lt;&gt;"",VLOOKUP(E222,Constants!$D$3:$E$15,2),"")</f>
        <v/>
      </c>
      <c r="J222" s="76"/>
    </row>
    <row r="223" spans="2:10" x14ac:dyDescent="0.25">
      <c r="B223" s="59"/>
      <c r="C223" s="59"/>
      <c r="D223" s="71"/>
      <c r="E223" s="60"/>
      <c r="F223" s="59"/>
      <c r="G223" s="72"/>
      <c r="H223" s="59"/>
      <c r="I223" s="22" t="str">
        <f>IF(D223&lt;&gt;"",VLOOKUP(E223,Constants!$D$3:$E$15,2),"")</f>
        <v/>
      </c>
      <c r="J223" s="76"/>
    </row>
    <row r="224" spans="2:10" x14ac:dyDescent="0.25">
      <c r="B224" s="59"/>
      <c r="C224" s="59"/>
      <c r="D224" s="71"/>
      <c r="E224" s="60"/>
      <c r="F224" s="59"/>
      <c r="G224" s="72"/>
      <c r="H224" s="59"/>
      <c r="I224" s="22" t="str">
        <f>IF(D224&lt;&gt;"",VLOOKUP(E224,Constants!$D$3:$E$15,2),"")</f>
        <v/>
      </c>
      <c r="J224" s="76"/>
    </row>
    <row r="225" spans="2:10" x14ac:dyDescent="0.25">
      <c r="B225" s="59"/>
      <c r="C225" s="59"/>
      <c r="D225" s="71"/>
      <c r="E225" s="60"/>
      <c r="F225" s="59"/>
      <c r="G225" s="72"/>
      <c r="H225" s="59"/>
      <c r="I225" s="22" t="str">
        <f>IF(D225&lt;&gt;"",VLOOKUP(E225,Constants!$D$3:$E$15,2),"")</f>
        <v/>
      </c>
      <c r="J225" s="76"/>
    </row>
    <row r="226" spans="2:10" x14ac:dyDescent="0.25">
      <c r="B226" s="59"/>
      <c r="C226" s="59"/>
      <c r="D226" s="71"/>
      <c r="E226" s="60"/>
      <c r="F226" s="59"/>
      <c r="G226" s="72"/>
      <c r="H226" s="59"/>
      <c r="I226" s="22" t="str">
        <f>IF(D226&lt;&gt;"",VLOOKUP(E226,Constants!$D$3:$E$15,2),"")</f>
        <v/>
      </c>
      <c r="J226" s="76"/>
    </row>
    <row r="227" spans="2:10" x14ac:dyDescent="0.25">
      <c r="B227" s="59"/>
      <c r="C227" s="59"/>
      <c r="D227" s="71"/>
      <c r="E227" s="60"/>
      <c r="F227" s="59"/>
      <c r="G227" s="72"/>
      <c r="H227" s="59"/>
      <c r="I227" s="22" t="str">
        <f>IF(D227&lt;&gt;"",VLOOKUP(E227,Constants!$D$3:$E$15,2),"")</f>
        <v/>
      </c>
      <c r="J227" s="76"/>
    </row>
    <row r="228" spans="2:10" x14ac:dyDescent="0.25">
      <c r="B228" s="59"/>
      <c r="C228" s="59"/>
      <c r="D228" s="71"/>
      <c r="E228" s="60"/>
      <c r="F228" s="59"/>
      <c r="G228" s="72"/>
      <c r="H228" s="59"/>
      <c r="I228" s="22" t="str">
        <f>IF(D228&lt;&gt;"",VLOOKUP(E228,Constants!$D$3:$E$15,2),"")</f>
        <v/>
      </c>
      <c r="J228" s="76"/>
    </row>
    <row r="229" spans="2:10" x14ac:dyDescent="0.25">
      <c r="B229" s="59"/>
      <c r="C229" s="59"/>
      <c r="D229" s="71"/>
      <c r="E229" s="60"/>
      <c r="F229" s="59"/>
      <c r="G229" s="72"/>
      <c r="H229" s="59"/>
      <c r="I229" s="22" t="str">
        <f>IF(D229&lt;&gt;"",VLOOKUP(E229,Constants!$D$3:$E$15,2),"")</f>
        <v/>
      </c>
      <c r="J229" s="76"/>
    </row>
    <row r="230" spans="2:10" x14ac:dyDescent="0.25">
      <c r="B230" s="59"/>
      <c r="C230" s="59"/>
      <c r="D230" s="71"/>
      <c r="E230" s="60"/>
      <c r="F230" s="59"/>
      <c r="G230" s="72"/>
      <c r="H230" s="59"/>
      <c r="I230" s="22" t="str">
        <f>IF(D230&lt;&gt;"",VLOOKUP(E230,Constants!$D$3:$E$15,2),"")</f>
        <v/>
      </c>
      <c r="J230" s="76"/>
    </row>
    <row r="231" spans="2:10" x14ac:dyDescent="0.25">
      <c r="B231" s="59"/>
      <c r="C231" s="59"/>
      <c r="D231" s="71"/>
      <c r="E231" s="60"/>
      <c r="F231" s="59"/>
      <c r="G231" s="72"/>
      <c r="H231" s="59"/>
      <c r="I231" s="22" t="str">
        <f>IF(D231&lt;&gt;"",VLOOKUP(E231,Constants!$D$3:$E$15,2),"")</f>
        <v/>
      </c>
      <c r="J231" s="76"/>
    </row>
    <row r="232" spans="2:10" x14ac:dyDescent="0.25">
      <c r="B232" s="59"/>
      <c r="C232" s="59"/>
      <c r="D232" s="71"/>
      <c r="E232" s="60"/>
      <c r="F232" s="59"/>
      <c r="G232" s="72"/>
      <c r="H232" s="59"/>
      <c r="I232" s="22" t="str">
        <f>IF(D232&lt;&gt;"",VLOOKUP(E232,Constants!$D$3:$E$15,2),"")</f>
        <v/>
      </c>
      <c r="J232" s="76"/>
    </row>
    <row r="233" spans="2:10" x14ac:dyDescent="0.25">
      <c r="B233" s="59"/>
      <c r="C233" s="59"/>
      <c r="D233" s="71"/>
      <c r="E233" s="60"/>
      <c r="F233" s="59"/>
      <c r="G233" s="72"/>
      <c r="H233" s="59"/>
      <c r="I233" s="22" t="str">
        <f>IF(D233&lt;&gt;"",VLOOKUP(E233,Constants!$D$3:$E$15,2),"")</f>
        <v/>
      </c>
      <c r="J233" s="76"/>
    </row>
    <row r="234" spans="2:10" x14ac:dyDescent="0.25">
      <c r="B234" s="59"/>
      <c r="C234" s="59"/>
      <c r="D234" s="71"/>
      <c r="E234" s="60"/>
      <c r="F234" s="59"/>
      <c r="G234" s="72"/>
      <c r="H234" s="59"/>
      <c r="I234" s="22" t="str">
        <f>IF(D234&lt;&gt;"",VLOOKUP(E234,Constants!$D$3:$E$15,2),"")</f>
        <v/>
      </c>
      <c r="J234" s="76"/>
    </row>
    <row r="235" spans="2:10" x14ac:dyDescent="0.25">
      <c r="B235" s="59"/>
      <c r="C235" s="59"/>
      <c r="D235" s="71"/>
      <c r="E235" s="60"/>
      <c r="F235" s="59"/>
      <c r="G235" s="72"/>
      <c r="H235" s="59"/>
      <c r="I235" s="22" t="str">
        <f>IF(D235&lt;&gt;"",VLOOKUP(E235,Constants!$D$3:$E$15,2),"")</f>
        <v/>
      </c>
      <c r="J235" s="76"/>
    </row>
    <row r="236" spans="2:10" x14ac:dyDescent="0.25">
      <c r="B236" s="59"/>
      <c r="C236" s="59"/>
      <c r="D236" s="71"/>
      <c r="E236" s="60"/>
      <c r="F236" s="59"/>
      <c r="G236" s="72"/>
      <c r="H236" s="59"/>
      <c r="I236" s="22" t="str">
        <f>IF(D236&lt;&gt;"",VLOOKUP(E236,Constants!$D$3:$E$15,2),"")</f>
        <v/>
      </c>
      <c r="J236" s="76"/>
    </row>
    <row r="237" spans="2:10" x14ac:dyDescent="0.25">
      <c r="B237" s="59"/>
      <c r="C237" s="59"/>
      <c r="D237" s="71"/>
      <c r="E237" s="60"/>
      <c r="F237" s="59"/>
      <c r="G237" s="72"/>
      <c r="H237" s="59"/>
      <c r="I237" s="22" t="str">
        <f>IF(D237&lt;&gt;"",VLOOKUP(E237,Constants!$D$3:$E$15,2),"")</f>
        <v/>
      </c>
      <c r="J237" s="76"/>
    </row>
    <row r="238" spans="2:10" x14ac:dyDescent="0.25">
      <c r="B238" s="59"/>
      <c r="C238" s="59"/>
      <c r="D238" s="71"/>
      <c r="E238" s="60"/>
      <c r="F238" s="59"/>
      <c r="G238" s="72"/>
      <c r="H238" s="59"/>
      <c r="I238" s="22" t="str">
        <f>IF(D238&lt;&gt;"",VLOOKUP(E238,Constants!$D$3:$E$15,2),"")</f>
        <v/>
      </c>
      <c r="J238" s="76"/>
    </row>
    <row r="239" spans="2:10" x14ac:dyDescent="0.25">
      <c r="B239" s="59"/>
      <c r="C239" s="59"/>
      <c r="D239" s="71"/>
      <c r="E239" s="60"/>
      <c r="F239" s="59"/>
      <c r="G239" s="72"/>
      <c r="H239" s="59"/>
      <c r="I239" s="22" t="str">
        <f>IF(D239&lt;&gt;"",VLOOKUP(E239,Constants!$D$3:$E$15,2),"")</f>
        <v/>
      </c>
      <c r="J239" s="76"/>
    </row>
    <row r="240" spans="2:10" x14ac:dyDescent="0.25">
      <c r="B240" s="59"/>
      <c r="C240" s="59"/>
      <c r="D240" s="71"/>
      <c r="E240" s="60"/>
      <c r="F240" s="59"/>
      <c r="G240" s="72"/>
      <c r="H240" s="59"/>
      <c r="I240" s="22" t="str">
        <f>IF(D240&lt;&gt;"",VLOOKUP(E240,Constants!$D$3:$E$15,2),"")</f>
        <v/>
      </c>
      <c r="J240" s="76"/>
    </row>
    <row r="241" spans="2:10" x14ac:dyDescent="0.25">
      <c r="B241" s="59"/>
      <c r="C241" s="59"/>
      <c r="D241" s="71"/>
      <c r="E241" s="60"/>
      <c r="F241" s="59"/>
      <c r="G241" s="72"/>
      <c r="H241" s="59"/>
      <c r="I241" s="22" t="str">
        <f>IF(D241&lt;&gt;"",VLOOKUP(E241,Constants!$D$3:$E$15,2),"")</f>
        <v/>
      </c>
      <c r="J241" s="76"/>
    </row>
    <row r="242" spans="2:10" x14ac:dyDescent="0.25">
      <c r="B242" s="59"/>
      <c r="C242" s="59"/>
      <c r="D242" s="71"/>
      <c r="E242" s="60"/>
      <c r="F242" s="59"/>
      <c r="G242" s="72"/>
      <c r="H242" s="59"/>
      <c r="I242" s="22" t="str">
        <f>IF(D242&lt;&gt;"",VLOOKUP(E242,Constants!$D$3:$E$15,2),"")</f>
        <v/>
      </c>
      <c r="J242" s="76"/>
    </row>
    <row r="243" spans="2:10" x14ac:dyDescent="0.25">
      <c r="B243" s="59"/>
      <c r="C243" s="59"/>
      <c r="D243" s="71"/>
      <c r="E243" s="60"/>
      <c r="F243" s="59"/>
      <c r="G243" s="72"/>
      <c r="H243" s="59"/>
      <c r="I243" s="22" t="str">
        <f>IF(D243&lt;&gt;"",VLOOKUP(E243,Constants!$D$3:$E$15,2),"")</f>
        <v/>
      </c>
      <c r="J243" s="76"/>
    </row>
    <row r="244" spans="2:10" x14ac:dyDescent="0.25">
      <c r="B244" s="59"/>
      <c r="C244" s="59"/>
      <c r="D244" s="71"/>
      <c r="E244" s="60"/>
      <c r="F244" s="59"/>
      <c r="G244" s="72"/>
      <c r="H244" s="59"/>
      <c r="I244" s="22" t="str">
        <f>IF(D244&lt;&gt;"",VLOOKUP(E244,Constants!$D$3:$E$15,2),"")</f>
        <v/>
      </c>
      <c r="J244" s="76"/>
    </row>
    <row r="245" spans="2:10" x14ac:dyDescent="0.25">
      <c r="B245" s="59"/>
      <c r="C245" s="59"/>
      <c r="D245" s="71"/>
      <c r="E245" s="60"/>
      <c r="F245" s="59"/>
      <c r="G245" s="72"/>
      <c r="H245" s="59"/>
      <c r="I245" s="22" t="str">
        <f>IF(D245&lt;&gt;"",VLOOKUP(E245,Constants!$D$3:$E$15,2),"")</f>
        <v/>
      </c>
      <c r="J245" s="76"/>
    </row>
    <row r="246" spans="2:10" x14ac:dyDescent="0.25">
      <c r="B246" s="59"/>
      <c r="C246" s="59"/>
      <c r="D246" s="71"/>
      <c r="E246" s="60"/>
      <c r="F246" s="59"/>
      <c r="G246" s="72"/>
      <c r="H246" s="59"/>
      <c r="I246" s="22" t="str">
        <f>IF(D246&lt;&gt;"",VLOOKUP(E246,Constants!$D$3:$E$15,2),"")</f>
        <v/>
      </c>
      <c r="J246" s="76"/>
    </row>
    <row r="247" spans="2:10" x14ac:dyDescent="0.25">
      <c r="B247" s="59"/>
      <c r="C247" s="59"/>
      <c r="D247" s="71"/>
      <c r="E247" s="60"/>
      <c r="F247" s="59"/>
      <c r="G247" s="72"/>
      <c r="H247" s="59"/>
      <c r="I247" s="22" t="str">
        <f>IF(D247&lt;&gt;"",VLOOKUP(E247,Constants!$D$3:$E$15,2),"")</f>
        <v/>
      </c>
      <c r="J247" s="76"/>
    </row>
    <row r="248" spans="2:10" x14ac:dyDescent="0.25">
      <c r="B248" s="59"/>
      <c r="C248" s="59"/>
      <c r="D248" s="71"/>
      <c r="E248" s="60"/>
      <c r="F248" s="59"/>
      <c r="G248" s="72"/>
      <c r="H248" s="59"/>
      <c r="I248" s="22" t="str">
        <f>IF(D248&lt;&gt;"",VLOOKUP(E248,Constants!$D$3:$E$15,2),"")</f>
        <v/>
      </c>
      <c r="J248" s="76"/>
    </row>
    <row r="249" spans="2:10" x14ac:dyDescent="0.25">
      <c r="B249" s="59"/>
      <c r="C249" s="59"/>
      <c r="D249" s="71"/>
      <c r="E249" s="60"/>
      <c r="F249" s="59"/>
      <c r="G249" s="72"/>
      <c r="H249" s="59"/>
      <c r="I249" s="22" t="str">
        <f>IF(D249&lt;&gt;"",VLOOKUP(E249,Constants!$D$3:$E$15,2),"")</f>
        <v/>
      </c>
      <c r="J249" s="76"/>
    </row>
    <row r="250" spans="2:10" x14ac:dyDescent="0.25">
      <c r="B250" s="59"/>
      <c r="C250" s="59"/>
      <c r="D250" s="71"/>
      <c r="E250" s="60"/>
      <c r="F250" s="59"/>
      <c r="G250" s="72"/>
      <c r="H250" s="59"/>
      <c r="I250" s="22" t="str">
        <f>IF(D250&lt;&gt;"",VLOOKUP(E250,Constants!$D$3:$E$15,2),"")</f>
        <v/>
      </c>
      <c r="J250" s="76"/>
    </row>
    <row r="251" spans="2:10" x14ac:dyDescent="0.25">
      <c r="B251" s="59"/>
      <c r="C251" s="59"/>
      <c r="D251" s="71"/>
      <c r="E251" s="60"/>
      <c r="F251" s="59"/>
      <c r="G251" s="72"/>
      <c r="H251" s="59"/>
      <c r="I251" s="22" t="str">
        <f>IF(D251&lt;&gt;"",VLOOKUP(E251,Constants!$D$3:$E$15,2),"")</f>
        <v/>
      </c>
      <c r="J251" s="76"/>
    </row>
    <row r="252" spans="2:10" x14ac:dyDescent="0.25">
      <c r="B252" s="59"/>
      <c r="C252" s="59"/>
      <c r="D252" s="71"/>
      <c r="E252" s="60"/>
      <c r="F252" s="59"/>
      <c r="G252" s="72"/>
      <c r="H252" s="59"/>
      <c r="I252" s="22" t="str">
        <f>IF(D252&lt;&gt;"",VLOOKUP(E252,Constants!$D$3:$E$15,2),"")</f>
        <v/>
      </c>
      <c r="J252" s="76"/>
    </row>
    <row r="253" spans="2:10" x14ac:dyDescent="0.25">
      <c r="B253" s="59"/>
      <c r="C253" s="59"/>
      <c r="D253" s="71"/>
      <c r="E253" s="60"/>
      <c r="F253" s="59"/>
      <c r="G253" s="72"/>
      <c r="H253" s="59"/>
      <c r="I253" s="22" t="str">
        <f>IF(D253&lt;&gt;"",VLOOKUP(E253,Constants!$D$3:$E$15,2),"")</f>
        <v/>
      </c>
      <c r="J253" s="76"/>
    </row>
    <row r="254" spans="2:10" x14ac:dyDescent="0.25">
      <c r="B254" s="59"/>
      <c r="C254" s="59"/>
      <c r="D254" s="71"/>
      <c r="E254" s="60"/>
      <c r="F254" s="59"/>
      <c r="G254" s="72"/>
      <c r="H254" s="59"/>
      <c r="I254" s="22" t="str">
        <f>IF(D254&lt;&gt;"",VLOOKUP(E254,Constants!$D$3:$E$15,2),"")</f>
        <v/>
      </c>
      <c r="J254" s="76"/>
    </row>
    <row r="255" spans="2:10" x14ac:dyDescent="0.25">
      <c r="B255" s="59"/>
      <c r="C255" s="59"/>
      <c r="D255" s="71"/>
      <c r="E255" s="60"/>
      <c r="F255" s="59"/>
      <c r="G255" s="72"/>
      <c r="H255" s="59"/>
      <c r="I255" s="22" t="str">
        <f>IF(D255&lt;&gt;"",VLOOKUP(E255,Constants!$D$3:$E$15,2),"")</f>
        <v/>
      </c>
      <c r="J255" s="76"/>
    </row>
    <row r="256" spans="2:10" x14ac:dyDescent="0.25">
      <c r="B256" s="59"/>
      <c r="C256" s="59"/>
      <c r="D256" s="71"/>
      <c r="E256" s="60"/>
      <c r="F256" s="59"/>
      <c r="G256" s="72"/>
      <c r="H256" s="59"/>
      <c r="I256" s="22" t="str">
        <f>IF(D256&lt;&gt;"",VLOOKUP(E256,Constants!$D$3:$E$15,2),"")</f>
        <v/>
      </c>
      <c r="J256" s="76"/>
    </row>
    <row r="257" spans="2:10" x14ac:dyDescent="0.25">
      <c r="B257" s="59"/>
      <c r="C257" s="59"/>
      <c r="D257" s="71"/>
      <c r="E257" s="60"/>
      <c r="F257" s="59"/>
      <c r="G257" s="72"/>
      <c r="H257" s="59"/>
      <c r="I257" s="22" t="str">
        <f>IF(D257&lt;&gt;"",VLOOKUP(E257,Constants!$D$3:$E$15,2),"")</f>
        <v/>
      </c>
      <c r="J257" s="76"/>
    </row>
    <row r="258" spans="2:10" x14ac:dyDescent="0.25">
      <c r="B258" s="59"/>
      <c r="C258" s="59"/>
      <c r="D258" s="71"/>
      <c r="E258" s="60"/>
      <c r="F258" s="59"/>
      <c r="G258" s="72"/>
      <c r="H258" s="59"/>
      <c r="I258" s="22" t="str">
        <f>IF(D258&lt;&gt;"",VLOOKUP(E258,Constants!$D$3:$E$15,2),"")</f>
        <v/>
      </c>
      <c r="J258" s="76"/>
    </row>
    <row r="259" spans="2:10" x14ac:dyDescent="0.25">
      <c r="B259" s="59"/>
      <c r="C259" s="59"/>
      <c r="D259" s="71"/>
      <c r="E259" s="60"/>
      <c r="F259" s="59"/>
      <c r="G259" s="72"/>
      <c r="H259" s="59"/>
      <c r="I259" s="22" t="str">
        <f>IF(D259&lt;&gt;"",VLOOKUP(E259,Constants!$D$3:$E$15,2),"")</f>
        <v/>
      </c>
      <c r="J259" s="76"/>
    </row>
    <row r="260" spans="2:10" x14ac:dyDescent="0.25">
      <c r="B260" s="59"/>
      <c r="C260" s="59"/>
      <c r="D260" s="71"/>
      <c r="E260" s="60"/>
      <c r="F260" s="59"/>
      <c r="G260" s="72"/>
      <c r="H260" s="59"/>
      <c r="I260" s="22" t="str">
        <f>IF(D260&lt;&gt;"",VLOOKUP(E260,Constants!$D$3:$E$15,2),"")</f>
        <v/>
      </c>
      <c r="J260" s="76"/>
    </row>
    <row r="261" spans="2:10" x14ac:dyDescent="0.25">
      <c r="B261" s="59"/>
      <c r="C261" s="59"/>
      <c r="D261" s="71"/>
      <c r="E261" s="60"/>
      <c r="F261" s="59"/>
      <c r="G261" s="72"/>
      <c r="H261" s="59"/>
      <c r="I261" s="22" t="str">
        <f>IF(D261&lt;&gt;"",VLOOKUP(E261,Constants!$D$3:$E$15,2),"")</f>
        <v/>
      </c>
      <c r="J261" s="76"/>
    </row>
    <row r="262" spans="2:10" x14ac:dyDescent="0.25">
      <c r="B262" s="59"/>
      <c r="C262" s="59"/>
      <c r="D262" s="71"/>
      <c r="E262" s="60"/>
      <c r="F262" s="59"/>
      <c r="G262" s="72"/>
      <c r="H262" s="59"/>
      <c r="I262" s="22" t="str">
        <f>IF(D262&lt;&gt;"",VLOOKUP(E262,Constants!$D$3:$E$15,2),"")</f>
        <v/>
      </c>
      <c r="J262" s="76"/>
    </row>
    <row r="263" spans="2:10" x14ac:dyDescent="0.25">
      <c r="B263" s="59"/>
      <c r="C263" s="59"/>
      <c r="D263" s="71"/>
      <c r="E263" s="60"/>
      <c r="F263" s="59"/>
      <c r="G263" s="72"/>
      <c r="H263" s="59"/>
      <c r="I263" s="22" t="str">
        <f>IF(D263&lt;&gt;"",VLOOKUP(E263,Constants!$D$3:$E$15,2),"")</f>
        <v/>
      </c>
      <c r="J263" s="76"/>
    </row>
    <row r="264" spans="2:10" x14ac:dyDescent="0.25">
      <c r="B264" s="59"/>
      <c r="C264" s="59"/>
      <c r="D264" s="71"/>
      <c r="E264" s="60"/>
      <c r="F264" s="59"/>
      <c r="G264" s="72"/>
      <c r="H264" s="59"/>
      <c r="I264" s="22" t="str">
        <f>IF(D264&lt;&gt;"",VLOOKUP(E264,Constants!$D$3:$E$15,2),"")</f>
        <v/>
      </c>
      <c r="J264" s="76"/>
    </row>
    <row r="265" spans="2:10" x14ac:dyDescent="0.25">
      <c r="B265" s="59"/>
      <c r="C265" s="59"/>
      <c r="D265" s="71"/>
      <c r="E265" s="60"/>
      <c r="F265" s="59"/>
      <c r="G265" s="72"/>
      <c r="H265" s="59"/>
      <c r="I265" s="22" t="str">
        <f>IF(D265&lt;&gt;"",VLOOKUP(E265,Constants!$D$3:$E$15,2),"")</f>
        <v/>
      </c>
      <c r="J265" s="76"/>
    </row>
    <row r="266" spans="2:10" x14ac:dyDescent="0.25">
      <c r="B266" s="59"/>
      <c r="C266" s="59"/>
      <c r="D266" s="71"/>
      <c r="E266" s="60"/>
      <c r="F266" s="59"/>
      <c r="G266" s="72"/>
      <c r="H266" s="59"/>
      <c r="I266" s="22" t="str">
        <f>IF(D266&lt;&gt;"",VLOOKUP(E266,Constants!$D$3:$E$15,2),"")</f>
        <v/>
      </c>
      <c r="J266" s="76"/>
    </row>
    <row r="267" spans="2:10" x14ac:dyDescent="0.25">
      <c r="B267" s="59"/>
      <c r="C267" s="59"/>
      <c r="D267" s="71"/>
      <c r="E267" s="60"/>
      <c r="F267" s="59"/>
      <c r="G267" s="72"/>
      <c r="H267" s="59"/>
      <c r="I267" s="22" t="str">
        <f>IF(D267&lt;&gt;"",VLOOKUP(E267,Constants!$D$3:$E$15,2),"")</f>
        <v/>
      </c>
      <c r="J267" s="76"/>
    </row>
    <row r="268" spans="2:10" x14ac:dyDescent="0.25">
      <c r="B268" s="59"/>
      <c r="C268" s="59"/>
      <c r="D268" s="71"/>
      <c r="E268" s="60"/>
      <c r="F268" s="59"/>
      <c r="G268" s="72"/>
      <c r="H268" s="59"/>
      <c r="I268" s="22" t="str">
        <f>IF(D268&lt;&gt;"",VLOOKUP(E268,Constants!$D$3:$E$15,2),"")</f>
        <v/>
      </c>
      <c r="J268" s="76"/>
    </row>
    <row r="269" spans="2:10" x14ac:dyDescent="0.25">
      <c r="B269" s="59"/>
      <c r="C269" s="59"/>
      <c r="D269" s="71"/>
      <c r="E269" s="60"/>
      <c r="F269" s="59"/>
      <c r="G269" s="72"/>
      <c r="H269" s="59"/>
      <c r="I269" s="22" t="str">
        <f>IF(D269&lt;&gt;"",VLOOKUP(E269,Constants!$D$3:$E$15,2),"")</f>
        <v/>
      </c>
      <c r="J269" s="76"/>
    </row>
    <row r="270" spans="2:10" x14ac:dyDescent="0.25">
      <c r="B270" s="59"/>
      <c r="C270" s="59"/>
      <c r="D270" s="71"/>
      <c r="E270" s="60"/>
      <c r="F270" s="59"/>
      <c r="G270" s="72"/>
      <c r="H270" s="59"/>
      <c r="I270" s="22" t="str">
        <f>IF(D270&lt;&gt;"",VLOOKUP(E270,Constants!$D$3:$E$15,2),"")</f>
        <v/>
      </c>
      <c r="J270" s="76"/>
    </row>
    <row r="271" spans="2:10" x14ac:dyDescent="0.25">
      <c r="B271" s="59"/>
      <c r="C271" s="59"/>
      <c r="D271" s="71"/>
      <c r="E271" s="60"/>
      <c r="F271" s="59"/>
      <c r="G271" s="72"/>
      <c r="H271" s="59"/>
      <c r="I271" s="22" t="str">
        <f>IF(D271&lt;&gt;"",VLOOKUP(E271,Constants!$D$3:$E$15,2),"")</f>
        <v/>
      </c>
      <c r="J271" s="76"/>
    </row>
    <row r="272" spans="2:10" x14ac:dyDescent="0.25">
      <c r="B272" s="59"/>
      <c r="C272" s="59"/>
      <c r="D272" s="71"/>
      <c r="E272" s="60"/>
      <c r="F272" s="59"/>
      <c r="G272" s="72"/>
      <c r="H272" s="59"/>
      <c r="I272" s="22" t="str">
        <f>IF(D272&lt;&gt;"",VLOOKUP(E272,Constants!$D$3:$E$15,2),"")</f>
        <v/>
      </c>
      <c r="J272" s="76"/>
    </row>
    <row r="273" spans="2:10" x14ac:dyDescent="0.25">
      <c r="B273" s="59"/>
      <c r="C273" s="59"/>
      <c r="D273" s="71"/>
      <c r="E273" s="60"/>
      <c r="F273" s="59"/>
      <c r="G273" s="72"/>
      <c r="H273" s="59"/>
      <c r="I273" s="22" t="str">
        <f>IF(D273&lt;&gt;"",VLOOKUP(E273,Constants!$D$3:$E$15,2),"")</f>
        <v/>
      </c>
      <c r="J273" s="76"/>
    </row>
    <row r="274" spans="2:10" x14ac:dyDescent="0.25">
      <c r="B274" s="59"/>
      <c r="C274" s="59"/>
      <c r="D274" s="71"/>
      <c r="E274" s="60"/>
      <c r="F274" s="59"/>
      <c r="G274" s="72"/>
      <c r="H274" s="59"/>
      <c r="I274" s="22" t="str">
        <f>IF(D274&lt;&gt;"",VLOOKUP(E274,Constants!$D$3:$E$15,2),"")</f>
        <v/>
      </c>
      <c r="J274" s="76"/>
    </row>
    <row r="275" spans="2:10" x14ac:dyDescent="0.25">
      <c r="B275" s="59"/>
      <c r="C275" s="59"/>
      <c r="D275" s="71"/>
      <c r="E275" s="60"/>
      <c r="F275" s="59"/>
      <c r="G275" s="72"/>
      <c r="H275" s="59"/>
      <c r="I275" s="22" t="str">
        <f>IF(D275&lt;&gt;"",VLOOKUP(E275,Constants!$D$3:$E$15,2),"")</f>
        <v/>
      </c>
      <c r="J275" s="76"/>
    </row>
    <row r="276" spans="2:10" x14ac:dyDescent="0.25">
      <c r="B276" s="59"/>
      <c r="C276" s="59"/>
      <c r="D276" s="71"/>
      <c r="E276" s="60"/>
      <c r="F276" s="59"/>
      <c r="G276" s="72"/>
      <c r="H276" s="59"/>
      <c r="I276" s="22" t="str">
        <f>IF(D276&lt;&gt;"",VLOOKUP(E276,Constants!$D$3:$E$15,2),"")</f>
        <v/>
      </c>
      <c r="J276" s="76"/>
    </row>
    <row r="277" spans="2:10" x14ac:dyDescent="0.25">
      <c r="B277" s="59"/>
      <c r="C277" s="59"/>
      <c r="D277" s="71"/>
      <c r="E277" s="60"/>
      <c r="F277" s="59"/>
      <c r="G277" s="72"/>
      <c r="H277" s="59"/>
      <c r="I277" s="22" t="str">
        <f>IF(D277&lt;&gt;"",VLOOKUP(E277,Constants!$D$3:$E$15,2),"")</f>
        <v/>
      </c>
      <c r="J277" s="76"/>
    </row>
    <row r="278" spans="2:10" x14ac:dyDescent="0.25">
      <c r="B278" s="59"/>
      <c r="C278" s="59"/>
      <c r="D278" s="71"/>
      <c r="E278" s="60"/>
      <c r="F278" s="59"/>
      <c r="G278" s="72"/>
      <c r="H278" s="59"/>
      <c r="I278" s="22" t="str">
        <f>IF(D278&lt;&gt;"",VLOOKUP(E278,Constants!$D$3:$E$15,2),"")</f>
        <v/>
      </c>
      <c r="J278" s="76"/>
    </row>
    <row r="279" spans="2:10" x14ac:dyDescent="0.25">
      <c r="B279" s="59"/>
      <c r="C279" s="59"/>
      <c r="D279" s="71"/>
      <c r="E279" s="60"/>
      <c r="F279" s="59"/>
      <c r="G279" s="72"/>
      <c r="H279" s="59"/>
      <c r="I279" s="22" t="str">
        <f>IF(D279&lt;&gt;"",VLOOKUP(E279,Constants!$D$3:$E$15,2),"")</f>
        <v/>
      </c>
      <c r="J279" s="76"/>
    </row>
    <row r="280" spans="2:10" x14ac:dyDescent="0.25">
      <c r="B280" s="59"/>
      <c r="C280" s="59"/>
      <c r="D280" s="71"/>
      <c r="E280" s="60"/>
      <c r="F280" s="59"/>
      <c r="G280" s="72"/>
      <c r="H280" s="59"/>
      <c r="I280" s="22" t="str">
        <f>IF(D280&lt;&gt;"",VLOOKUP(E280,Constants!$D$3:$E$10,2),"")</f>
        <v/>
      </c>
      <c r="J280" s="76"/>
    </row>
    <row r="281" spans="2:10" x14ac:dyDescent="0.25">
      <c r="B281" s="59"/>
      <c r="C281" s="59"/>
      <c r="D281" s="71"/>
      <c r="E281" s="60"/>
      <c r="F281" s="59"/>
      <c r="G281" s="72"/>
      <c r="H281" s="59"/>
      <c r="I281" s="22" t="str">
        <f>IF(D281&lt;&gt;"",VLOOKUP(E281,Constants!$D$3:$E$10,2),"")</f>
        <v/>
      </c>
      <c r="J281" s="76"/>
    </row>
    <row r="282" spans="2:10" x14ac:dyDescent="0.25">
      <c r="B282" s="59"/>
      <c r="C282" s="59"/>
      <c r="D282" s="71"/>
      <c r="E282" s="60"/>
      <c r="F282" s="59"/>
      <c r="G282" s="72"/>
      <c r="H282" s="59"/>
      <c r="I282" s="22" t="str">
        <f>IF(D282&lt;&gt;"",VLOOKUP(E282,Constants!$D$3:$E$10,2),"")</f>
        <v/>
      </c>
      <c r="J282" s="76"/>
    </row>
    <row r="283" spans="2:10" x14ac:dyDescent="0.25">
      <c r="B283" s="59"/>
      <c r="C283" s="59"/>
      <c r="D283" s="71"/>
      <c r="E283" s="60"/>
      <c r="F283" s="59"/>
      <c r="G283" s="72"/>
      <c r="H283" s="59"/>
      <c r="I283" s="22" t="str">
        <f>IF(D283&lt;&gt;"",VLOOKUP(E283,Constants!$D$3:$E$10,2),"")</f>
        <v/>
      </c>
      <c r="J283" s="76"/>
    </row>
    <row r="284" spans="2:10" x14ac:dyDescent="0.25">
      <c r="B284" s="59"/>
      <c r="C284" s="59"/>
      <c r="D284" s="71"/>
      <c r="E284" s="60"/>
      <c r="F284" s="59"/>
      <c r="G284" s="72"/>
      <c r="H284" s="59"/>
      <c r="I284" s="22" t="str">
        <f>IF(D284&lt;&gt;"",VLOOKUP(E284,Constants!$D$3:$E$10,2),"")</f>
        <v/>
      </c>
      <c r="J284" s="76"/>
    </row>
    <row r="285" spans="2:10" x14ac:dyDescent="0.25">
      <c r="B285" s="59"/>
      <c r="C285" s="59"/>
      <c r="D285" s="71"/>
      <c r="E285" s="60"/>
      <c r="F285" s="59"/>
      <c r="G285" s="72"/>
      <c r="H285" s="59"/>
      <c r="I285" s="22" t="str">
        <f>IF(D285&lt;&gt;"",VLOOKUP(E285,Constants!$D$3:$E$10,2),"")</f>
        <v/>
      </c>
      <c r="J285" s="76"/>
    </row>
    <row r="286" spans="2:10" x14ac:dyDescent="0.25">
      <c r="B286" s="59"/>
      <c r="C286" s="59"/>
      <c r="D286" s="71"/>
      <c r="E286" s="60"/>
      <c r="F286" s="59"/>
      <c r="G286" s="72"/>
      <c r="H286" s="59"/>
      <c r="I286" s="22" t="str">
        <f>IF(D286&lt;&gt;"",VLOOKUP(E286,Constants!$D$3:$E$10,2),"")</f>
        <v/>
      </c>
      <c r="J286" s="76"/>
    </row>
    <row r="287" spans="2:10" x14ac:dyDescent="0.25">
      <c r="B287" s="59"/>
      <c r="C287" s="59"/>
      <c r="D287" s="71"/>
      <c r="E287" s="60"/>
      <c r="F287" s="59"/>
      <c r="G287" s="72"/>
      <c r="H287" s="59"/>
      <c r="I287" s="22" t="str">
        <f>IF(D287&lt;&gt;"",VLOOKUP(E287,Constants!$D$3:$E$10,2),"")</f>
        <v/>
      </c>
      <c r="J287" s="76"/>
    </row>
    <row r="288" spans="2:10" x14ac:dyDescent="0.25">
      <c r="B288" s="59"/>
      <c r="C288" s="59"/>
      <c r="D288" s="71"/>
      <c r="E288" s="60"/>
      <c r="F288" s="59"/>
      <c r="G288" s="72"/>
      <c r="H288" s="59"/>
      <c r="I288" s="22" t="str">
        <f>IF(D288&lt;&gt;"",VLOOKUP(E288,Constants!$D$3:$E$10,2),"")</f>
        <v/>
      </c>
      <c r="J288" s="76"/>
    </row>
    <row r="289" spans="2:10" x14ac:dyDescent="0.25">
      <c r="B289" s="59"/>
      <c r="C289" s="59"/>
      <c r="D289" s="71"/>
      <c r="E289" s="60"/>
      <c r="F289" s="59"/>
      <c r="G289" s="72"/>
      <c r="H289" s="59"/>
      <c r="I289" s="22" t="str">
        <f>IF(D289&lt;&gt;"",VLOOKUP(E289,Constants!$D$3:$E$10,2),"")</f>
        <v/>
      </c>
      <c r="J289" s="76"/>
    </row>
    <row r="290" spans="2:10" x14ac:dyDescent="0.25">
      <c r="B290" s="59"/>
      <c r="C290" s="59"/>
      <c r="D290" s="71"/>
      <c r="E290" s="60"/>
      <c r="F290" s="59"/>
      <c r="G290" s="72"/>
      <c r="H290" s="59"/>
      <c r="I290" s="22" t="str">
        <f>IF(D290&lt;&gt;"",VLOOKUP(E290,Constants!$D$3:$E$10,2),"")</f>
        <v/>
      </c>
      <c r="J290" s="76"/>
    </row>
    <row r="291" spans="2:10" x14ac:dyDescent="0.25">
      <c r="B291" s="59"/>
      <c r="C291" s="59"/>
      <c r="D291" s="71"/>
      <c r="E291" s="60"/>
      <c r="F291" s="59"/>
      <c r="G291" s="72"/>
      <c r="H291" s="59"/>
      <c r="I291" s="22" t="str">
        <f>IF(D291&lt;&gt;"",VLOOKUP(E291,Constants!$D$3:$E$10,2),"")</f>
        <v/>
      </c>
      <c r="J291" s="76"/>
    </row>
    <row r="292" spans="2:10" x14ac:dyDescent="0.25">
      <c r="B292" s="59"/>
      <c r="C292" s="59"/>
      <c r="D292" s="71"/>
      <c r="E292" s="60"/>
      <c r="F292" s="59"/>
      <c r="G292" s="72"/>
      <c r="H292" s="59"/>
      <c r="I292" s="22" t="str">
        <f>IF(D292&lt;&gt;"",VLOOKUP(E292,Constants!$D$3:$E$10,2),"")</f>
        <v/>
      </c>
      <c r="J292" s="76"/>
    </row>
    <row r="293" spans="2:10" x14ac:dyDescent="0.25">
      <c r="B293" s="59"/>
      <c r="C293" s="59"/>
      <c r="D293" s="71"/>
      <c r="E293" s="60"/>
      <c r="F293" s="59"/>
      <c r="G293" s="72"/>
      <c r="H293" s="59"/>
      <c r="I293" s="22" t="str">
        <f>IF(D293&lt;&gt;"",VLOOKUP(E293,Constants!$D$3:$E$10,2),"")</f>
        <v/>
      </c>
      <c r="J293" s="76"/>
    </row>
    <row r="294" spans="2:10" x14ac:dyDescent="0.25">
      <c r="B294" s="59"/>
      <c r="C294" s="59"/>
      <c r="D294" s="71"/>
      <c r="E294" s="60"/>
      <c r="F294" s="59"/>
      <c r="G294" s="72"/>
      <c r="H294" s="59"/>
      <c r="I294" s="22" t="str">
        <f>IF(D294&lt;&gt;"",VLOOKUP(E294,Constants!$D$3:$E$10,2),"")</f>
        <v/>
      </c>
      <c r="J294" s="76"/>
    </row>
    <row r="295" spans="2:10" x14ac:dyDescent="0.25">
      <c r="B295" s="59"/>
      <c r="C295" s="59"/>
      <c r="D295" s="71"/>
      <c r="E295" s="60"/>
      <c r="F295" s="59"/>
      <c r="G295" s="72"/>
      <c r="H295" s="59"/>
      <c r="I295" s="22" t="str">
        <f>IF(D295&lt;&gt;"",VLOOKUP(E295,Constants!$D$3:$E$10,2),"")</f>
        <v/>
      </c>
      <c r="J295" s="76"/>
    </row>
    <row r="296" spans="2:10" x14ac:dyDescent="0.25">
      <c r="B296" s="59"/>
      <c r="C296" s="59"/>
      <c r="D296" s="71"/>
      <c r="E296" s="60"/>
      <c r="F296" s="59"/>
      <c r="G296" s="72"/>
      <c r="H296" s="59"/>
      <c r="I296" s="22" t="str">
        <f>IF(D296&lt;&gt;"",VLOOKUP(E296,Constants!$D$3:$E$10,2),"")</f>
        <v/>
      </c>
      <c r="J296" s="76"/>
    </row>
    <row r="297" spans="2:10" x14ac:dyDescent="0.25">
      <c r="B297" s="59"/>
      <c r="C297" s="59"/>
      <c r="D297" s="71"/>
      <c r="E297" s="60"/>
      <c r="F297" s="59"/>
      <c r="G297" s="72"/>
      <c r="H297" s="59"/>
      <c r="I297" s="22" t="str">
        <f>IF(D297&lt;&gt;"",VLOOKUP(E297,Constants!$D$3:$E$10,2),"")</f>
        <v/>
      </c>
      <c r="J297" s="76"/>
    </row>
    <row r="298" spans="2:10" x14ac:dyDescent="0.25">
      <c r="B298" s="59"/>
      <c r="C298" s="59"/>
      <c r="D298" s="71"/>
      <c r="E298" s="60"/>
      <c r="F298" s="59"/>
      <c r="G298" s="72"/>
      <c r="H298" s="59"/>
      <c r="I298" s="22" t="str">
        <f>IF(D298&lt;&gt;"",VLOOKUP(E298,Constants!$D$3:$E$10,2),"")</f>
        <v/>
      </c>
      <c r="J298" s="76"/>
    </row>
    <row r="299" spans="2:10" x14ac:dyDescent="0.25">
      <c r="B299" s="59"/>
      <c r="C299" s="59"/>
      <c r="D299" s="71"/>
      <c r="E299" s="60"/>
      <c r="F299" s="59"/>
      <c r="G299" s="72"/>
      <c r="H299" s="59"/>
      <c r="I299" s="22" t="str">
        <f>IF(D299&lt;&gt;"",VLOOKUP(E299,Constants!$D$3:$E$10,2),"")</f>
        <v/>
      </c>
      <c r="J299" s="76"/>
    </row>
    <row r="300" spans="2:10" x14ac:dyDescent="0.25">
      <c r="B300" s="59"/>
      <c r="C300" s="59"/>
      <c r="D300" s="71"/>
      <c r="E300" s="60"/>
      <c r="F300" s="59"/>
      <c r="G300" s="72"/>
      <c r="H300" s="59"/>
      <c r="I300" s="22" t="str">
        <f>IF(D300&lt;&gt;"",VLOOKUP(E300,Constants!$D$3:$E$10,2),"")</f>
        <v/>
      </c>
      <c r="J300" s="76"/>
    </row>
    <row r="301" spans="2:10" x14ac:dyDescent="0.25">
      <c r="B301" s="59"/>
      <c r="C301" s="59"/>
      <c r="D301" s="71"/>
      <c r="E301" s="60"/>
      <c r="F301" s="59"/>
      <c r="G301" s="72"/>
      <c r="H301" s="59"/>
      <c r="I301" s="22" t="str">
        <f>IF(D301&lt;&gt;"",VLOOKUP(E301,Constants!$D$3:$E$10,2),"")</f>
        <v/>
      </c>
      <c r="J301" s="76"/>
    </row>
    <row r="302" spans="2:10" x14ac:dyDescent="0.25">
      <c r="B302" s="59"/>
      <c r="C302" s="59"/>
      <c r="D302" s="71"/>
      <c r="E302" s="60"/>
      <c r="F302" s="59"/>
      <c r="G302" s="72"/>
      <c r="H302" s="59"/>
      <c r="I302" s="22" t="str">
        <f>IF(D302&lt;&gt;"",VLOOKUP(E302,Constants!$D$3:$E$10,2),"")</f>
        <v/>
      </c>
      <c r="J302" s="76"/>
    </row>
    <row r="303" spans="2:10" x14ac:dyDescent="0.25">
      <c r="B303" s="59"/>
      <c r="C303" s="59"/>
      <c r="D303" s="71"/>
      <c r="E303" s="60"/>
      <c r="F303" s="59"/>
      <c r="G303" s="72"/>
      <c r="H303" s="59"/>
      <c r="I303" s="22" t="str">
        <f>IF(D303&lt;&gt;"",VLOOKUP(E303,Constants!$D$3:$E$10,2),"")</f>
        <v/>
      </c>
      <c r="J303" s="76"/>
    </row>
    <row r="304" spans="2:10" x14ac:dyDescent="0.25">
      <c r="B304" s="59"/>
      <c r="C304" s="59"/>
      <c r="D304" s="71"/>
      <c r="E304" s="60"/>
      <c r="F304" s="59"/>
      <c r="G304" s="72"/>
      <c r="H304" s="59"/>
      <c r="I304" s="22" t="str">
        <f>IF(D304&lt;&gt;"",VLOOKUP(E304,Constants!$D$3:$E$10,2),"")</f>
        <v/>
      </c>
      <c r="J304" s="76"/>
    </row>
    <row r="305" spans="2:10" x14ac:dyDescent="0.25">
      <c r="B305" s="59"/>
      <c r="C305" s="59"/>
      <c r="D305" s="71"/>
      <c r="E305" s="60"/>
      <c r="F305" s="59"/>
      <c r="G305" s="72"/>
      <c r="H305" s="59"/>
      <c r="I305" s="22" t="str">
        <f>IF(D305&lt;&gt;"",VLOOKUP(E305,Constants!$D$3:$E$10,2),"")</f>
        <v/>
      </c>
      <c r="J305" s="76"/>
    </row>
    <row r="306" spans="2:10" x14ac:dyDescent="0.25">
      <c r="B306" s="59"/>
      <c r="C306" s="59"/>
      <c r="D306" s="71"/>
      <c r="E306" s="60"/>
      <c r="F306" s="59"/>
      <c r="G306" s="72"/>
      <c r="H306" s="59"/>
      <c r="I306" s="22" t="str">
        <f>IF(D306&lt;&gt;"",VLOOKUP(E306,Constants!$D$3:$E$10,2),"")</f>
        <v/>
      </c>
      <c r="J306" s="76"/>
    </row>
    <row r="307" spans="2:10" x14ac:dyDescent="0.25">
      <c r="B307" s="59"/>
      <c r="C307" s="59"/>
      <c r="D307" s="71"/>
      <c r="E307" s="60"/>
      <c r="F307" s="59"/>
      <c r="G307" s="72"/>
      <c r="H307" s="59"/>
      <c r="I307" s="22" t="str">
        <f>IF(D307&lt;&gt;"",VLOOKUP(E307,Constants!$D$3:$E$10,2),"")</f>
        <v/>
      </c>
      <c r="J307" s="76"/>
    </row>
    <row r="308" spans="2:10" x14ac:dyDescent="0.25">
      <c r="B308" s="59"/>
      <c r="C308" s="59"/>
      <c r="D308" s="71"/>
      <c r="E308" s="60"/>
      <c r="F308" s="59"/>
      <c r="G308" s="72"/>
      <c r="H308" s="59"/>
      <c r="I308" s="22" t="str">
        <f>IF(D308&lt;&gt;"",VLOOKUP(E308,Constants!$D$3:$E$10,2),"")</f>
        <v/>
      </c>
      <c r="J308" s="76"/>
    </row>
    <row r="309" spans="2:10" x14ac:dyDescent="0.25">
      <c r="B309" s="59"/>
      <c r="C309" s="59"/>
      <c r="D309" s="71"/>
      <c r="E309" s="60"/>
      <c r="F309" s="59"/>
      <c r="G309" s="72"/>
      <c r="H309" s="59"/>
      <c r="I309" s="22" t="str">
        <f>IF(D309&lt;&gt;"",VLOOKUP(E309,Constants!$D$3:$E$10,2),"")</f>
        <v/>
      </c>
      <c r="J309" s="76"/>
    </row>
    <row r="310" spans="2:10" x14ac:dyDescent="0.25">
      <c r="B310" s="59"/>
      <c r="C310" s="59"/>
      <c r="D310" s="71"/>
      <c r="E310" s="60"/>
      <c r="F310" s="59"/>
      <c r="G310" s="72"/>
      <c r="H310" s="59"/>
      <c r="I310" s="22" t="str">
        <f>IF(D310&lt;&gt;"",VLOOKUP(E310,Constants!$D$3:$E$10,2),"")</f>
        <v/>
      </c>
      <c r="J310" s="76"/>
    </row>
    <row r="311" spans="2:10" x14ac:dyDescent="0.25">
      <c r="B311" s="59"/>
      <c r="C311" s="59"/>
      <c r="D311" s="71"/>
      <c r="E311" s="60"/>
      <c r="F311" s="59"/>
      <c r="G311" s="72"/>
      <c r="H311" s="59"/>
      <c r="I311" s="22" t="str">
        <f>IF(D311&lt;&gt;"",VLOOKUP(E311,Constants!$D$3:$E$10,2),"")</f>
        <v/>
      </c>
      <c r="J311" s="76"/>
    </row>
    <row r="312" spans="2:10" x14ac:dyDescent="0.25">
      <c r="B312" s="59"/>
      <c r="C312" s="59"/>
      <c r="D312" s="71"/>
      <c r="E312" s="60"/>
      <c r="F312" s="59"/>
      <c r="G312" s="72"/>
      <c r="H312" s="59"/>
      <c r="I312" s="22" t="str">
        <f>IF(D312&lt;&gt;"",VLOOKUP(E312,Constants!$D$3:$E$10,2),"")</f>
        <v/>
      </c>
      <c r="J312" s="76"/>
    </row>
    <row r="313" spans="2:10" x14ac:dyDescent="0.25">
      <c r="B313" s="59"/>
      <c r="C313" s="59"/>
      <c r="D313" s="71"/>
      <c r="E313" s="60"/>
      <c r="F313" s="59"/>
      <c r="G313" s="72"/>
      <c r="H313" s="59"/>
      <c r="I313" s="22" t="str">
        <f>IF(D313&lt;&gt;"",VLOOKUP(E313,Constants!$D$3:$E$10,2),"")</f>
        <v/>
      </c>
      <c r="J313" s="76"/>
    </row>
    <row r="314" spans="2:10" x14ac:dyDescent="0.25">
      <c r="B314" s="59"/>
      <c r="C314" s="59"/>
      <c r="D314" s="71"/>
      <c r="E314" s="60"/>
      <c r="F314" s="59"/>
      <c r="G314" s="72"/>
      <c r="H314" s="59"/>
      <c r="I314" s="22" t="str">
        <f>IF(D314&lt;&gt;"",VLOOKUP(E314,Constants!$D$3:$E$10,2),"")</f>
        <v/>
      </c>
      <c r="J314" s="76"/>
    </row>
    <row r="315" spans="2:10" x14ac:dyDescent="0.25">
      <c r="B315" s="59"/>
      <c r="C315" s="59"/>
      <c r="D315" s="71"/>
      <c r="E315" s="60"/>
      <c r="F315" s="59"/>
      <c r="G315" s="72"/>
      <c r="H315" s="59"/>
      <c r="I315" s="22" t="str">
        <f>IF(D315&lt;&gt;"",VLOOKUP(E315,Constants!$D$3:$E$10,2),"")</f>
        <v/>
      </c>
      <c r="J315" s="76"/>
    </row>
    <row r="316" spans="2:10" x14ac:dyDescent="0.25">
      <c r="B316" s="59"/>
      <c r="C316" s="59"/>
      <c r="D316" s="71"/>
      <c r="E316" s="60"/>
      <c r="F316" s="59"/>
      <c r="G316" s="72"/>
      <c r="H316" s="59"/>
      <c r="I316" s="22" t="str">
        <f>IF(D316&lt;&gt;"",VLOOKUP(E316,Constants!$D$3:$E$10,2),"")</f>
        <v/>
      </c>
      <c r="J316" s="76"/>
    </row>
    <row r="317" spans="2:10" x14ac:dyDescent="0.25">
      <c r="B317" s="59"/>
      <c r="C317" s="59"/>
      <c r="D317" s="71"/>
      <c r="E317" s="60"/>
      <c r="F317" s="59"/>
      <c r="G317" s="72"/>
      <c r="H317" s="59"/>
      <c r="I317" s="22" t="str">
        <f>IF(D317&lt;&gt;"",VLOOKUP(E317,Constants!$D$3:$E$10,2),"")</f>
        <v/>
      </c>
      <c r="J317" s="76"/>
    </row>
    <row r="318" spans="2:10" x14ac:dyDescent="0.25">
      <c r="B318" s="59"/>
      <c r="C318" s="59"/>
      <c r="D318" s="71"/>
      <c r="E318" s="60"/>
      <c r="F318" s="59"/>
      <c r="G318" s="72"/>
      <c r="H318" s="59"/>
      <c r="I318" s="22" t="str">
        <f>IF(D318&lt;&gt;"",VLOOKUP(E318,Constants!$D$3:$E$10,2),"")</f>
        <v/>
      </c>
      <c r="J318" s="76"/>
    </row>
    <row r="319" spans="2:10" x14ac:dyDescent="0.25">
      <c r="B319" s="59"/>
      <c r="C319" s="59"/>
      <c r="D319" s="71"/>
      <c r="E319" s="60"/>
      <c r="F319" s="59"/>
      <c r="G319" s="72"/>
      <c r="H319" s="59"/>
      <c r="I319" s="22" t="str">
        <f>IF(D319&lt;&gt;"",VLOOKUP(E319,Constants!$D$3:$E$10,2),"")</f>
        <v/>
      </c>
      <c r="J319" s="76"/>
    </row>
    <row r="320" spans="2:10" x14ac:dyDescent="0.25">
      <c r="B320" s="59"/>
      <c r="C320" s="59"/>
      <c r="D320" s="71"/>
      <c r="E320" s="60"/>
      <c r="F320" s="59"/>
      <c r="G320" s="72"/>
      <c r="H320" s="59"/>
      <c r="I320" s="22" t="str">
        <f>IF(D320&lt;&gt;"",VLOOKUP(E320,Constants!$D$3:$E$10,2),"")</f>
        <v/>
      </c>
      <c r="J320" s="76"/>
    </row>
    <row r="321" spans="2:10" x14ac:dyDescent="0.25">
      <c r="B321" s="59"/>
      <c r="C321" s="59"/>
      <c r="D321" s="71"/>
      <c r="E321" s="60"/>
      <c r="F321" s="59"/>
      <c r="G321" s="72"/>
      <c r="H321" s="59"/>
      <c r="I321" s="22" t="str">
        <f>IF(D321&lt;&gt;"",VLOOKUP(E321,Constants!$D$3:$E$10,2),"")</f>
        <v/>
      </c>
      <c r="J321" s="76"/>
    </row>
    <row r="322" spans="2:10" x14ac:dyDescent="0.25">
      <c r="B322" s="59"/>
      <c r="C322" s="59"/>
      <c r="D322" s="71"/>
      <c r="E322" s="60"/>
      <c r="F322" s="59"/>
      <c r="G322" s="72"/>
      <c r="H322" s="59"/>
      <c r="I322" s="22" t="str">
        <f>IF(D322&lt;&gt;"",VLOOKUP(E322,Constants!$D$3:$E$10,2),"")</f>
        <v/>
      </c>
      <c r="J322" s="76"/>
    </row>
    <row r="323" spans="2:10" x14ac:dyDescent="0.25">
      <c r="B323" s="59"/>
      <c r="C323" s="59"/>
      <c r="D323" s="71"/>
      <c r="E323" s="60"/>
      <c r="F323" s="59"/>
      <c r="G323" s="72"/>
      <c r="H323" s="59"/>
      <c r="I323" s="22" t="str">
        <f>IF(D323&lt;&gt;"",VLOOKUP(E323,Constants!$D$3:$E$10,2),"")</f>
        <v/>
      </c>
      <c r="J323" s="76"/>
    </row>
    <row r="324" spans="2:10" x14ac:dyDescent="0.25">
      <c r="B324" s="59"/>
      <c r="C324" s="59"/>
      <c r="D324" s="71"/>
      <c r="E324" s="60"/>
      <c r="F324" s="59"/>
      <c r="G324" s="72"/>
      <c r="H324" s="59"/>
      <c r="I324" s="22" t="str">
        <f>IF(D324&lt;&gt;"",VLOOKUP(E324,Constants!$D$3:$E$10,2),"")</f>
        <v/>
      </c>
      <c r="J324" s="76"/>
    </row>
    <row r="325" spans="2:10" x14ac:dyDescent="0.25">
      <c r="B325" s="59"/>
      <c r="C325" s="59"/>
      <c r="D325" s="71"/>
      <c r="E325" s="60"/>
      <c r="F325" s="59"/>
      <c r="G325" s="72"/>
      <c r="H325" s="59"/>
      <c r="I325" s="22" t="str">
        <f>IF(D325&lt;&gt;"",VLOOKUP(E325,Constants!$D$3:$E$10,2),"")</f>
        <v/>
      </c>
      <c r="J325" s="76"/>
    </row>
    <row r="326" spans="2:10" x14ac:dyDescent="0.25">
      <c r="B326" s="59"/>
      <c r="C326" s="59"/>
      <c r="D326" s="71"/>
      <c r="E326" s="60"/>
      <c r="F326" s="59"/>
      <c r="G326" s="72"/>
      <c r="H326" s="59"/>
      <c r="I326" s="22" t="str">
        <f>IF(D326&lt;&gt;"",VLOOKUP(E326,Constants!$D$3:$E$10,2),"")</f>
        <v/>
      </c>
      <c r="J326" s="76"/>
    </row>
    <row r="327" spans="2:10" x14ac:dyDescent="0.25">
      <c r="B327" s="59"/>
      <c r="C327" s="59"/>
      <c r="D327" s="71"/>
      <c r="E327" s="60"/>
      <c r="F327" s="59"/>
      <c r="G327" s="72"/>
      <c r="H327" s="59"/>
      <c r="I327" s="22" t="str">
        <f>IF(D327&lt;&gt;"",VLOOKUP(E327,Constants!$D$3:$E$10,2),"")</f>
        <v/>
      </c>
      <c r="J327" s="76"/>
    </row>
    <row r="328" spans="2:10" x14ac:dyDescent="0.25">
      <c r="B328" s="59"/>
      <c r="C328" s="59"/>
      <c r="D328" s="71"/>
      <c r="E328" s="60"/>
      <c r="F328" s="59"/>
      <c r="G328" s="72"/>
      <c r="H328" s="59"/>
      <c r="I328" s="22" t="str">
        <f>IF(D328&lt;&gt;"",VLOOKUP(E328,Constants!$D$3:$E$10,2),"")</f>
        <v/>
      </c>
      <c r="J328" s="76"/>
    </row>
    <row r="329" spans="2:10" x14ac:dyDescent="0.25">
      <c r="B329" s="59"/>
      <c r="C329" s="59"/>
      <c r="D329" s="71"/>
      <c r="E329" s="60"/>
      <c r="F329" s="59"/>
      <c r="G329" s="72"/>
      <c r="H329" s="59"/>
      <c r="I329" s="22" t="str">
        <f>IF(D329&lt;&gt;"",VLOOKUP(E329,Constants!$D$3:$E$10,2),"")</f>
        <v/>
      </c>
      <c r="J329" s="76"/>
    </row>
    <row r="330" spans="2:10" x14ac:dyDescent="0.25">
      <c r="B330" s="59"/>
      <c r="C330" s="59"/>
      <c r="D330" s="71"/>
      <c r="E330" s="60"/>
      <c r="F330" s="59"/>
      <c r="G330" s="72"/>
      <c r="H330" s="59"/>
      <c r="I330" s="22" t="str">
        <f>IF(D330&lt;&gt;"",VLOOKUP(E330,Constants!$D$3:$E$10,2),"")</f>
        <v/>
      </c>
      <c r="J330" s="76"/>
    </row>
    <row r="331" spans="2:10" x14ac:dyDescent="0.25">
      <c r="B331" s="59"/>
      <c r="C331" s="59"/>
      <c r="D331" s="71"/>
      <c r="E331" s="60"/>
      <c r="F331" s="59"/>
      <c r="G331" s="72"/>
      <c r="H331" s="59"/>
      <c r="I331" s="22" t="str">
        <f>IF(D331&lt;&gt;"",VLOOKUP(E331,Constants!$D$3:$E$10,2),"")</f>
        <v/>
      </c>
      <c r="J331" s="76"/>
    </row>
    <row r="332" spans="2:10" x14ac:dyDescent="0.25">
      <c r="B332" s="59"/>
      <c r="C332" s="59"/>
      <c r="D332" s="71"/>
      <c r="E332" s="60"/>
      <c r="F332" s="59"/>
      <c r="G332" s="72"/>
      <c r="H332" s="59"/>
      <c r="I332" s="22" t="str">
        <f>IF(D332&lt;&gt;"",VLOOKUP(E332,Constants!$D$3:$E$10,2),"")</f>
        <v/>
      </c>
      <c r="J332" s="76"/>
    </row>
    <row r="333" spans="2:10" x14ac:dyDescent="0.25">
      <c r="B333" s="59"/>
      <c r="C333" s="59"/>
      <c r="D333" s="71"/>
      <c r="E333" s="60"/>
      <c r="F333" s="59"/>
      <c r="G333" s="72"/>
      <c r="H333" s="59"/>
      <c r="I333" s="22" t="str">
        <f>IF(D333&lt;&gt;"",VLOOKUP(E333,Constants!$D$3:$E$10,2),"")</f>
        <v/>
      </c>
      <c r="J333" s="76"/>
    </row>
    <row r="334" spans="2:10" x14ac:dyDescent="0.25">
      <c r="B334" s="59"/>
      <c r="C334" s="59"/>
      <c r="D334" s="71"/>
      <c r="E334" s="60"/>
      <c r="F334" s="59"/>
      <c r="G334" s="72"/>
      <c r="H334" s="59"/>
      <c r="I334" s="22" t="str">
        <f>IF(D334&lt;&gt;"",VLOOKUP(E334,Constants!$D$3:$E$10,2),"")</f>
        <v/>
      </c>
      <c r="J334" s="76"/>
    </row>
    <row r="335" spans="2:10" x14ac:dyDescent="0.25">
      <c r="B335" s="59"/>
      <c r="C335" s="59"/>
      <c r="D335" s="71"/>
      <c r="E335" s="60"/>
      <c r="F335" s="59"/>
      <c r="G335" s="72"/>
      <c r="H335" s="59"/>
      <c r="I335" s="22" t="str">
        <f>IF(D335&lt;&gt;"",VLOOKUP(E335,Constants!$D$3:$E$10,2),"")</f>
        <v/>
      </c>
      <c r="J335" s="76"/>
    </row>
    <row r="336" spans="2:10" x14ac:dyDescent="0.25">
      <c r="B336" s="59"/>
      <c r="C336" s="59"/>
      <c r="D336" s="71"/>
      <c r="E336" s="60"/>
      <c r="F336" s="59"/>
      <c r="G336" s="72"/>
      <c r="H336" s="59"/>
      <c r="I336" s="22" t="str">
        <f>IF(D336&lt;&gt;"",VLOOKUP(E336,Constants!$D$3:$E$10,2),"")</f>
        <v/>
      </c>
      <c r="J336" s="76"/>
    </row>
    <row r="337" spans="2:10" x14ac:dyDescent="0.25">
      <c r="B337" s="59"/>
      <c r="C337" s="59"/>
      <c r="D337" s="71"/>
      <c r="E337" s="60"/>
      <c r="F337" s="59"/>
      <c r="G337" s="72"/>
      <c r="H337" s="59"/>
      <c r="I337" s="22" t="str">
        <f>IF(D337&lt;&gt;"",VLOOKUP(E337,Constants!$D$3:$E$10,2),"")</f>
        <v/>
      </c>
      <c r="J337" s="76"/>
    </row>
    <row r="338" spans="2:10" x14ac:dyDescent="0.25">
      <c r="B338" s="59"/>
      <c r="C338" s="59"/>
      <c r="D338" s="71"/>
      <c r="E338" s="60"/>
      <c r="F338" s="59"/>
      <c r="G338" s="72"/>
      <c r="H338" s="59"/>
      <c r="I338" s="22" t="str">
        <f>IF(D338&lt;&gt;"",VLOOKUP(E338,Constants!$D$3:$E$10,2),"")</f>
        <v/>
      </c>
      <c r="J338" s="76"/>
    </row>
    <row r="339" spans="2:10" x14ac:dyDescent="0.25">
      <c r="B339" s="59"/>
      <c r="C339" s="59"/>
      <c r="D339" s="71"/>
      <c r="E339" s="60"/>
      <c r="F339" s="59"/>
      <c r="G339" s="72"/>
      <c r="H339" s="59"/>
      <c r="I339" s="22" t="str">
        <f>IF(D339&lt;&gt;"",VLOOKUP(E339,Constants!$D$3:$E$10,2),"")</f>
        <v/>
      </c>
      <c r="J339" s="76"/>
    </row>
    <row r="340" spans="2:10" x14ac:dyDescent="0.25">
      <c r="B340" s="59"/>
      <c r="C340" s="59"/>
      <c r="D340" s="71"/>
      <c r="E340" s="60"/>
      <c r="F340" s="59"/>
      <c r="G340" s="72"/>
      <c r="H340" s="59"/>
      <c r="I340" s="22" t="str">
        <f>IF(D340&lt;&gt;"",VLOOKUP(E340,Constants!$D$3:$E$10,2),"")</f>
        <v/>
      </c>
      <c r="J340" s="76"/>
    </row>
    <row r="341" spans="2:10" x14ac:dyDescent="0.25">
      <c r="B341" s="59"/>
      <c r="C341" s="59"/>
      <c r="D341" s="71"/>
      <c r="E341" s="60"/>
      <c r="F341" s="59"/>
      <c r="G341" s="72"/>
      <c r="H341" s="59"/>
      <c r="I341" s="22" t="str">
        <f>IF(D341&lt;&gt;"",VLOOKUP(E341,Constants!$D$3:$E$10,2),"")</f>
        <v/>
      </c>
      <c r="J341" s="76"/>
    </row>
    <row r="342" spans="2:10" x14ac:dyDescent="0.25">
      <c r="B342" s="59"/>
      <c r="C342" s="59"/>
      <c r="D342" s="71"/>
      <c r="E342" s="60"/>
      <c r="F342" s="59"/>
      <c r="G342" s="72"/>
      <c r="H342" s="59"/>
      <c r="I342" s="22" t="str">
        <f>IF(D342&lt;&gt;"",VLOOKUP(E342,Constants!$D$3:$E$10,2),"")</f>
        <v/>
      </c>
      <c r="J342" s="76"/>
    </row>
    <row r="343" spans="2:10" x14ac:dyDescent="0.25">
      <c r="B343" s="59"/>
      <c r="C343" s="59"/>
      <c r="D343" s="71"/>
      <c r="E343" s="60"/>
      <c r="F343" s="59"/>
      <c r="G343" s="72"/>
      <c r="H343" s="59"/>
      <c r="I343" s="22" t="str">
        <f>IF(D343&lt;&gt;"",VLOOKUP(E343,Constants!$D$3:$E$10,2),"")</f>
        <v/>
      </c>
      <c r="J343" s="76"/>
    </row>
    <row r="344" spans="2:10" x14ac:dyDescent="0.25">
      <c r="B344" s="59"/>
      <c r="C344" s="59"/>
      <c r="D344" s="71"/>
      <c r="E344" s="60"/>
      <c r="F344" s="59"/>
      <c r="G344" s="72"/>
      <c r="H344" s="59"/>
      <c r="I344" s="22" t="str">
        <f>IF(D344&lt;&gt;"",VLOOKUP(E344,Constants!$D$3:$E$10,2),"")</f>
        <v/>
      </c>
      <c r="J344" s="76"/>
    </row>
    <row r="345" spans="2:10" x14ac:dyDescent="0.25">
      <c r="B345" s="59"/>
      <c r="C345" s="59"/>
      <c r="D345" s="71"/>
      <c r="E345" s="60"/>
      <c r="F345" s="59"/>
      <c r="G345" s="72"/>
      <c r="H345" s="59"/>
      <c r="I345" s="22" t="str">
        <f>IF(D345&lt;&gt;"",VLOOKUP(E345,Constants!$D$3:$E$10,2),"")</f>
        <v/>
      </c>
      <c r="J345" s="76"/>
    </row>
    <row r="346" spans="2:10" x14ac:dyDescent="0.25">
      <c r="B346" s="59"/>
      <c r="C346" s="59"/>
      <c r="D346" s="71"/>
      <c r="E346" s="60"/>
      <c r="F346" s="59"/>
      <c r="G346" s="72"/>
      <c r="H346" s="59"/>
      <c r="I346" s="22" t="str">
        <f>IF(D346&lt;&gt;"",VLOOKUP(E346,Constants!$D$3:$E$10,2),"")</f>
        <v/>
      </c>
      <c r="J346" s="76"/>
    </row>
    <row r="347" spans="2:10" x14ac:dyDescent="0.25">
      <c r="B347" s="59"/>
      <c r="C347" s="59"/>
      <c r="D347" s="71"/>
      <c r="E347" s="60"/>
      <c r="F347" s="59"/>
      <c r="G347" s="72"/>
      <c r="H347" s="59"/>
      <c r="I347" s="22" t="str">
        <f>IF(D347&lt;&gt;"",VLOOKUP(E347,Constants!$D$3:$E$10,2),"")</f>
        <v/>
      </c>
      <c r="J347" s="76"/>
    </row>
    <row r="348" spans="2:10" x14ac:dyDescent="0.25">
      <c r="B348" s="59"/>
      <c r="C348" s="59"/>
      <c r="D348" s="71"/>
      <c r="E348" s="60"/>
      <c r="F348" s="59"/>
      <c r="G348" s="72"/>
      <c r="H348" s="59"/>
      <c r="I348" s="22" t="str">
        <f>IF(D348&lt;&gt;"",VLOOKUP(E348,Constants!$D$3:$E$10,2),"")</f>
        <v/>
      </c>
      <c r="J348" s="76"/>
    </row>
    <row r="349" spans="2:10" x14ac:dyDescent="0.25">
      <c r="B349" s="59"/>
      <c r="C349" s="59"/>
      <c r="D349" s="71"/>
      <c r="E349" s="60"/>
      <c r="F349" s="59"/>
      <c r="G349" s="72"/>
      <c r="H349" s="59"/>
      <c r="I349" s="22" t="str">
        <f>IF(D349&lt;&gt;"",VLOOKUP(E349,Constants!$D$3:$E$10,2),"")</f>
        <v/>
      </c>
      <c r="J349" s="76"/>
    </row>
    <row r="350" spans="2:10" x14ac:dyDescent="0.25">
      <c r="B350" s="59"/>
      <c r="C350" s="59"/>
      <c r="D350" s="71"/>
      <c r="E350" s="60"/>
      <c r="F350" s="59"/>
      <c r="G350" s="72"/>
      <c r="H350" s="59"/>
      <c r="I350" s="22" t="str">
        <f>IF(D350&lt;&gt;"",VLOOKUP(E350,Constants!$D$3:$E$10,2),"")</f>
        <v/>
      </c>
      <c r="J350" s="76"/>
    </row>
    <row r="351" spans="2:10" x14ac:dyDescent="0.25">
      <c r="B351" s="59"/>
      <c r="C351" s="59"/>
      <c r="D351" s="71"/>
      <c r="E351" s="60"/>
      <c r="F351" s="59"/>
      <c r="G351" s="72"/>
      <c r="H351" s="59"/>
      <c r="I351" s="22" t="str">
        <f>IF(D351&lt;&gt;"",VLOOKUP(E351,Constants!$D$3:$E$10,2),"")</f>
        <v/>
      </c>
      <c r="J351" s="76"/>
    </row>
    <row r="352" spans="2:10" x14ac:dyDescent="0.25">
      <c r="B352" s="59"/>
      <c r="C352" s="59"/>
      <c r="D352" s="71"/>
      <c r="E352" s="60"/>
      <c r="F352" s="59"/>
      <c r="G352" s="72"/>
      <c r="H352" s="59"/>
      <c r="I352" s="22" t="str">
        <f>IF(D352&lt;&gt;"",VLOOKUP(E352,Constants!$D$3:$E$10,2),"")</f>
        <v/>
      </c>
      <c r="J352" s="76"/>
    </row>
    <row r="353" spans="2:10" x14ac:dyDescent="0.25">
      <c r="B353" s="59"/>
      <c r="C353" s="59"/>
      <c r="D353" s="71"/>
      <c r="E353" s="60"/>
      <c r="F353" s="59"/>
      <c r="G353" s="72"/>
      <c r="H353" s="59"/>
      <c r="I353" s="22" t="str">
        <f>IF(D353&lt;&gt;"",VLOOKUP(E353,Constants!$D$3:$E$10,2),"")</f>
        <v/>
      </c>
      <c r="J353" s="76"/>
    </row>
    <row r="354" spans="2:10" x14ac:dyDescent="0.25">
      <c r="B354" s="59"/>
      <c r="C354" s="59"/>
      <c r="D354" s="71"/>
      <c r="E354" s="60"/>
      <c r="F354" s="59"/>
      <c r="G354" s="72"/>
      <c r="H354" s="59"/>
      <c r="I354" s="22" t="str">
        <f>IF(D354&lt;&gt;"",VLOOKUP(E354,Constants!$D$3:$E$10,2),"")</f>
        <v/>
      </c>
      <c r="J354" s="76"/>
    </row>
    <row r="355" spans="2:10" x14ac:dyDescent="0.25">
      <c r="B355" s="59"/>
      <c r="C355" s="59"/>
      <c r="D355" s="71"/>
      <c r="E355" s="60"/>
      <c r="F355" s="59"/>
      <c r="G355" s="72"/>
      <c r="H355" s="59"/>
      <c r="I355" s="22" t="str">
        <f>IF(D355&lt;&gt;"",VLOOKUP(E355,Constants!$D$3:$E$10,2),"")</f>
        <v/>
      </c>
      <c r="J355" s="76"/>
    </row>
    <row r="356" spans="2:10" x14ac:dyDescent="0.25">
      <c r="B356" s="59"/>
      <c r="C356" s="59"/>
      <c r="D356" s="71"/>
      <c r="E356" s="60"/>
      <c r="F356" s="59"/>
      <c r="G356" s="72"/>
      <c r="H356" s="59"/>
      <c r="I356" s="22" t="str">
        <f>IF(D356&lt;&gt;"",VLOOKUP(E356,Constants!$D$3:$E$10,2),"")</f>
        <v/>
      </c>
      <c r="J356" s="76"/>
    </row>
    <row r="357" spans="2:10" x14ac:dyDescent="0.25">
      <c r="B357" s="59"/>
      <c r="C357" s="59"/>
      <c r="D357" s="71"/>
      <c r="E357" s="60"/>
      <c r="F357" s="59"/>
      <c r="G357" s="72"/>
      <c r="H357" s="59"/>
      <c r="I357" s="22" t="str">
        <f>IF(D357&lt;&gt;"",VLOOKUP(E357,Constants!$D$3:$E$10,2),"")</f>
        <v/>
      </c>
      <c r="J357" s="76"/>
    </row>
    <row r="358" spans="2:10" x14ac:dyDescent="0.25">
      <c r="B358" s="59"/>
      <c r="C358" s="59"/>
      <c r="D358" s="71"/>
      <c r="E358" s="60"/>
      <c r="F358" s="59"/>
      <c r="G358" s="72"/>
      <c r="H358" s="59"/>
      <c r="I358" s="22" t="str">
        <f>IF(D358&lt;&gt;"",VLOOKUP(E358,Constants!$D$3:$E$10,2),"")</f>
        <v/>
      </c>
      <c r="J358" s="76"/>
    </row>
    <row r="359" spans="2:10" x14ac:dyDescent="0.25">
      <c r="B359" s="59"/>
      <c r="C359" s="59"/>
      <c r="D359" s="71"/>
      <c r="E359" s="60"/>
      <c r="F359" s="59"/>
      <c r="G359" s="72"/>
      <c r="H359" s="59"/>
      <c r="I359" s="22" t="str">
        <f>IF(D359&lt;&gt;"",VLOOKUP(E359,Constants!$D$3:$E$10,2),"")</f>
        <v/>
      </c>
      <c r="J359" s="76"/>
    </row>
    <row r="360" spans="2:10" x14ac:dyDescent="0.25">
      <c r="B360" s="59"/>
      <c r="C360" s="59"/>
      <c r="D360" s="71"/>
      <c r="E360" s="60"/>
      <c r="F360" s="59"/>
      <c r="G360" s="72"/>
      <c r="H360" s="59"/>
      <c r="I360" s="22" t="str">
        <f>IF(D360&lt;&gt;"",VLOOKUP(E360,Constants!$D$3:$E$10,2),"")</f>
        <v/>
      </c>
      <c r="J360" s="76"/>
    </row>
    <row r="361" spans="2:10" x14ac:dyDescent="0.25">
      <c r="B361" s="59"/>
      <c r="C361" s="59"/>
      <c r="D361" s="71"/>
      <c r="E361" s="60"/>
      <c r="F361" s="59"/>
      <c r="G361" s="72"/>
      <c r="H361" s="59"/>
      <c r="I361" s="22" t="str">
        <f>IF(D361&lt;&gt;"",VLOOKUP(E361,Constants!$D$3:$E$10,2),"")</f>
        <v/>
      </c>
      <c r="J361" s="76"/>
    </row>
    <row r="362" spans="2:10" x14ac:dyDescent="0.25">
      <c r="B362" s="59"/>
      <c r="C362" s="59"/>
      <c r="D362" s="71"/>
      <c r="E362" s="60"/>
      <c r="F362" s="59"/>
      <c r="G362" s="72"/>
      <c r="H362" s="59"/>
      <c r="I362" s="22" t="str">
        <f>IF(D362&lt;&gt;"",VLOOKUP(E362,Constants!$D$3:$E$10,2),"")</f>
        <v/>
      </c>
      <c r="J362" s="76"/>
    </row>
    <row r="363" spans="2:10" x14ac:dyDescent="0.25">
      <c r="B363" s="59"/>
      <c r="C363" s="59"/>
      <c r="D363" s="71"/>
      <c r="E363" s="60"/>
      <c r="F363" s="59"/>
      <c r="G363" s="72"/>
      <c r="H363" s="59"/>
      <c r="I363" s="22" t="str">
        <f>IF(D363&lt;&gt;"",VLOOKUP(E363,Constants!$D$3:$E$10,2),"")</f>
        <v/>
      </c>
      <c r="J363" s="76"/>
    </row>
    <row r="364" spans="2:10" x14ac:dyDescent="0.25">
      <c r="B364" s="59"/>
      <c r="C364" s="59"/>
      <c r="D364" s="71"/>
      <c r="E364" s="60"/>
      <c r="F364" s="59"/>
      <c r="G364" s="72"/>
      <c r="H364" s="59"/>
      <c r="I364" s="22" t="str">
        <f>IF(D364&lt;&gt;"",VLOOKUP(E364,Constants!$D$3:$E$10,2),"")</f>
        <v/>
      </c>
      <c r="J364" s="76"/>
    </row>
    <row r="365" spans="2:10" x14ac:dyDescent="0.25">
      <c r="B365" s="59"/>
      <c r="C365" s="59"/>
      <c r="D365" s="71"/>
      <c r="E365" s="60"/>
      <c r="F365" s="59"/>
      <c r="G365" s="72"/>
      <c r="H365" s="59"/>
      <c r="I365" s="22" t="str">
        <f>IF(D365&lt;&gt;"",VLOOKUP(E365,Constants!$D$3:$E$10,2),"")</f>
        <v/>
      </c>
      <c r="J365" s="76"/>
    </row>
    <row r="366" spans="2:10" x14ac:dyDescent="0.25">
      <c r="B366" s="59"/>
      <c r="C366" s="59"/>
      <c r="D366" s="71"/>
      <c r="E366" s="60"/>
      <c r="F366" s="59"/>
      <c r="G366" s="72"/>
      <c r="H366" s="59"/>
      <c r="I366" s="22" t="str">
        <f>IF(D366&lt;&gt;"",VLOOKUP(E366,Constants!$D$3:$E$10,2),"")</f>
        <v/>
      </c>
      <c r="J366" s="76"/>
    </row>
    <row r="367" spans="2:10" x14ac:dyDescent="0.25">
      <c r="B367" s="59"/>
      <c r="C367" s="59"/>
      <c r="D367" s="71"/>
      <c r="E367" s="60"/>
      <c r="F367" s="59"/>
      <c r="G367" s="72"/>
      <c r="H367" s="59"/>
      <c r="I367" s="22" t="str">
        <f>IF(D367&lt;&gt;"",VLOOKUP(E367,Constants!$D$3:$E$10,2),"")</f>
        <v/>
      </c>
      <c r="J367" s="76"/>
    </row>
    <row r="368" spans="2:10" x14ac:dyDescent="0.25">
      <c r="B368" s="59"/>
      <c r="C368" s="59"/>
      <c r="D368" s="71"/>
      <c r="E368" s="60"/>
      <c r="F368" s="59"/>
      <c r="G368" s="72"/>
      <c r="H368" s="59"/>
      <c r="I368" s="22" t="str">
        <f>IF(D368&lt;&gt;"",VLOOKUP(E368,Constants!$D$3:$E$10,2),"")</f>
        <v/>
      </c>
      <c r="J368" s="76"/>
    </row>
    <row r="369" spans="2:10" x14ac:dyDescent="0.25">
      <c r="B369" s="59"/>
      <c r="C369" s="59"/>
      <c r="D369" s="71"/>
      <c r="E369" s="60"/>
      <c r="F369" s="59"/>
      <c r="G369" s="72"/>
      <c r="H369" s="59"/>
      <c r="I369" s="22" t="str">
        <f>IF(D369&lt;&gt;"",VLOOKUP(E369,Constants!$D$3:$E$10,2),"")</f>
        <v/>
      </c>
      <c r="J369" s="76"/>
    </row>
    <row r="370" spans="2:10" x14ac:dyDescent="0.25">
      <c r="B370" s="59"/>
      <c r="C370" s="59"/>
      <c r="D370" s="71"/>
      <c r="E370" s="60"/>
      <c r="F370" s="59"/>
      <c r="G370" s="72"/>
      <c r="H370" s="59"/>
      <c r="I370" s="22" t="str">
        <f>IF(D370&lt;&gt;"",VLOOKUP(E370,Constants!$D$3:$E$10,2),"")</f>
        <v/>
      </c>
      <c r="J370" s="76"/>
    </row>
    <row r="371" spans="2:10" x14ac:dyDescent="0.25">
      <c r="B371" s="59"/>
      <c r="C371" s="59"/>
      <c r="D371" s="71"/>
      <c r="E371" s="60"/>
      <c r="F371" s="59"/>
      <c r="G371" s="72"/>
      <c r="H371" s="59"/>
      <c r="I371" s="22" t="str">
        <f>IF(D371&lt;&gt;"",VLOOKUP(E371,Constants!$D$3:$E$10,2),"")</f>
        <v/>
      </c>
      <c r="J371" s="76"/>
    </row>
    <row r="372" spans="2:10" x14ac:dyDescent="0.25">
      <c r="B372" s="59"/>
      <c r="C372" s="59"/>
      <c r="D372" s="71"/>
      <c r="E372" s="60"/>
      <c r="F372" s="59"/>
      <c r="G372" s="72"/>
      <c r="H372" s="59"/>
      <c r="I372" s="22" t="str">
        <f>IF(D372&lt;&gt;"",VLOOKUP(E372,Constants!$D$3:$E$10,2),"")</f>
        <v/>
      </c>
      <c r="J372" s="76"/>
    </row>
    <row r="373" spans="2:10" x14ac:dyDescent="0.25">
      <c r="B373" s="59"/>
      <c r="C373" s="59"/>
      <c r="D373" s="71"/>
      <c r="E373" s="60"/>
      <c r="F373" s="59"/>
      <c r="G373" s="72"/>
      <c r="H373" s="59"/>
      <c r="I373" s="22" t="str">
        <f>IF(D373&lt;&gt;"",VLOOKUP(E373,Constants!$D$3:$E$10,2),"")</f>
        <v/>
      </c>
      <c r="J373" s="76"/>
    </row>
    <row r="374" spans="2:10" x14ac:dyDescent="0.25">
      <c r="B374" s="59"/>
      <c r="C374" s="59"/>
      <c r="D374" s="71"/>
      <c r="E374" s="60"/>
      <c r="F374" s="59"/>
      <c r="G374" s="72"/>
      <c r="H374" s="59"/>
      <c r="I374" s="22" t="str">
        <f>IF(D374&lt;&gt;"",VLOOKUP(E374,Constants!$D$3:$E$10,2),"")</f>
        <v/>
      </c>
      <c r="J374" s="76"/>
    </row>
    <row r="375" spans="2:10" x14ac:dyDescent="0.25">
      <c r="B375" s="59"/>
      <c r="C375" s="59"/>
      <c r="D375" s="71"/>
      <c r="E375" s="60"/>
      <c r="F375" s="59"/>
      <c r="G375" s="72"/>
      <c r="H375" s="59"/>
      <c r="I375" s="22" t="str">
        <f>IF(D375&lt;&gt;"",VLOOKUP(E375,Constants!$D$3:$E$10,2),"")</f>
        <v/>
      </c>
      <c r="J375" s="76"/>
    </row>
    <row r="376" spans="2:10" x14ac:dyDescent="0.25">
      <c r="B376" s="59"/>
      <c r="C376" s="59"/>
      <c r="D376" s="71"/>
      <c r="E376" s="60"/>
      <c r="F376" s="59"/>
      <c r="G376" s="72"/>
      <c r="H376" s="59"/>
      <c r="I376" s="22" t="str">
        <f>IF(D376&lt;&gt;"",VLOOKUP(E376,Constants!$D$3:$E$10,2),"")</f>
        <v/>
      </c>
      <c r="J376" s="76"/>
    </row>
    <row r="377" spans="2:10" x14ac:dyDescent="0.25">
      <c r="B377" s="59"/>
      <c r="C377" s="59"/>
      <c r="D377" s="71"/>
      <c r="E377" s="60"/>
      <c r="F377" s="59"/>
      <c r="G377" s="72"/>
      <c r="H377" s="59"/>
      <c r="I377" s="22" t="str">
        <f>IF(D377&lt;&gt;"",VLOOKUP(E377,Constants!$D$3:$E$10,2),"")</f>
        <v/>
      </c>
      <c r="J377" s="76"/>
    </row>
    <row r="378" spans="2:10" x14ac:dyDescent="0.25">
      <c r="B378" s="59"/>
      <c r="C378" s="59"/>
      <c r="D378" s="71"/>
      <c r="E378" s="60"/>
      <c r="F378" s="59"/>
      <c r="G378" s="72"/>
      <c r="H378" s="59"/>
      <c r="I378" s="22" t="str">
        <f>IF(D378&lt;&gt;"",VLOOKUP(E378,Constants!$D$3:$E$10,2),"")</f>
        <v/>
      </c>
      <c r="J378" s="76"/>
    </row>
    <row r="379" spans="2:10" x14ac:dyDescent="0.25">
      <c r="B379" s="59"/>
      <c r="C379" s="59"/>
      <c r="D379" s="71"/>
      <c r="E379" s="60"/>
      <c r="F379" s="59"/>
      <c r="G379" s="72"/>
      <c r="H379" s="59"/>
      <c r="I379" s="22" t="str">
        <f>IF(D379&lt;&gt;"",VLOOKUP(E379,Constants!$D$3:$E$10,2),"")</f>
        <v/>
      </c>
      <c r="J379" s="76"/>
    </row>
    <row r="380" spans="2:10" x14ac:dyDescent="0.25">
      <c r="B380" s="59"/>
      <c r="C380" s="59"/>
      <c r="D380" s="71"/>
      <c r="E380" s="60"/>
      <c r="F380" s="59"/>
      <c r="G380" s="72"/>
      <c r="H380" s="59"/>
      <c r="I380" s="22" t="str">
        <f>IF(D380&lt;&gt;"",VLOOKUP(E380,Constants!$D$3:$E$10,2),"")</f>
        <v/>
      </c>
      <c r="J380" s="76"/>
    </row>
    <row r="381" spans="2:10" x14ac:dyDescent="0.25">
      <c r="B381" s="59"/>
      <c r="C381" s="59"/>
      <c r="D381" s="71"/>
      <c r="E381" s="60"/>
      <c r="F381" s="59"/>
      <c r="G381" s="72"/>
      <c r="H381" s="59"/>
      <c r="I381" s="22" t="str">
        <f>IF(D381&lt;&gt;"",VLOOKUP(E381,Constants!$D$3:$E$10,2),"")</f>
        <v/>
      </c>
      <c r="J381" s="76"/>
    </row>
    <row r="382" spans="2:10" x14ac:dyDescent="0.25">
      <c r="B382" s="59"/>
      <c r="C382" s="59"/>
      <c r="D382" s="71"/>
      <c r="E382" s="60"/>
      <c r="F382" s="59"/>
      <c r="G382" s="72"/>
      <c r="H382" s="59"/>
      <c r="I382" s="22" t="str">
        <f>IF(D382&lt;&gt;"",VLOOKUP(E382,Constants!$D$3:$E$10,2),"")</f>
        <v/>
      </c>
      <c r="J382" s="76"/>
    </row>
    <row r="383" spans="2:10" x14ac:dyDescent="0.25">
      <c r="B383" s="59"/>
      <c r="C383" s="59"/>
      <c r="D383" s="71"/>
      <c r="E383" s="60"/>
      <c r="F383" s="59"/>
      <c r="G383" s="72"/>
      <c r="H383" s="59"/>
      <c r="I383" s="22" t="str">
        <f>IF(D383&lt;&gt;"",VLOOKUP(E383,Constants!$D$3:$E$10,2),"")</f>
        <v/>
      </c>
      <c r="J383" s="76"/>
    </row>
    <row r="384" spans="2:10" x14ac:dyDescent="0.25">
      <c r="B384" s="59"/>
      <c r="C384" s="59"/>
      <c r="D384" s="71"/>
      <c r="E384" s="60"/>
      <c r="F384" s="59"/>
      <c r="G384" s="72"/>
      <c r="H384" s="59"/>
      <c r="I384" s="22" t="str">
        <f>IF(D384&lt;&gt;"",VLOOKUP(E384,Constants!$D$3:$E$10,2),"")</f>
        <v/>
      </c>
      <c r="J384" s="76"/>
    </row>
    <row r="385" spans="2:10" x14ac:dyDescent="0.25">
      <c r="B385" s="59"/>
      <c r="C385" s="59"/>
      <c r="D385" s="71"/>
      <c r="E385" s="60"/>
      <c r="F385" s="59"/>
      <c r="G385" s="72"/>
      <c r="H385" s="59"/>
      <c r="I385" s="22" t="str">
        <f>IF(D385&lt;&gt;"",VLOOKUP(E385,Constants!$D$3:$E$10,2),"")</f>
        <v/>
      </c>
      <c r="J385" s="76"/>
    </row>
    <row r="386" spans="2:10" x14ac:dyDescent="0.25">
      <c r="B386" s="59"/>
      <c r="C386" s="59"/>
      <c r="D386" s="71"/>
      <c r="E386" s="60"/>
      <c r="F386" s="59"/>
      <c r="G386" s="72"/>
      <c r="H386" s="59"/>
      <c r="I386" s="22" t="str">
        <f>IF(D386&lt;&gt;"",VLOOKUP(E386,Constants!$D$3:$E$10,2),"")</f>
        <v/>
      </c>
      <c r="J386" s="76"/>
    </row>
    <row r="387" spans="2:10" x14ac:dyDescent="0.25">
      <c r="B387" s="59"/>
      <c r="C387" s="59"/>
      <c r="D387" s="71"/>
      <c r="E387" s="60"/>
      <c r="F387" s="59"/>
      <c r="G387" s="72"/>
      <c r="H387" s="59"/>
      <c r="I387" s="22" t="str">
        <f>IF(D387&lt;&gt;"",VLOOKUP(E387,Constants!$D$3:$E$10,2),"")</f>
        <v/>
      </c>
      <c r="J387" s="76"/>
    </row>
    <row r="388" spans="2:10" x14ac:dyDescent="0.25">
      <c r="B388" s="59"/>
      <c r="C388" s="59"/>
      <c r="D388" s="71"/>
      <c r="E388" s="60"/>
      <c r="F388" s="59"/>
      <c r="G388" s="72"/>
      <c r="H388" s="59"/>
      <c r="I388" s="22" t="str">
        <f>IF(D388&lt;&gt;"",VLOOKUP(E388,Constants!$D$3:$E$10,2),"")</f>
        <v/>
      </c>
      <c r="J388" s="76"/>
    </row>
    <row r="389" spans="2:10" x14ac:dyDescent="0.25">
      <c r="B389" s="59"/>
      <c r="C389" s="59"/>
      <c r="D389" s="71"/>
      <c r="E389" s="60"/>
      <c r="F389" s="59"/>
      <c r="G389" s="72"/>
      <c r="H389" s="59"/>
      <c r="I389" s="22" t="str">
        <f>IF(D389&lt;&gt;"",VLOOKUP(E389,Constants!$D$3:$E$10,2),"")</f>
        <v/>
      </c>
      <c r="J389" s="76"/>
    </row>
    <row r="390" spans="2:10" x14ac:dyDescent="0.25">
      <c r="B390" s="59"/>
      <c r="C390" s="59"/>
      <c r="D390" s="71"/>
      <c r="E390" s="60"/>
      <c r="F390" s="59"/>
      <c r="G390" s="72"/>
      <c r="H390" s="59"/>
      <c r="I390" s="22" t="str">
        <f>IF(D390&lt;&gt;"",VLOOKUP(E390,Constants!$D$3:$E$10,2),"")</f>
        <v/>
      </c>
      <c r="J390" s="76"/>
    </row>
    <row r="391" spans="2:10" x14ac:dyDescent="0.25">
      <c r="B391" s="59"/>
      <c r="C391" s="59"/>
      <c r="D391" s="71"/>
      <c r="E391" s="60"/>
      <c r="F391" s="59"/>
      <c r="G391" s="72"/>
      <c r="H391" s="59"/>
      <c r="I391" s="22" t="str">
        <f>IF(D391&lt;&gt;"",VLOOKUP(E391,Constants!$D$3:$E$10,2),"")</f>
        <v/>
      </c>
      <c r="J391" s="76"/>
    </row>
    <row r="392" spans="2:10" x14ac:dyDescent="0.25">
      <c r="B392" s="59"/>
      <c r="C392" s="59"/>
      <c r="D392" s="71"/>
      <c r="E392" s="60"/>
      <c r="F392" s="59"/>
      <c r="G392" s="72"/>
      <c r="H392" s="59"/>
      <c r="I392" s="22" t="str">
        <f>IF(D392&lt;&gt;"",VLOOKUP(E392,Constants!$D$3:$E$10,2),"")</f>
        <v/>
      </c>
      <c r="J392" s="76"/>
    </row>
    <row r="393" spans="2:10" x14ac:dyDescent="0.25">
      <c r="B393" s="59"/>
      <c r="C393" s="59"/>
      <c r="D393" s="71"/>
      <c r="E393" s="60"/>
      <c r="F393" s="59"/>
      <c r="G393" s="72"/>
      <c r="H393" s="59"/>
      <c r="I393" s="22" t="str">
        <f>IF(D393&lt;&gt;"",VLOOKUP(E393,Constants!$D$3:$E$10,2),"")</f>
        <v/>
      </c>
      <c r="J393" s="76"/>
    </row>
    <row r="394" spans="2:10" x14ac:dyDescent="0.25">
      <c r="B394" s="59"/>
      <c r="C394" s="59"/>
      <c r="D394" s="71"/>
      <c r="E394" s="60"/>
      <c r="F394" s="59"/>
      <c r="G394" s="72"/>
      <c r="H394" s="59"/>
      <c r="I394" s="22" t="str">
        <f>IF(D394&lt;&gt;"",VLOOKUP(E394,Constants!$D$3:$E$10,2),"")</f>
        <v/>
      </c>
      <c r="J394" s="76"/>
    </row>
    <row r="395" spans="2:10" x14ac:dyDescent="0.25">
      <c r="B395" s="59"/>
      <c r="C395" s="59"/>
      <c r="D395" s="71"/>
      <c r="E395" s="60"/>
      <c r="F395" s="59"/>
      <c r="G395" s="72"/>
      <c r="H395" s="59"/>
      <c r="I395" s="22" t="str">
        <f>IF(D395&lt;&gt;"",VLOOKUP(E395,Constants!$D$3:$E$10,2),"")</f>
        <v/>
      </c>
      <c r="J395" s="76"/>
    </row>
    <row r="396" spans="2:10" x14ac:dyDescent="0.25">
      <c r="B396" s="59"/>
      <c r="C396" s="59"/>
      <c r="D396" s="71"/>
      <c r="E396" s="60"/>
      <c r="F396" s="59"/>
      <c r="G396" s="72"/>
      <c r="H396" s="59"/>
      <c r="I396" s="22" t="str">
        <f>IF(D396&lt;&gt;"",VLOOKUP(E396,Constants!$D$3:$E$10,2),"")</f>
        <v/>
      </c>
      <c r="J396" s="76"/>
    </row>
    <row r="397" spans="2:10" x14ac:dyDescent="0.25">
      <c r="B397" s="59"/>
      <c r="C397" s="59"/>
      <c r="D397" s="71"/>
      <c r="E397" s="60"/>
      <c r="F397" s="59"/>
      <c r="G397" s="72"/>
      <c r="H397" s="59"/>
      <c r="I397" s="22" t="str">
        <f>IF(D397&lt;&gt;"",VLOOKUP(E397,Constants!$D$3:$E$10,2),"")</f>
        <v/>
      </c>
      <c r="J397" s="76"/>
    </row>
    <row r="398" spans="2:10" x14ac:dyDescent="0.25">
      <c r="B398" s="59"/>
      <c r="C398" s="59"/>
      <c r="D398" s="71"/>
      <c r="E398" s="60"/>
      <c r="F398" s="59"/>
      <c r="G398" s="72"/>
      <c r="H398" s="59"/>
      <c r="I398" s="22" t="str">
        <f>IF(D398&lt;&gt;"",VLOOKUP(E398,Constants!$D$3:$E$10,2),"")</f>
        <v/>
      </c>
      <c r="J398" s="76"/>
    </row>
    <row r="399" spans="2:10" x14ac:dyDescent="0.25">
      <c r="B399" s="59"/>
      <c r="C399" s="59"/>
      <c r="D399" s="71"/>
      <c r="E399" s="60"/>
      <c r="F399" s="59"/>
      <c r="G399" s="72"/>
      <c r="H399" s="59"/>
      <c r="I399" s="22" t="str">
        <f>IF(D399&lt;&gt;"",VLOOKUP(E399,Constants!$D$3:$E$10,2),"")</f>
        <v/>
      </c>
      <c r="J399" s="76"/>
    </row>
    <row r="400" spans="2:10" x14ac:dyDescent="0.25">
      <c r="B400" s="59"/>
      <c r="C400" s="59"/>
      <c r="D400" s="71"/>
      <c r="E400" s="60"/>
      <c r="F400" s="59"/>
      <c r="G400" s="72"/>
      <c r="H400" s="59"/>
      <c r="I400" s="22" t="str">
        <f>IF(D400&lt;&gt;"",VLOOKUP(E400,Constants!$D$3:$E$10,2),"")</f>
        <v/>
      </c>
      <c r="J400" s="76"/>
    </row>
    <row r="401" spans="2:10" x14ac:dyDescent="0.25">
      <c r="B401" s="59"/>
      <c r="C401" s="59"/>
      <c r="D401" s="71"/>
      <c r="E401" s="60"/>
      <c r="F401" s="59"/>
      <c r="G401" s="72"/>
      <c r="H401" s="59"/>
      <c r="I401" s="22" t="str">
        <f>IF(D401&lt;&gt;"",VLOOKUP(E401,Constants!$D$3:$E$10,2),"")</f>
        <v/>
      </c>
      <c r="J401" s="76"/>
    </row>
    <row r="402" spans="2:10" x14ac:dyDescent="0.25">
      <c r="B402" s="59"/>
      <c r="C402" s="59"/>
      <c r="D402" s="71"/>
      <c r="E402" s="60"/>
      <c r="F402" s="59"/>
      <c r="G402" s="72"/>
      <c r="H402" s="59"/>
      <c r="I402" s="22" t="str">
        <f>IF(D402&lt;&gt;"",VLOOKUP(E402,Constants!$D$3:$E$10,2),"")</f>
        <v/>
      </c>
      <c r="J402" s="76"/>
    </row>
    <row r="403" spans="2:10" x14ac:dyDescent="0.25">
      <c r="B403" s="59"/>
      <c r="C403" s="59"/>
      <c r="D403" s="71"/>
      <c r="E403" s="60"/>
      <c r="F403" s="59"/>
      <c r="G403" s="72"/>
      <c r="H403" s="59"/>
      <c r="I403" s="22" t="str">
        <f>IF(D403&lt;&gt;"",VLOOKUP(E403,Constants!$D$3:$E$10,2),"")</f>
        <v/>
      </c>
      <c r="J403" s="76"/>
    </row>
    <row r="404" spans="2:10" x14ac:dyDescent="0.25">
      <c r="B404" s="59"/>
      <c r="C404" s="59"/>
      <c r="D404" s="71"/>
      <c r="E404" s="60"/>
      <c r="F404" s="59"/>
      <c r="G404" s="72"/>
      <c r="H404" s="59"/>
      <c r="I404" s="22" t="str">
        <f>IF(D404&lt;&gt;"",VLOOKUP(E404,Constants!$D$3:$E$10,2),"")</f>
        <v/>
      </c>
      <c r="J404" s="76"/>
    </row>
    <row r="405" spans="2:10" x14ac:dyDescent="0.25">
      <c r="B405" s="59"/>
      <c r="C405" s="59"/>
      <c r="D405" s="71"/>
      <c r="E405" s="60"/>
      <c r="F405" s="59"/>
      <c r="G405" s="72"/>
      <c r="H405" s="59"/>
      <c r="I405" s="22" t="str">
        <f>IF(D405&lt;&gt;"",VLOOKUP(E405,Constants!$D$3:$E$10,2),"")</f>
        <v/>
      </c>
      <c r="J405" s="76"/>
    </row>
    <row r="406" spans="2:10" x14ac:dyDescent="0.25">
      <c r="B406" s="59"/>
      <c r="C406" s="59"/>
      <c r="D406" s="71"/>
      <c r="E406" s="60"/>
      <c r="F406" s="59"/>
      <c r="G406" s="72"/>
      <c r="H406" s="59"/>
      <c r="I406" s="22" t="str">
        <f>IF(D406&lt;&gt;"",VLOOKUP(E406,Constants!$D$3:$E$10,2),"")</f>
        <v/>
      </c>
      <c r="J406" s="76"/>
    </row>
    <row r="407" spans="2:10" x14ac:dyDescent="0.25">
      <c r="B407" s="59"/>
      <c r="C407" s="59"/>
      <c r="D407" s="71"/>
      <c r="E407" s="60"/>
      <c r="F407" s="59"/>
      <c r="G407" s="72"/>
      <c r="H407" s="59"/>
      <c r="I407" s="22" t="str">
        <f>IF(D407&lt;&gt;"",VLOOKUP(E407,Constants!$D$3:$E$10,2),"")</f>
        <v/>
      </c>
      <c r="J407" s="76"/>
    </row>
    <row r="408" spans="2:10" x14ac:dyDescent="0.25">
      <c r="B408" s="59"/>
      <c r="C408" s="59"/>
      <c r="D408" s="71"/>
      <c r="E408" s="60"/>
      <c r="F408" s="59"/>
      <c r="G408" s="72"/>
      <c r="H408" s="59"/>
      <c r="I408" s="22" t="str">
        <f>IF(D408&lt;&gt;"",VLOOKUP(E408,Constants!$D$3:$E$10,2),"")</f>
        <v/>
      </c>
      <c r="J408" s="76"/>
    </row>
    <row r="409" spans="2:10" x14ac:dyDescent="0.25">
      <c r="B409" s="59"/>
      <c r="C409" s="59"/>
      <c r="D409" s="71"/>
      <c r="E409" s="60"/>
      <c r="F409" s="59"/>
      <c r="G409" s="72"/>
      <c r="H409" s="59"/>
      <c r="I409" s="22" t="str">
        <f>IF(D409&lt;&gt;"",VLOOKUP(E409,Constants!$D$3:$E$10,2),"")</f>
        <v/>
      </c>
      <c r="J409" s="76"/>
    </row>
    <row r="410" spans="2:10" x14ac:dyDescent="0.25">
      <c r="B410" s="59"/>
      <c r="C410" s="59"/>
      <c r="D410" s="71"/>
      <c r="E410" s="60"/>
      <c r="F410" s="59"/>
      <c r="G410" s="72"/>
      <c r="H410" s="59"/>
      <c r="I410" s="22" t="str">
        <f>IF(D410&lt;&gt;"",VLOOKUP(E410,Constants!$D$3:$E$10,2),"")</f>
        <v/>
      </c>
      <c r="J410" s="76"/>
    </row>
    <row r="411" spans="2:10" x14ac:dyDescent="0.25">
      <c r="B411" s="59"/>
      <c r="C411" s="59"/>
      <c r="D411" s="71"/>
      <c r="E411" s="60"/>
      <c r="F411" s="59"/>
      <c r="G411" s="72"/>
      <c r="H411" s="59"/>
      <c r="I411" s="22" t="str">
        <f>IF(D411&lt;&gt;"",VLOOKUP(E411,Constants!$D$3:$E$10,2),"")</f>
        <v/>
      </c>
      <c r="J411" s="76"/>
    </row>
    <row r="412" spans="2:10" x14ac:dyDescent="0.25">
      <c r="B412" s="59"/>
      <c r="C412" s="59"/>
      <c r="D412" s="71"/>
      <c r="E412" s="60"/>
      <c r="F412" s="59"/>
      <c r="G412" s="72"/>
      <c r="H412" s="59"/>
      <c r="I412" s="22" t="str">
        <f>IF(D412&lt;&gt;"",VLOOKUP(E412,Constants!$D$3:$E$10,2),"")</f>
        <v/>
      </c>
      <c r="J412" s="76"/>
    </row>
    <row r="413" spans="2:10" x14ac:dyDescent="0.25">
      <c r="B413" s="59"/>
      <c r="C413" s="59"/>
      <c r="D413" s="71"/>
      <c r="E413" s="60"/>
      <c r="F413" s="59"/>
      <c r="G413" s="72"/>
      <c r="H413" s="59"/>
      <c r="I413" s="22" t="str">
        <f>IF(D413&lt;&gt;"",VLOOKUP(E413,Constants!$D$3:$E$10,2),"")</f>
        <v/>
      </c>
      <c r="J413" s="76"/>
    </row>
    <row r="414" spans="2:10" x14ac:dyDescent="0.25">
      <c r="B414" s="59"/>
      <c r="C414" s="59"/>
      <c r="D414" s="71"/>
      <c r="E414" s="60"/>
      <c r="F414" s="59"/>
      <c r="G414" s="72"/>
      <c r="H414" s="59"/>
      <c r="I414" s="22" t="str">
        <f>IF(D414&lt;&gt;"",VLOOKUP(E414,Constants!$D$3:$E$10,2),"")</f>
        <v/>
      </c>
      <c r="J414" s="76"/>
    </row>
    <row r="415" spans="2:10" x14ac:dyDescent="0.25">
      <c r="B415" s="59"/>
      <c r="C415" s="59"/>
      <c r="D415" s="71"/>
      <c r="E415" s="60"/>
      <c r="F415" s="59"/>
      <c r="G415" s="72"/>
      <c r="H415" s="59"/>
      <c r="I415" s="22" t="str">
        <f>IF(D415&lt;&gt;"",VLOOKUP(E415,Constants!$D$3:$E$10,2),"")</f>
        <v/>
      </c>
      <c r="J415" s="76"/>
    </row>
    <row r="416" spans="2:10" x14ac:dyDescent="0.25">
      <c r="B416" s="59"/>
      <c r="C416" s="59"/>
      <c r="D416" s="71"/>
      <c r="E416" s="60"/>
      <c r="F416" s="59"/>
      <c r="G416" s="72"/>
      <c r="H416" s="59"/>
      <c r="I416" s="22" t="str">
        <f>IF(D416&lt;&gt;"",VLOOKUP(E416,Constants!$D$3:$E$10,2),"")</f>
        <v/>
      </c>
      <c r="J416" s="76"/>
    </row>
    <row r="417" spans="2:10" x14ac:dyDescent="0.25">
      <c r="B417" s="59"/>
      <c r="C417" s="59"/>
      <c r="D417" s="71"/>
      <c r="E417" s="60"/>
      <c r="F417" s="59"/>
      <c r="G417" s="72"/>
      <c r="H417" s="59"/>
      <c r="I417" s="22" t="str">
        <f>IF(D417&lt;&gt;"",VLOOKUP(E417,Constants!$D$3:$E$10,2),"")</f>
        <v/>
      </c>
      <c r="J417" s="76"/>
    </row>
    <row r="418" spans="2:10" x14ac:dyDescent="0.25">
      <c r="B418" s="59"/>
      <c r="C418" s="59"/>
      <c r="D418" s="71"/>
      <c r="E418" s="60"/>
      <c r="F418" s="59"/>
      <c r="G418" s="72"/>
      <c r="H418" s="59"/>
      <c r="I418" s="22" t="str">
        <f>IF(D418&lt;&gt;"",VLOOKUP(E418,Constants!$D$3:$E$10,2),"")</f>
        <v/>
      </c>
      <c r="J418" s="76"/>
    </row>
    <row r="419" spans="2:10" x14ac:dyDescent="0.25">
      <c r="B419" s="59"/>
      <c r="C419" s="59"/>
      <c r="D419" s="71"/>
      <c r="E419" s="60"/>
      <c r="F419" s="59"/>
      <c r="G419" s="72"/>
      <c r="H419" s="59"/>
      <c r="I419" s="22" t="str">
        <f>IF(D419&lt;&gt;"",VLOOKUP(E419,Constants!$D$3:$E$10,2),"")</f>
        <v/>
      </c>
      <c r="J419" s="76"/>
    </row>
    <row r="420" spans="2:10" x14ac:dyDescent="0.25">
      <c r="B420" s="59"/>
      <c r="C420" s="59"/>
      <c r="D420" s="71"/>
      <c r="E420" s="60"/>
      <c r="F420" s="59"/>
      <c r="G420" s="72"/>
      <c r="H420" s="59"/>
      <c r="I420" s="22" t="str">
        <f>IF(D420&lt;&gt;"",VLOOKUP(E420,Constants!$D$3:$E$10,2),"")</f>
        <v/>
      </c>
      <c r="J420" s="76"/>
    </row>
    <row r="421" spans="2:10" x14ac:dyDescent="0.25">
      <c r="B421" s="59"/>
      <c r="C421" s="59"/>
      <c r="D421" s="71"/>
      <c r="E421" s="60"/>
      <c r="F421" s="59"/>
      <c r="G421" s="72"/>
      <c r="H421" s="59"/>
      <c r="I421" s="22" t="str">
        <f>IF(D421&lt;&gt;"",VLOOKUP(E421,Constants!$D$3:$E$10,2),"")</f>
        <v/>
      </c>
      <c r="J421" s="76"/>
    </row>
    <row r="422" spans="2:10" x14ac:dyDescent="0.25">
      <c r="B422" s="59"/>
      <c r="C422" s="59"/>
      <c r="D422" s="71"/>
      <c r="E422" s="60"/>
      <c r="F422" s="59"/>
      <c r="G422" s="72"/>
      <c r="H422" s="59"/>
      <c r="I422" s="22" t="str">
        <f>IF(D422&lt;&gt;"",VLOOKUP(E422,Constants!$D$3:$E$10,2),"")</f>
        <v/>
      </c>
      <c r="J422" s="76"/>
    </row>
    <row r="423" spans="2:10" x14ac:dyDescent="0.25">
      <c r="B423" s="59"/>
      <c r="C423" s="59"/>
      <c r="D423" s="71"/>
      <c r="E423" s="60"/>
      <c r="F423" s="59"/>
      <c r="G423" s="72"/>
      <c r="H423" s="59"/>
      <c r="I423" s="22" t="str">
        <f>IF(D423&lt;&gt;"",VLOOKUP(E423,Constants!$D$3:$E$10,2),"")</f>
        <v/>
      </c>
      <c r="J423" s="76"/>
    </row>
    <row r="424" spans="2:10" x14ac:dyDescent="0.25">
      <c r="B424" s="59"/>
      <c r="C424" s="59"/>
      <c r="D424" s="71"/>
      <c r="E424" s="60"/>
      <c r="F424" s="59"/>
      <c r="G424" s="72"/>
      <c r="H424" s="59"/>
      <c r="I424" s="22" t="str">
        <f>IF(D424&lt;&gt;"",VLOOKUP(E424,Constants!$D$3:$E$10,2),"")</f>
        <v/>
      </c>
      <c r="J424" s="76"/>
    </row>
    <row r="425" spans="2:10" x14ac:dyDescent="0.25">
      <c r="B425" s="59"/>
      <c r="C425" s="59"/>
      <c r="D425" s="71"/>
      <c r="E425" s="60"/>
      <c r="F425" s="59"/>
      <c r="G425" s="72"/>
      <c r="H425" s="59"/>
      <c r="I425" s="22" t="str">
        <f>IF(D425&lt;&gt;"",VLOOKUP(E425,Constants!$D$3:$E$10,2),"")</f>
        <v/>
      </c>
      <c r="J425" s="76"/>
    </row>
    <row r="426" spans="2:10" x14ac:dyDescent="0.25">
      <c r="B426" s="59"/>
      <c r="C426" s="59"/>
      <c r="D426" s="71"/>
      <c r="E426" s="60"/>
      <c r="F426" s="59"/>
      <c r="G426" s="72"/>
      <c r="H426" s="59"/>
      <c r="I426" s="22" t="str">
        <f>IF(D426&lt;&gt;"",VLOOKUP(E426,Constants!$D$3:$E$10,2),"")</f>
        <v/>
      </c>
      <c r="J426" s="76"/>
    </row>
    <row r="427" spans="2:10" x14ac:dyDescent="0.25">
      <c r="B427" s="59"/>
      <c r="C427" s="59"/>
      <c r="D427" s="71"/>
      <c r="E427" s="60"/>
      <c r="F427" s="59"/>
      <c r="G427" s="72"/>
      <c r="H427" s="59"/>
      <c r="I427" s="22" t="str">
        <f>IF(D427&lt;&gt;"",VLOOKUP(E427,Constants!$D$3:$E$10,2),"")</f>
        <v/>
      </c>
      <c r="J427" s="76"/>
    </row>
    <row r="428" spans="2:10" x14ac:dyDescent="0.25">
      <c r="B428" s="59"/>
      <c r="C428" s="59"/>
      <c r="D428" s="71"/>
      <c r="E428" s="60"/>
      <c r="F428" s="59"/>
      <c r="G428" s="72"/>
      <c r="H428" s="59"/>
      <c r="I428" s="22" t="str">
        <f>IF(D428&lt;&gt;"",VLOOKUP(E428,Constants!$D$3:$E$10,2),"")</f>
        <v/>
      </c>
      <c r="J428" s="76"/>
    </row>
    <row r="429" spans="2:10" x14ac:dyDescent="0.25">
      <c r="B429" s="59"/>
      <c r="C429" s="59"/>
      <c r="D429" s="71"/>
      <c r="E429" s="60"/>
      <c r="F429" s="59"/>
      <c r="G429" s="72"/>
      <c r="H429" s="59"/>
      <c r="I429" s="22" t="str">
        <f>IF(D429&lt;&gt;"",VLOOKUP(E429,Constants!$D$3:$E$10,2),"")</f>
        <v/>
      </c>
      <c r="J429" s="76"/>
    </row>
    <row r="430" spans="2:10" x14ac:dyDescent="0.25">
      <c r="B430" s="59"/>
      <c r="C430" s="59"/>
      <c r="D430" s="71"/>
      <c r="E430" s="60"/>
      <c r="F430" s="59"/>
      <c r="G430" s="72"/>
      <c r="H430" s="59"/>
      <c r="I430" s="22" t="str">
        <f>IF(D430&lt;&gt;"",VLOOKUP(E430,Constants!$D$3:$E$10,2),"")</f>
        <v/>
      </c>
      <c r="J430" s="76"/>
    </row>
    <row r="431" spans="2:10" x14ac:dyDescent="0.25">
      <c r="B431" s="59"/>
      <c r="C431" s="59"/>
      <c r="D431" s="71"/>
      <c r="E431" s="60"/>
      <c r="F431" s="59"/>
      <c r="G431" s="72"/>
      <c r="H431" s="59"/>
      <c r="I431" s="22" t="str">
        <f>IF(D431&lt;&gt;"",VLOOKUP(E431,Constants!$D$3:$E$10,2),"")</f>
        <v/>
      </c>
      <c r="J431" s="76"/>
    </row>
    <row r="432" spans="2:10" x14ac:dyDescent="0.25">
      <c r="B432" s="59"/>
      <c r="C432" s="59"/>
      <c r="D432" s="71"/>
      <c r="E432" s="60"/>
      <c r="F432" s="59"/>
      <c r="G432" s="72"/>
      <c r="H432" s="59"/>
      <c r="I432" s="22" t="str">
        <f>IF(D432&lt;&gt;"",VLOOKUP(E432,Constants!$D$3:$E$10,2),"")</f>
        <v/>
      </c>
      <c r="J432" s="76"/>
    </row>
    <row r="433" spans="2:10" x14ac:dyDescent="0.25">
      <c r="B433" s="59"/>
      <c r="C433" s="59"/>
      <c r="D433" s="71"/>
      <c r="E433" s="60"/>
      <c r="F433" s="59"/>
      <c r="G433" s="72"/>
      <c r="H433" s="59"/>
      <c r="I433" s="22" t="str">
        <f>IF(D433&lt;&gt;"",VLOOKUP(E433,Constants!$D$3:$E$10,2),"")</f>
        <v/>
      </c>
      <c r="J433" s="76"/>
    </row>
    <row r="434" spans="2:10" x14ac:dyDescent="0.25">
      <c r="B434" s="59"/>
      <c r="C434" s="59"/>
      <c r="D434" s="71"/>
      <c r="E434" s="60"/>
      <c r="F434" s="59"/>
      <c r="G434" s="72"/>
      <c r="H434" s="59"/>
      <c r="I434" s="22" t="str">
        <f>IF(D434&lt;&gt;"",VLOOKUP(E434,Constants!$D$3:$E$10,2),"")</f>
        <v/>
      </c>
      <c r="J434" s="76"/>
    </row>
    <row r="435" spans="2:10" x14ac:dyDescent="0.25">
      <c r="B435" s="59"/>
      <c r="C435" s="59"/>
      <c r="D435" s="71"/>
      <c r="E435" s="60"/>
      <c r="F435" s="59"/>
      <c r="G435" s="72"/>
      <c r="H435" s="59"/>
      <c r="I435" s="22" t="str">
        <f>IF(D435&lt;&gt;"",VLOOKUP(E435,Constants!$D$3:$E$10,2),"")</f>
        <v/>
      </c>
      <c r="J435" s="76"/>
    </row>
    <row r="436" spans="2:10" x14ac:dyDescent="0.25">
      <c r="B436" s="59"/>
      <c r="C436" s="59"/>
      <c r="D436" s="71"/>
      <c r="E436" s="60"/>
      <c r="F436" s="59"/>
      <c r="G436" s="72"/>
      <c r="H436" s="59"/>
      <c r="I436" s="22" t="str">
        <f>IF(D436&lt;&gt;"",VLOOKUP(E436,Constants!$D$3:$E$10,2),"")</f>
        <v/>
      </c>
      <c r="J436" s="76"/>
    </row>
    <row r="437" spans="2:10" x14ac:dyDescent="0.25">
      <c r="B437" s="59"/>
      <c r="C437" s="59"/>
      <c r="D437" s="71"/>
      <c r="E437" s="60"/>
      <c r="F437" s="59"/>
      <c r="G437" s="72"/>
      <c r="H437" s="59"/>
      <c r="I437" s="22" t="str">
        <f>IF(D437&lt;&gt;"",VLOOKUP(E437,Constants!$D$3:$E$10,2),"")</f>
        <v/>
      </c>
      <c r="J437" s="76"/>
    </row>
    <row r="438" spans="2:10" x14ac:dyDescent="0.25">
      <c r="B438" s="59"/>
      <c r="C438" s="59"/>
      <c r="D438" s="71"/>
      <c r="E438" s="60"/>
      <c r="F438" s="59"/>
      <c r="G438" s="72"/>
      <c r="H438" s="59"/>
      <c r="I438" s="22" t="str">
        <f>IF(D438&lt;&gt;"",VLOOKUP(E438,Constants!$D$3:$E$10,2),"")</f>
        <v/>
      </c>
      <c r="J438" s="76"/>
    </row>
    <row r="439" spans="2:10" x14ac:dyDescent="0.25">
      <c r="B439" s="59"/>
      <c r="C439" s="59"/>
      <c r="D439" s="71"/>
      <c r="E439" s="60"/>
      <c r="F439" s="59"/>
      <c r="G439" s="72"/>
      <c r="H439" s="59"/>
      <c r="I439" s="22" t="str">
        <f>IF(D439&lt;&gt;"",VLOOKUP(E439,Constants!$D$3:$E$10,2),"")</f>
        <v/>
      </c>
      <c r="J439" s="76"/>
    </row>
    <row r="440" spans="2:10" x14ac:dyDescent="0.25">
      <c r="B440" s="59"/>
      <c r="C440" s="59"/>
      <c r="D440" s="71"/>
      <c r="E440" s="60"/>
      <c r="F440" s="59"/>
      <c r="G440" s="72"/>
      <c r="H440" s="59"/>
      <c r="I440" s="22" t="str">
        <f>IF(D440&lt;&gt;"",VLOOKUP(E440,Constants!$D$3:$E$10,2),"")</f>
        <v/>
      </c>
      <c r="J440" s="76"/>
    </row>
    <row r="441" spans="2:10" x14ac:dyDescent="0.25">
      <c r="B441" s="59"/>
      <c r="C441" s="59"/>
      <c r="D441" s="71"/>
      <c r="E441" s="60"/>
      <c r="F441" s="59"/>
      <c r="G441" s="72"/>
      <c r="H441" s="59"/>
      <c r="I441" s="22" t="str">
        <f>IF(D441&lt;&gt;"",VLOOKUP(E441,Constants!$D$3:$E$10,2),"")</f>
        <v/>
      </c>
      <c r="J441" s="76"/>
    </row>
    <row r="442" spans="2:10" x14ac:dyDescent="0.25">
      <c r="B442" s="59"/>
      <c r="C442" s="59"/>
      <c r="D442" s="71"/>
      <c r="E442" s="60"/>
      <c r="F442" s="59"/>
      <c r="G442" s="72"/>
      <c r="H442" s="59"/>
      <c r="I442" s="22" t="str">
        <f>IF(D442&lt;&gt;"",VLOOKUP(E442,Constants!$D$3:$E$10,2),"")</f>
        <v/>
      </c>
      <c r="J442" s="34"/>
    </row>
    <row r="443" spans="2:10" x14ac:dyDescent="0.25">
      <c r="B443" s="59"/>
      <c r="C443" s="59"/>
      <c r="D443" s="71"/>
      <c r="E443" s="60"/>
      <c r="F443" s="59"/>
      <c r="G443" s="72"/>
      <c r="H443" s="59"/>
      <c r="I443" s="22" t="str">
        <f>IF(D443&lt;&gt;"",VLOOKUP(E443,Constants!$D$3:$E$10,2),"")</f>
        <v/>
      </c>
      <c r="J443" s="34"/>
    </row>
    <row r="444" spans="2:10" x14ac:dyDescent="0.25">
      <c r="B444" s="59"/>
      <c r="C444" s="59"/>
      <c r="D444" s="71"/>
      <c r="E444" s="60"/>
      <c r="F444" s="59"/>
      <c r="G444" s="72"/>
      <c r="H444" s="59"/>
      <c r="I444" s="22" t="str">
        <f>IF(D444&lt;&gt;"",VLOOKUP(E444,Constants!$D$3:$E$10,2),"")</f>
        <v/>
      </c>
      <c r="J444" s="34"/>
    </row>
    <row r="445" spans="2:10" x14ac:dyDescent="0.25">
      <c r="B445" s="59"/>
      <c r="C445" s="59"/>
      <c r="D445" s="71"/>
      <c r="E445" s="60"/>
      <c r="F445" s="59"/>
      <c r="G445" s="72"/>
      <c r="H445" s="59"/>
      <c r="I445" s="22" t="str">
        <f>IF(D445&lt;&gt;"",VLOOKUP(E445,Constants!$D$3:$E$10,2),"")</f>
        <v/>
      </c>
      <c r="J445" s="34"/>
    </row>
    <row r="446" spans="2:10" x14ac:dyDescent="0.25">
      <c r="B446" s="59"/>
      <c r="C446" s="59"/>
      <c r="D446" s="71"/>
      <c r="E446" s="60"/>
      <c r="F446" s="59"/>
      <c r="G446" s="72"/>
      <c r="H446" s="59"/>
      <c r="I446" s="22" t="str">
        <f>IF(D446&lt;&gt;"",VLOOKUP(E446,Constants!$D$3:$E$10,2),"")</f>
        <v/>
      </c>
      <c r="J446" s="34"/>
    </row>
    <row r="447" spans="2:10" x14ac:dyDescent="0.25">
      <c r="B447" s="59"/>
      <c r="C447" s="59"/>
      <c r="D447" s="71"/>
      <c r="E447" s="60"/>
      <c r="F447" s="59"/>
      <c r="G447" s="72"/>
      <c r="H447" s="59"/>
      <c r="I447" s="22" t="str">
        <f>IF(D447&lt;&gt;"",VLOOKUP(E447,Constants!$D$3:$E$10,2),"")</f>
        <v/>
      </c>
      <c r="J447" s="34"/>
    </row>
    <row r="448" spans="2:10" x14ac:dyDescent="0.25">
      <c r="B448" s="59"/>
      <c r="C448" s="59"/>
      <c r="D448" s="71"/>
      <c r="E448" s="60"/>
      <c r="F448" s="59"/>
      <c r="G448" s="72"/>
      <c r="H448" s="59"/>
      <c r="I448" s="22" t="str">
        <f>IF(D448&lt;&gt;"",VLOOKUP(E448,Constants!$D$3:$E$10,2),"")</f>
        <v/>
      </c>
      <c r="J448" s="34"/>
    </row>
    <row r="449" spans="2:10" x14ac:dyDescent="0.25">
      <c r="B449" s="59"/>
      <c r="C449" s="59"/>
      <c r="D449" s="71"/>
      <c r="E449" s="60"/>
      <c r="F449" s="59"/>
      <c r="G449" s="72"/>
      <c r="H449" s="59"/>
      <c r="I449" s="22" t="str">
        <f>IF(D449&lt;&gt;"",VLOOKUP(E449,Constants!$D$3:$E$10,2),"")</f>
        <v/>
      </c>
      <c r="J449" s="34"/>
    </row>
  </sheetData>
  <sheetProtection sheet="1" objects="1" scenarios="1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F91CF8-8989-4436-8D13-6935B2914D5E}">
          <x14:formula1>
            <xm:f>Constants!$H$3:$H$16</xm:f>
          </x14:formula1>
          <xm:sqref>H2:H1048576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28D5D-6CF9-451C-83FC-62D4123AE5F8}">
  <sheetPr codeName="Full4"/>
  <dimension ref="B1:T27"/>
  <sheetViews>
    <sheetView topLeftCell="C1" workbookViewId="0">
      <selection activeCell="N9" sqref="N9"/>
    </sheetView>
  </sheetViews>
  <sheetFormatPr defaultColWidth="11.5703125" defaultRowHeight="15" x14ac:dyDescent="0.25"/>
  <cols>
    <col min="2" max="2" width="23.28515625" customWidth="1"/>
    <col min="3" max="3" width="19.7109375" customWidth="1"/>
    <col min="4" max="11" width="16.7109375" customWidth="1"/>
    <col min="12" max="12" width="18.42578125" customWidth="1"/>
    <col min="13" max="13" width="22.140625" customWidth="1"/>
    <col min="14" max="14" width="21.140625" customWidth="1"/>
    <col min="15" max="18" width="16.7109375" customWidth="1"/>
  </cols>
  <sheetData>
    <row r="1" spans="2:20" x14ac:dyDescent="0.25">
      <c r="B1" s="41" t="s">
        <v>209</v>
      </c>
    </row>
    <row r="2" spans="2:20" x14ac:dyDescent="0.25">
      <c r="B2" s="3" t="s">
        <v>208</v>
      </c>
      <c r="C2" s="3" t="s">
        <v>118</v>
      </c>
      <c r="D2" s="3" t="s">
        <v>103</v>
      </c>
    </row>
    <row r="3" spans="2:20" x14ac:dyDescent="0.25">
      <c r="B3" s="27" t="str">
        <f>'Definició setup'!C4</f>
        <v>Matricial</v>
      </c>
      <c r="C3" s="27" t="str">
        <f>'Definició setup'!C5</f>
        <v>Mono</v>
      </c>
      <c r="D3" s="27">
        <f>'Definició setup'!$C$19</f>
        <v>4</v>
      </c>
    </row>
    <row r="6" spans="2:20" ht="45" x14ac:dyDescent="0.25">
      <c r="B6" s="3" t="s">
        <v>89</v>
      </c>
      <c r="C6" s="3" t="str">
        <f>B7</f>
        <v>Distancia a objectiu (des de PE)</v>
      </c>
      <c r="D6" s="3" t="str">
        <f>B8</f>
        <v>Dimensió en x</v>
      </c>
      <c r="E6" s="3" t="s">
        <v>98</v>
      </c>
      <c r="F6" s="3" t="s">
        <v>99</v>
      </c>
      <c r="G6" s="24" t="s">
        <v>100</v>
      </c>
      <c r="H6" s="24" t="s">
        <v>101</v>
      </c>
      <c r="I6" s="24" t="s">
        <v>102</v>
      </c>
      <c r="J6" s="24" t="s">
        <v>104</v>
      </c>
      <c r="K6" s="24" t="s">
        <v>117</v>
      </c>
      <c r="L6" s="24" t="s">
        <v>122</v>
      </c>
      <c r="M6" s="24" t="s">
        <v>120</v>
      </c>
      <c r="N6" s="24" t="s">
        <v>123</v>
      </c>
      <c r="O6" s="24" t="s">
        <v>124</v>
      </c>
    </row>
    <row r="7" spans="2:20" x14ac:dyDescent="0.25">
      <c r="B7" s="27" t="str">
        <f>Constants!F3</f>
        <v>Distancia a objectiu (des de PE)</v>
      </c>
      <c r="C7" s="11">
        <f>'Definició setup'!C24</f>
        <v>920</v>
      </c>
      <c r="D7" s="11" t="e">
        <f>IF(C7&lt;&gt;"",L14*(C7)/D19,"")</f>
        <v>#VALUE!</v>
      </c>
      <c r="E7" s="10" t="e">
        <f>IF(D7&lt;&gt;0,D7/$L$14*$M$14,"")</f>
        <v>#VALUE!</v>
      </c>
      <c r="F7" s="25" t="e">
        <f>IF(D7&lt;&gt;0,-$L$14/D7,"")</f>
        <v>#VALUE!</v>
      </c>
      <c r="G7" s="10" t="e">
        <f>IF($C$7&lt;&gt;0,SQRT($C7^2+($D7^2+$E7^2)/4)-$C7,"")</f>
        <v>#VALUE!</v>
      </c>
      <c r="H7" s="10" t="e">
        <f>IF($C$7&lt;&gt;0,$E$14/$D7,"")</f>
        <v>#VALUE!</v>
      </c>
      <c r="I7" s="26" t="e">
        <f>IF($C$7&lt;&gt;0,1.5*$D$14*0.001,"")</f>
        <v>#VALUE!</v>
      </c>
      <c r="J7" s="11" t="e">
        <f>IF($C$7&lt;&gt;0,2*$C7^2*$D$3*I7/($D$19^2),"")</f>
        <v>#VALUE!</v>
      </c>
      <c r="K7" s="11" t="e">
        <f>IF($C$7&lt;&gt;"",2*$C7^2*$D$3*J7/($D$19^2),"")</f>
        <v>#VALUE!</v>
      </c>
      <c r="L7" s="11" t="e">
        <f>$D$19*$D$19/($F$19-$D$19)</f>
        <v>#N/A</v>
      </c>
      <c r="M7" s="11" t="e">
        <f>$D$19*$D$19/(C7-$D$19)</f>
        <v>#N/A</v>
      </c>
      <c r="N7" s="11" t="e">
        <f>M7-L7</f>
        <v>#N/A</v>
      </c>
      <c r="O7" s="11" t="e">
        <f>M7</f>
        <v>#N/A</v>
      </c>
    </row>
    <row r="8" spans="2:20" x14ac:dyDescent="0.25">
      <c r="B8" s="27" t="str">
        <f>Constants!F4</f>
        <v>Dimensió en x</v>
      </c>
      <c r="C8" s="11" t="e">
        <f>IF(D8&lt;&gt;"",D19/L14*D8,"")</f>
        <v>#N/A</v>
      </c>
      <c r="D8" s="11">
        <f>'Definició setup'!C24</f>
        <v>920</v>
      </c>
      <c r="E8" s="11" t="e">
        <f>IF(D8&lt;&gt;0,D8/$L$14*$M$14,"")</f>
        <v>#VALUE!</v>
      </c>
      <c r="F8" s="25" t="e">
        <f>IF(D8&lt;&gt;0,-$L$14/D8,"")</f>
        <v>#VALUE!</v>
      </c>
      <c r="G8" s="10" t="e">
        <f>IF($C$7&lt;&gt;0,SQRT($C8^2+($D8^2+$E8^2)/4)-$C8,"")</f>
        <v>#N/A</v>
      </c>
      <c r="H8" s="10" t="e">
        <f>IF($C$7&lt;&gt;0,$E$14/$D8,"")</f>
        <v>#VALUE!</v>
      </c>
      <c r="I8" s="26" t="e">
        <f>IF($C$7&lt;&gt;0,1.5*$D$14*0.001,"")</f>
        <v>#VALUE!</v>
      </c>
      <c r="J8" s="11" t="e">
        <f>IF($C$7&lt;&gt;0,2*$C8^2*$D$3*I8/($D$19^2),"")</f>
        <v>#N/A</v>
      </c>
      <c r="K8" s="11" t="e">
        <f>IF($C$7&lt;&gt;0,2*$C8^2*$D$3*J8/($D$19^2),"")</f>
        <v>#N/A</v>
      </c>
      <c r="L8" s="11" t="e">
        <f>$D$19*$D$19/($F$19-$D$19)</f>
        <v>#N/A</v>
      </c>
      <c r="M8" s="11" t="e">
        <f t="shared" ref="M8:M9" si="0">$D$19*$D$19/(C8-$D$19)</f>
        <v>#N/A</v>
      </c>
      <c r="N8" s="11" t="e">
        <f>M8-L8</f>
        <v>#N/A</v>
      </c>
      <c r="O8" s="11" t="e">
        <f>M8</f>
        <v>#N/A</v>
      </c>
    </row>
    <row r="9" spans="2:20" x14ac:dyDescent="0.25">
      <c r="B9" s="27" t="s">
        <v>107</v>
      </c>
      <c r="C9" s="11">
        <f>IF('Definició setup'!$C$23=$B$7,C7,C8)</f>
        <v>920</v>
      </c>
      <c r="D9" s="11" t="e">
        <f>IF('Definició setup'!$C$23=$B$7,D7,D8)</f>
        <v>#VALUE!</v>
      </c>
      <c r="E9" s="11" t="e">
        <f>IF('Definició setup'!$C$23=$B$7,E7,E8)</f>
        <v>#VALUE!</v>
      </c>
      <c r="F9" s="25" t="e">
        <f>IF('Definició setup'!$C$23=$B$7,F7,F8)</f>
        <v>#VALUE!</v>
      </c>
      <c r="G9" s="10" t="e">
        <f>IF('Definició setup'!$C$23=$B$7,G7,G8)</f>
        <v>#VALUE!</v>
      </c>
      <c r="H9" s="10" t="e">
        <f>IF('Definició setup'!$C$23=$B$7,H7,H8)</f>
        <v>#VALUE!</v>
      </c>
      <c r="I9" s="26" t="e">
        <f>IF('Definició setup'!$C$23=$B$7,I7,I8)</f>
        <v>#VALUE!</v>
      </c>
      <c r="J9" s="11" t="e">
        <f>IF('Definició setup'!$C$23=$B$7,J7,J8)</f>
        <v>#VALUE!</v>
      </c>
      <c r="K9" s="11" t="e">
        <f>IF('Definició setup'!$C$23=$B$7,K7,K8)</f>
        <v>#VALUE!</v>
      </c>
      <c r="L9" s="11" t="e">
        <f>$D$19*$D$19/($F$19-$D$19)</f>
        <v>#N/A</v>
      </c>
      <c r="M9" s="11" t="e">
        <f t="shared" si="0"/>
        <v>#N/A</v>
      </c>
      <c r="N9" s="11" t="e">
        <f>M9-L9</f>
        <v>#N/A</v>
      </c>
      <c r="O9" s="11" t="e">
        <f>M9</f>
        <v>#N/A</v>
      </c>
    </row>
    <row r="12" spans="2:20" ht="15" customHeight="1" x14ac:dyDescent="0.25">
      <c r="B12" s="127" t="s">
        <v>96</v>
      </c>
      <c r="C12" s="128"/>
      <c r="D12" s="128"/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</row>
    <row r="13" spans="2:20" ht="45" x14ac:dyDescent="0.25">
      <c r="B13" s="2" t="str">
        <f>'Filtre Cameres'!B1</f>
        <v>Model</v>
      </c>
      <c r="C13" s="2" t="str">
        <f>'Filtre Cameres'!C1</f>
        <v>Descripció</v>
      </c>
      <c r="D13" s="2" t="str">
        <f>'Filtre Cameres'!D1</f>
        <v>Pixel size (μm)</v>
      </c>
      <c r="E13" s="2" t="str">
        <f>'Filtre Cameres'!E1</f>
        <v>Pixels width</v>
      </c>
      <c r="F13" s="2" t="str">
        <f>'Filtre Cameres'!F1</f>
        <v>Pixels height</v>
      </c>
      <c r="G13" s="2" t="str">
        <f>'Filtre Cameres'!G1</f>
        <v>Frames per second</v>
      </c>
      <c r="H13" s="2" t="str">
        <f>'Filtre Cameres'!H1</f>
        <v>Sensor Type</v>
      </c>
      <c r="I13" s="2" t="str">
        <f>'Filtre Cameres'!I1</f>
        <v>Sensor Color</v>
      </c>
      <c r="J13" s="2" t="str">
        <f>'Filtre Cameres'!J1</f>
        <v>Lens Mount</v>
      </c>
      <c r="K13" s="2" t="str">
        <f>'Filtre Cameres'!K1</f>
        <v>Mean quantum efficiency (%)</v>
      </c>
      <c r="L13" s="2" t="str">
        <f>'Filtre Cameres'!L1</f>
        <v>Sensor width (mm)</v>
      </c>
      <c r="M13" s="2" t="str">
        <f>'Filtre Cameres'!M1</f>
        <v>Sensor height (mm)</v>
      </c>
      <c r="N13" s="2" t="str">
        <f>'Filtre Cameres'!N1</f>
        <v>Sensor diagonal (mm)</v>
      </c>
      <c r="O13" s="2" t="str">
        <f>'Filtre Cameres'!O1</f>
        <v>Sensor Nyquist limit (lp/mm)</v>
      </c>
      <c r="P13" s="2" t="str">
        <f>'Filtre Cameres'!P1</f>
        <v>Calculated sensor format (inches)</v>
      </c>
      <c r="Q13" s="2" t="str">
        <f>'Filtre Cameres'!Q1</f>
        <v>Resolution (MP)</v>
      </c>
      <c r="R13" s="2" t="str">
        <f>'Filtre Cameres'!R1</f>
        <v>Total readout time (ms)</v>
      </c>
      <c r="S13" s="2" t="str">
        <f>'Filtre Cameres'!S1</f>
        <v>Readout speed (Mpx/s)</v>
      </c>
      <c r="T13" s="2" t="str">
        <f>'Filtre Cameres'!T1</f>
        <v>Sensor Format</v>
      </c>
    </row>
    <row r="14" spans="2:20" x14ac:dyDescent="0.25">
      <c r="B14" s="27" t="str">
        <f>IF('Definició setup'!$C$6&lt;&gt;"",VLOOKUP('Definició setup'!$C$6,'Filtre Cameres'!$B$2:$T$65,B27,FALSE),"")</f>
        <v/>
      </c>
      <c r="C14" s="27" t="str">
        <f>IF('Definició setup'!$C$6&lt;&gt;"",VLOOKUP('Definició setup'!$C$6,'Filtre Cameres'!$B$2:$T$65,C27,FALSE),"")</f>
        <v/>
      </c>
      <c r="D14" s="27" t="str">
        <f>IF('Definició setup'!$C$6&lt;&gt;"",VLOOKUP('Definició setup'!$C$6,'Filtre Cameres'!$B$2:$T$65,D27,FALSE),"")</f>
        <v/>
      </c>
      <c r="E14" s="27" t="str">
        <f>IF('Definició setup'!$C$6&lt;&gt;"",VLOOKUP('Definició setup'!$C$6,'Filtre Cameres'!$B$2:$T$65,E27,FALSE),"")</f>
        <v/>
      </c>
      <c r="F14" s="27" t="str">
        <f>IF('Definició setup'!$C$6&lt;&gt;"",VLOOKUP('Definició setup'!$C$6,'Filtre Cameres'!$B$2:$T$65,F27,FALSE),"")</f>
        <v/>
      </c>
      <c r="G14" s="27" t="str">
        <f>IF('Definició setup'!$C$6&lt;&gt;"",VLOOKUP('Definició setup'!$C$6,'Filtre Cameres'!$B$2:$T$65,G27,FALSE),"")</f>
        <v/>
      </c>
      <c r="H14" s="27" t="str">
        <f>IF('Definició setup'!$C$6&lt;&gt;"",VLOOKUP('Definició setup'!$C$6,'Filtre Cameres'!$B$2:$T$65,H27,FALSE),"")</f>
        <v/>
      </c>
      <c r="I14" s="27" t="str">
        <f>IF('Definició setup'!$C$6&lt;&gt;"",VLOOKUP('Definició setup'!$C$6,'Filtre Cameres'!$B$2:$T$65,I27,FALSE),"")</f>
        <v/>
      </c>
      <c r="J14" s="27" t="str">
        <f>IF('Definició setup'!$C$6&lt;&gt;"",VLOOKUP('Definició setup'!$C$6,'Filtre Cameres'!$B$2:$T$65,J27,FALSE),"")</f>
        <v/>
      </c>
      <c r="K14" s="27" t="str">
        <f>IF('Definició setup'!$C$6&lt;&gt;"",VLOOKUP('Definició setup'!$C$6,'Filtre Cameres'!$B$2:$T$65,K27,FALSE),"")</f>
        <v/>
      </c>
      <c r="L14" s="27" t="str">
        <f>IF('Definició setup'!$C$6&lt;&gt;"",VLOOKUP('Definició setup'!$C$6,'Filtre Cameres'!$B$2:$T$65,L27,FALSE),"")</f>
        <v/>
      </c>
      <c r="M14" s="27" t="str">
        <f>IF('Definició setup'!$C$6&lt;&gt;"",VLOOKUP('Definició setup'!$C$6,'Filtre Cameres'!$B$2:$T$65,M27,FALSE),"")</f>
        <v/>
      </c>
      <c r="N14" s="27" t="str">
        <f>IF('Definició setup'!$C$6&lt;&gt;"",VLOOKUP('Definició setup'!$C$6,'Filtre Cameres'!$B$2:$T$65,N27,FALSE),"")</f>
        <v/>
      </c>
      <c r="O14" s="27" t="str">
        <f>IF('Definició setup'!$C$6&lt;&gt;"",VLOOKUP('Definició setup'!$C$6,'Filtre Cameres'!$B$2:$T$65,O27,FALSE),"")</f>
        <v/>
      </c>
      <c r="P14" s="27" t="str">
        <f>IF('Definició setup'!$C$6&lt;&gt;"",VLOOKUP('Definició setup'!$C$6,'Filtre Cameres'!$B$2:$T$65,P27,FALSE),"")</f>
        <v/>
      </c>
      <c r="Q14" s="27" t="str">
        <f>IF('Definició setup'!$C$6&lt;&gt;"",VLOOKUP('Definició setup'!$C$6,'Filtre Cameres'!$B$2:$T$65,Q27,FALSE),"")</f>
        <v/>
      </c>
      <c r="R14" s="27" t="str">
        <f>IF('Definició setup'!$C$6&lt;&gt;"",VLOOKUP('Definició setup'!$C$6,'Filtre Cameres'!$B$2:$T$65,R27,FALSE),"")</f>
        <v/>
      </c>
      <c r="S14" s="27" t="str">
        <f>IF('Definició setup'!$C$6&lt;&gt;"",VLOOKUP('Definició setup'!$C$6,'Filtre Cameres'!$B$2:$T$65,S27,FALSE),"")</f>
        <v/>
      </c>
      <c r="T14" s="27" t="str">
        <f>IF('Definició setup'!$C$6&lt;&gt;"",VLOOKUP('Definició setup'!$C$6,'Filtre Cameres'!$B$2:$T$65,T27,FALSE),"")</f>
        <v/>
      </c>
    </row>
    <row r="17" spans="2:20" x14ac:dyDescent="0.25">
      <c r="B17" s="127" t="s">
        <v>97</v>
      </c>
      <c r="C17" s="128"/>
      <c r="D17" s="128"/>
      <c r="E17" s="128"/>
      <c r="F17" s="128"/>
      <c r="G17" s="128"/>
      <c r="H17" s="128"/>
      <c r="I17" s="128"/>
      <c r="J17" s="128"/>
    </row>
    <row r="18" spans="2:20" ht="45" customHeight="1" x14ac:dyDescent="0.25">
      <c r="B18" s="2">
        <f>'Filtre Òptiques'!B1</f>
        <v>0</v>
      </c>
      <c r="C18" s="2">
        <f>'Filtre Òptiques'!C1</f>
        <v>0</v>
      </c>
      <c r="D18" s="2">
        <f>'Filtre Òptiques'!D1</f>
        <v>0</v>
      </c>
      <c r="E18" s="2">
        <f>'Filtre Òptiques'!E1</f>
        <v>0</v>
      </c>
      <c r="F18" s="2">
        <f>'Filtre Òptiques'!F1</f>
        <v>0</v>
      </c>
      <c r="G18" s="2">
        <f>'Filtre Òptiques'!G1</f>
        <v>0</v>
      </c>
      <c r="H18" s="2">
        <f>'Filtre Òptiques'!H1</f>
        <v>0</v>
      </c>
      <c r="I18" s="2">
        <f>'Filtre Òptiques'!I1</f>
        <v>0</v>
      </c>
      <c r="J18" s="2">
        <f>'Filtre Òptiques'!J1</f>
        <v>0</v>
      </c>
    </row>
    <row r="19" spans="2:20" x14ac:dyDescent="0.25">
      <c r="B19" s="27" t="e">
        <f>IF('Definició setup'!$C$14&lt;&gt;"",VLOOKUP('Definició setup'!$C$14,'Filtre Òptiques'!$B$2:$J$512,B27,FALSE),"")</f>
        <v>#N/A</v>
      </c>
      <c r="C19" s="27" t="e">
        <f>IF('Definició setup'!$C$14&lt;&gt;"",VLOOKUP('Definició setup'!$C$14,'Filtre Òptiques'!$B$2:$J$512,C27,FALSE),"")</f>
        <v>#N/A</v>
      </c>
      <c r="D19" s="27" t="e">
        <f>IF('Definició setup'!$C$14&lt;&gt;"",VLOOKUP('Definició setup'!$C$14,'Filtre Òptiques'!$B$2:$J$512,D27,FALSE),"")</f>
        <v>#N/A</v>
      </c>
      <c r="E19" s="27" t="e">
        <f>IF('Definició setup'!$C$14&lt;&gt;"",VLOOKUP('Definició setup'!$C$14,'Filtre Òptiques'!$B$2:$J$512,E27,FALSE),"")</f>
        <v>#N/A</v>
      </c>
      <c r="F19" s="27" t="e">
        <f>IF('Definició setup'!$C$14&lt;&gt;"",VLOOKUP('Definició setup'!$C$14,'Filtre Òptiques'!$B$2:$J$512,F27,FALSE),"")</f>
        <v>#N/A</v>
      </c>
      <c r="G19" s="27" t="e">
        <f>IF('Definició setup'!$C$14&lt;&gt;"",VLOOKUP('Definició setup'!$C$14,'Filtre Òptiques'!$B$2:$J$512,G27,FALSE),"")</f>
        <v>#N/A</v>
      </c>
      <c r="H19" s="27" t="e">
        <f>IF('Definició setup'!$C$14&lt;&gt;"",VLOOKUP('Definició setup'!$C$14,'Filtre Òptiques'!$B$2:$J$512,H27,FALSE),"")</f>
        <v>#N/A</v>
      </c>
      <c r="I19" s="27" t="e">
        <f>IF('Definició setup'!$C$14&lt;&gt;"",VLOOKUP('Definició setup'!$C$14,'Filtre Òptiques'!$B$2:$J$512,I27,FALSE),"")</f>
        <v>#N/A</v>
      </c>
      <c r="J19" s="27" t="e">
        <f>IF('Definició setup'!$C$14&lt;&gt;"",VLOOKUP('Definició setup'!$C$14,'Filtre Òptiques'!$B$2:$J$512,J27,FALSE),"")</f>
        <v>#N/A</v>
      </c>
    </row>
    <row r="22" spans="2:20" x14ac:dyDescent="0.25">
      <c r="C22" s="2" t="s">
        <v>103</v>
      </c>
      <c r="D22" s="27">
        <f>'Definició setup'!$C$19</f>
        <v>4</v>
      </c>
    </row>
    <row r="26" spans="2:20" x14ac:dyDescent="0.25">
      <c r="B26" s="129" t="s">
        <v>210</v>
      </c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  <c r="P26" s="130"/>
      <c r="Q26" s="130"/>
      <c r="R26" s="130"/>
      <c r="S26" s="130"/>
      <c r="T26" s="130"/>
    </row>
    <row r="27" spans="2:20" x14ac:dyDescent="0.25">
      <c r="B27" s="2">
        <v>1</v>
      </c>
      <c r="C27" s="2">
        <v>2</v>
      </c>
      <c r="D27" s="2">
        <v>3</v>
      </c>
      <c r="E27" s="2">
        <v>4</v>
      </c>
      <c r="F27" s="2">
        <v>5</v>
      </c>
      <c r="G27" s="2">
        <v>6</v>
      </c>
      <c r="H27" s="2">
        <v>7</v>
      </c>
      <c r="I27" s="2">
        <v>8</v>
      </c>
      <c r="J27" s="2">
        <v>9</v>
      </c>
      <c r="K27" s="2">
        <v>10</v>
      </c>
      <c r="L27" s="2">
        <v>11</v>
      </c>
      <c r="M27" s="2">
        <v>12</v>
      </c>
      <c r="N27" s="2">
        <v>13</v>
      </c>
      <c r="O27" s="2">
        <v>14</v>
      </c>
      <c r="P27" s="2">
        <v>15</v>
      </c>
      <c r="Q27" s="2">
        <v>16</v>
      </c>
      <c r="R27" s="2">
        <v>17</v>
      </c>
      <c r="S27" s="2">
        <v>18</v>
      </c>
      <c r="T27" s="2">
        <v>19</v>
      </c>
    </row>
  </sheetData>
  <mergeCells count="3">
    <mergeCell ref="B12:T12"/>
    <mergeCell ref="B17:J17"/>
    <mergeCell ref="B26:T2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4EA6C-8405-403E-AA08-ADA31A8E9330}">
  <sheetPr codeName="Full5"/>
  <dimension ref="A2:I16"/>
  <sheetViews>
    <sheetView workbookViewId="0">
      <selection activeCell="D11" sqref="D11"/>
    </sheetView>
  </sheetViews>
  <sheetFormatPr defaultColWidth="11.5703125" defaultRowHeight="15" x14ac:dyDescent="0.25"/>
  <cols>
    <col min="1" max="1" width="12.5703125" customWidth="1"/>
    <col min="2" max="3" width="13" customWidth="1"/>
    <col min="4" max="4" width="23.5703125" style="9" customWidth="1"/>
    <col min="5" max="5" width="21.28515625" style="17" customWidth="1"/>
    <col min="6" max="6" width="19.7109375" customWidth="1"/>
    <col min="8" max="8" width="21.5703125" customWidth="1"/>
  </cols>
  <sheetData>
    <row r="2" spans="1:9" x14ac:dyDescent="0.25">
      <c r="A2" s="1" t="s">
        <v>131</v>
      </c>
      <c r="B2" s="1" t="s">
        <v>22</v>
      </c>
      <c r="C2" s="1" t="s">
        <v>147</v>
      </c>
      <c r="D2" s="18" t="s">
        <v>36</v>
      </c>
      <c r="E2" s="16" t="s">
        <v>87</v>
      </c>
      <c r="F2" s="1" t="s">
        <v>90</v>
      </c>
      <c r="G2" s="1" t="s">
        <v>105</v>
      </c>
      <c r="H2" s="1" t="s">
        <v>134</v>
      </c>
      <c r="I2" s="1" t="s">
        <v>200</v>
      </c>
    </row>
    <row r="3" spans="1:9" x14ac:dyDescent="0.25">
      <c r="A3" t="s">
        <v>132</v>
      </c>
      <c r="B3" t="s">
        <v>23</v>
      </c>
      <c r="C3" t="s">
        <v>149</v>
      </c>
      <c r="D3" s="9">
        <v>0.33333333333333331</v>
      </c>
      <c r="E3" s="17" t="s">
        <v>29</v>
      </c>
      <c r="F3" t="s">
        <v>127</v>
      </c>
      <c r="G3">
        <v>1</v>
      </c>
      <c r="H3" t="s">
        <v>136</v>
      </c>
      <c r="I3">
        <v>1.5</v>
      </c>
    </row>
    <row r="4" spans="1:9" x14ac:dyDescent="0.25">
      <c r="A4" t="s">
        <v>133</v>
      </c>
      <c r="B4" t="s">
        <v>21</v>
      </c>
      <c r="C4" t="s">
        <v>150</v>
      </c>
      <c r="D4" s="9">
        <v>0.5</v>
      </c>
      <c r="E4" s="17" t="s">
        <v>30</v>
      </c>
      <c r="F4" t="s">
        <v>91</v>
      </c>
      <c r="G4">
        <v>1.2</v>
      </c>
      <c r="H4" t="s">
        <v>135</v>
      </c>
    </row>
    <row r="5" spans="1:9" x14ac:dyDescent="0.25">
      <c r="D5" s="9">
        <f>1/1.8</f>
        <v>0.55555555555555558</v>
      </c>
      <c r="E5" s="17" t="s">
        <v>28</v>
      </c>
      <c r="G5">
        <v>1.4</v>
      </c>
    </row>
    <row r="6" spans="1:9" x14ac:dyDescent="0.25">
      <c r="D6" s="9">
        <f>2/3</f>
        <v>0.66666666666666663</v>
      </c>
      <c r="E6" s="17" t="s">
        <v>31</v>
      </c>
      <c r="G6">
        <v>1.6</v>
      </c>
    </row>
    <row r="7" spans="1:9" x14ac:dyDescent="0.25">
      <c r="D7" s="9">
        <f>1/1.2</f>
        <v>0.83333333333333337</v>
      </c>
      <c r="E7" s="17" t="s">
        <v>32</v>
      </c>
      <c r="G7">
        <v>1.8</v>
      </c>
    </row>
    <row r="8" spans="1:9" x14ac:dyDescent="0.25">
      <c r="D8" s="9">
        <f>1</f>
        <v>1</v>
      </c>
      <c r="E8" s="17" t="s">
        <v>33</v>
      </c>
      <c r="G8">
        <v>2</v>
      </c>
    </row>
    <row r="9" spans="1:9" x14ac:dyDescent="0.25">
      <c r="D9" s="9">
        <v>1.1000000000000001</v>
      </c>
      <c r="E9" s="17" t="s">
        <v>34</v>
      </c>
      <c r="G9">
        <v>3</v>
      </c>
    </row>
    <row r="10" spans="1:9" x14ac:dyDescent="0.25">
      <c r="D10" s="9">
        <f>4/3</f>
        <v>1.3333333333333333</v>
      </c>
      <c r="E10" s="17" t="s">
        <v>35</v>
      </c>
      <c r="G10">
        <v>4</v>
      </c>
    </row>
    <row r="11" spans="1:9" x14ac:dyDescent="0.25">
      <c r="D11" s="9">
        <v>1.69</v>
      </c>
      <c r="E11" s="17" t="s">
        <v>198</v>
      </c>
      <c r="G11">
        <v>6</v>
      </c>
    </row>
    <row r="12" spans="1:9" x14ac:dyDescent="0.25">
      <c r="G12">
        <v>8</v>
      </c>
    </row>
    <row r="13" spans="1:9" x14ac:dyDescent="0.25">
      <c r="G13">
        <v>10</v>
      </c>
    </row>
    <row r="14" spans="1:9" x14ac:dyDescent="0.25">
      <c r="G14">
        <v>12</v>
      </c>
    </row>
    <row r="15" spans="1:9" x14ac:dyDescent="0.25">
      <c r="G15">
        <v>14</v>
      </c>
    </row>
    <row r="16" spans="1:9" x14ac:dyDescent="0.25">
      <c r="G16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D2C45-8649-464A-B183-0E9FEED7BEA5}">
  <sheetPr codeName="Full6"/>
  <dimension ref="B1:T58"/>
  <sheetViews>
    <sheetView workbookViewId="0">
      <selection activeCell="G27" sqref="G27"/>
    </sheetView>
  </sheetViews>
  <sheetFormatPr defaultColWidth="11.5703125" defaultRowHeight="15" x14ac:dyDescent="0.25"/>
  <cols>
    <col min="2" max="2" width="20.7109375" customWidth="1"/>
    <col min="3" max="3" width="34.140625" customWidth="1"/>
    <col min="4" max="19" width="20.7109375" customWidth="1"/>
    <col min="20" max="20" width="12.7109375" customWidth="1"/>
  </cols>
  <sheetData>
    <row r="1" spans="2:20" ht="30" x14ac:dyDescent="0.25">
      <c r="B1" s="24" t="s">
        <v>1</v>
      </c>
      <c r="C1" s="24" t="s">
        <v>5</v>
      </c>
      <c r="D1" s="28" t="s">
        <v>6</v>
      </c>
      <c r="E1" s="24" t="s">
        <v>7</v>
      </c>
      <c r="F1" s="24" t="s">
        <v>8</v>
      </c>
      <c r="G1" s="24" t="s">
        <v>9</v>
      </c>
      <c r="H1" s="24" t="s">
        <v>147</v>
      </c>
      <c r="I1" s="24" t="s">
        <v>148</v>
      </c>
      <c r="J1" s="24" t="s">
        <v>134</v>
      </c>
      <c r="K1" s="29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30" t="s">
        <v>15</v>
      </c>
      <c r="Q1" s="24" t="s">
        <v>204</v>
      </c>
      <c r="R1" s="24" t="s">
        <v>16</v>
      </c>
      <c r="S1" s="24" t="s">
        <v>17</v>
      </c>
      <c r="T1" s="24" t="s">
        <v>27</v>
      </c>
    </row>
    <row r="2" spans="2:20" ht="15" customHeight="1" x14ac:dyDescent="0.25">
      <c r="B2" s="59" t="s">
        <v>160</v>
      </c>
      <c r="C2" s="59" t="s">
        <v>151</v>
      </c>
      <c r="D2" s="60">
        <v>6.9</v>
      </c>
      <c r="E2" s="59">
        <v>728</v>
      </c>
      <c r="F2" s="59">
        <v>544</v>
      </c>
      <c r="G2" s="59">
        <v>286</v>
      </c>
      <c r="H2" s="61" t="s">
        <v>149</v>
      </c>
      <c r="I2" s="61" t="s">
        <v>23</v>
      </c>
      <c r="J2" s="61" t="s">
        <v>136</v>
      </c>
      <c r="K2" s="62">
        <v>0.68</v>
      </c>
      <c r="L2" s="10">
        <f t="shared" ref="L2:L12" si="0">IF($D2&lt;&gt;"",$D2*$E2/1000,"")</f>
        <v>5.0232000000000001</v>
      </c>
      <c r="M2" s="10">
        <f t="shared" ref="M2:M12" si="1">IF($D2&lt;&gt;"",$D2*$F2/1000,"")</f>
        <v>3.7536000000000005</v>
      </c>
      <c r="N2" s="11">
        <f t="shared" ref="N2:N14" si="2">IF($L2&lt;&gt;"",SQRT($L2*$L2+$M2*$M2),"")</f>
        <v>6.2707297183023289</v>
      </c>
      <c r="O2" s="10">
        <f t="shared" ref="O2:O9" si="3">IF(D2&lt;&gt;"",1000/(2*D2),"")</f>
        <v>72.463768115942031</v>
      </c>
      <c r="P2" s="12">
        <f t="shared" ref="P2:P9" si="4">IF($N2&lt;&gt;"",D2*SQRT(E2*E2+F2*F2)/16000,"")</f>
        <v>0.39192060739389556</v>
      </c>
      <c r="Q2" s="10">
        <f t="shared" ref="Q2:Q9" si="5">IF(F2&lt;&gt;"",F2*E2/1000000,"")</f>
        <v>0.396032</v>
      </c>
      <c r="R2" s="13">
        <f t="shared" ref="R2:R9" si="6">IF(G2&lt;&gt;"",1000/G2,"")</f>
        <v>3.4965034965034967</v>
      </c>
      <c r="S2" s="13">
        <f t="shared" ref="S2:S14" si="7">IF(R2&lt;&gt;"",Q2/R2*1000,"")</f>
        <v>113.265152</v>
      </c>
      <c r="T2" s="22" t="str">
        <f>IF(R2&lt;&gt;"",VLOOKUP(P2,Constants!$D$3:$E$10,2),"")</f>
        <v>1/3</v>
      </c>
    </row>
    <row r="3" spans="2:20" ht="15" customHeight="1" x14ac:dyDescent="0.25">
      <c r="B3" s="59" t="s">
        <v>161</v>
      </c>
      <c r="C3" s="59" t="s">
        <v>152</v>
      </c>
      <c r="D3" s="60">
        <v>9</v>
      </c>
      <c r="E3" s="59">
        <v>812</v>
      </c>
      <c r="F3" s="59">
        <v>620</v>
      </c>
      <c r="G3" s="59">
        <v>166</v>
      </c>
      <c r="H3" s="61" t="s">
        <v>149</v>
      </c>
      <c r="I3" s="61" t="s">
        <v>23</v>
      </c>
      <c r="J3" s="61" t="s">
        <v>136</v>
      </c>
      <c r="K3" s="62">
        <v>0.73</v>
      </c>
      <c r="L3" s="10">
        <f t="shared" si="0"/>
        <v>7.3079999999999998</v>
      </c>
      <c r="M3" s="10">
        <f t="shared" si="1"/>
        <v>5.58</v>
      </c>
      <c r="N3" s="11">
        <f t="shared" si="2"/>
        <v>9.1947411056538186</v>
      </c>
      <c r="O3" s="10">
        <f t="shared" si="3"/>
        <v>55.555555555555557</v>
      </c>
      <c r="P3" s="12">
        <f t="shared" si="4"/>
        <v>0.57467131910336366</v>
      </c>
      <c r="Q3" s="10">
        <f t="shared" si="5"/>
        <v>0.50344</v>
      </c>
      <c r="R3" s="13">
        <f t="shared" si="6"/>
        <v>6.024096385542169</v>
      </c>
      <c r="S3" s="13">
        <f t="shared" si="7"/>
        <v>83.571039999999996</v>
      </c>
      <c r="T3" s="22" t="str">
        <f>IF(R3&lt;&gt;"",VLOOKUP(P3,Constants!$D$3:$E$10,2),"")</f>
        <v>1/1,8</v>
      </c>
    </row>
    <row r="4" spans="2:20" ht="15" customHeight="1" x14ac:dyDescent="0.25">
      <c r="B4" s="59" t="s">
        <v>162</v>
      </c>
      <c r="C4" s="59" t="s">
        <v>153</v>
      </c>
      <c r="D4" s="60">
        <v>3.45</v>
      </c>
      <c r="E4" s="59">
        <v>1440</v>
      </c>
      <c r="F4" s="59">
        <v>1080</v>
      </c>
      <c r="G4" s="59">
        <v>71.599999999999994</v>
      </c>
      <c r="H4" s="61" t="s">
        <v>149</v>
      </c>
      <c r="I4" s="61" t="s">
        <v>23</v>
      </c>
      <c r="J4" s="61" t="s">
        <v>136</v>
      </c>
      <c r="K4" s="62">
        <v>0.68</v>
      </c>
      <c r="L4" s="10">
        <f t="shared" si="0"/>
        <v>4.968</v>
      </c>
      <c r="M4" s="10">
        <f t="shared" si="1"/>
        <v>3.726</v>
      </c>
      <c r="N4" s="11">
        <f t="shared" si="2"/>
        <v>6.21</v>
      </c>
      <c r="O4" s="10">
        <f t="shared" si="3"/>
        <v>144.92753623188406</v>
      </c>
      <c r="P4" s="12">
        <f t="shared" si="4"/>
        <v>0.388125</v>
      </c>
      <c r="Q4" s="10">
        <f t="shared" si="5"/>
        <v>1.5551999999999999</v>
      </c>
      <c r="R4" s="13">
        <f t="shared" si="6"/>
        <v>13.966480446927376</v>
      </c>
      <c r="S4" s="13">
        <f t="shared" si="7"/>
        <v>111.35231999999998</v>
      </c>
      <c r="T4" s="22" t="str">
        <f>IF(R4&lt;&gt;"",VLOOKUP(P4,Constants!$D$3:$E$10,2),"")</f>
        <v>1/3</v>
      </c>
    </row>
    <row r="5" spans="2:20" ht="15" customHeight="1" x14ac:dyDescent="0.25">
      <c r="B5" s="59" t="s">
        <v>163</v>
      </c>
      <c r="C5" s="59" t="s">
        <v>154</v>
      </c>
      <c r="D5" s="60">
        <v>3.45</v>
      </c>
      <c r="E5" s="59">
        <v>1920</v>
      </c>
      <c r="F5" s="59">
        <v>1200</v>
      </c>
      <c r="G5" s="59">
        <v>48.3</v>
      </c>
      <c r="H5" s="61" t="s">
        <v>149</v>
      </c>
      <c r="I5" s="61" t="s">
        <v>23</v>
      </c>
      <c r="J5" s="61" t="s">
        <v>136</v>
      </c>
      <c r="K5" s="62">
        <v>0.68</v>
      </c>
      <c r="L5" s="10">
        <f t="shared" si="0"/>
        <v>6.6239999999999997</v>
      </c>
      <c r="M5" s="10">
        <f t="shared" si="1"/>
        <v>4.1399999999999997</v>
      </c>
      <c r="N5" s="11">
        <f t="shared" si="2"/>
        <v>7.8113363773428679</v>
      </c>
      <c r="O5" s="10">
        <f t="shared" si="3"/>
        <v>144.92753623188406</v>
      </c>
      <c r="P5" s="12">
        <f t="shared" si="4"/>
        <v>0.48820852358392924</v>
      </c>
      <c r="Q5" s="10">
        <f t="shared" si="5"/>
        <v>2.3039999999999998</v>
      </c>
      <c r="R5" s="13">
        <f t="shared" si="6"/>
        <v>20.703933747412009</v>
      </c>
      <c r="S5" s="13">
        <f t="shared" si="7"/>
        <v>111.28319999999998</v>
      </c>
      <c r="T5" s="22" t="str">
        <f>IF(R5&lt;&gt;"",VLOOKUP(P5,Constants!$D$3:$E$10,2),"")</f>
        <v>1/3</v>
      </c>
    </row>
    <row r="6" spans="2:20" ht="15" customHeight="1" x14ac:dyDescent="0.25">
      <c r="B6" s="59" t="s">
        <v>164</v>
      </c>
      <c r="C6" s="59" t="s">
        <v>155</v>
      </c>
      <c r="D6" s="60">
        <v>4.5</v>
      </c>
      <c r="E6" s="59">
        <v>1936</v>
      </c>
      <c r="F6" s="59">
        <v>1464</v>
      </c>
      <c r="G6" s="59">
        <v>39.200000000000003</v>
      </c>
      <c r="H6" s="61" t="s">
        <v>149</v>
      </c>
      <c r="I6" s="61" t="s">
        <v>23</v>
      </c>
      <c r="J6" s="61" t="s">
        <v>136</v>
      </c>
      <c r="K6" s="62">
        <v>0.76</v>
      </c>
      <c r="L6" s="10">
        <f t="shared" si="0"/>
        <v>8.7119999999999997</v>
      </c>
      <c r="M6" s="10">
        <f t="shared" si="1"/>
        <v>6.5880000000000001</v>
      </c>
      <c r="N6" s="11">
        <f t="shared" si="2"/>
        <v>10.922485431439128</v>
      </c>
      <c r="O6" s="10">
        <f t="shared" si="3"/>
        <v>111.11111111111111</v>
      </c>
      <c r="P6" s="12">
        <f t="shared" si="4"/>
        <v>0.6826553394649455</v>
      </c>
      <c r="Q6" s="10">
        <f t="shared" si="5"/>
        <v>2.8343039999999999</v>
      </c>
      <c r="R6" s="13">
        <f t="shared" si="6"/>
        <v>25.510204081632651</v>
      </c>
      <c r="S6" s="13">
        <f t="shared" si="7"/>
        <v>111.10471680000001</v>
      </c>
      <c r="T6" s="22" t="str">
        <f>IF(R6&lt;&gt;"",VLOOKUP(P6,Constants!$D$3:$E$10,2),"")</f>
        <v>2/3</v>
      </c>
    </row>
    <row r="7" spans="2:20" ht="15" customHeight="1" x14ac:dyDescent="0.25">
      <c r="B7" s="59" t="s">
        <v>165</v>
      </c>
      <c r="C7" s="59" t="s">
        <v>156</v>
      </c>
      <c r="D7" s="60">
        <v>3.45</v>
      </c>
      <c r="E7" s="59">
        <v>2048</v>
      </c>
      <c r="F7" s="59">
        <v>1536</v>
      </c>
      <c r="G7" s="59">
        <v>35.4</v>
      </c>
      <c r="H7" s="61" t="s">
        <v>149</v>
      </c>
      <c r="I7" s="61" t="s">
        <v>23</v>
      </c>
      <c r="J7" s="61" t="s">
        <v>136</v>
      </c>
      <c r="K7" s="62">
        <v>0.68</v>
      </c>
      <c r="L7" s="10">
        <f t="shared" si="0"/>
        <v>7.0656000000000008</v>
      </c>
      <c r="M7" s="10">
        <f t="shared" si="1"/>
        <v>5.2992000000000008</v>
      </c>
      <c r="N7" s="11">
        <f t="shared" si="2"/>
        <v>8.8320000000000007</v>
      </c>
      <c r="O7" s="10">
        <f t="shared" si="3"/>
        <v>144.92753623188406</v>
      </c>
      <c r="P7" s="12">
        <f t="shared" si="4"/>
        <v>0.55200000000000005</v>
      </c>
      <c r="Q7" s="10">
        <f t="shared" si="5"/>
        <v>3.1457280000000001</v>
      </c>
      <c r="R7" s="13">
        <f t="shared" si="6"/>
        <v>28.248587570621471</v>
      </c>
      <c r="S7" s="13">
        <f t="shared" si="7"/>
        <v>111.35877119999999</v>
      </c>
      <c r="T7" s="22" t="str">
        <f>IF(R7&lt;&gt;"",VLOOKUP(P7,Constants!$D$3:$E$10,2),"")</f>
        <v>1/2</v>
      </c>
    </row>
    <row r="8" spans="2:20" ht="15" customHeight="1" x14ac:dyDescent="0.25">
      <c r="B8" s="59" t="s">
        <v>166</v>
      </c>
      <c r="C8" s="59" t="s">
        <v>157</v>
      </c>
      <c r="D8" s="60">
        <v>3.45</v>
      </c>
      <c r="E8" s="59">
        <v>2448</v>
      </c>
      <c r="F8" s="59">
        <v>2048</v>
      </c>
      <c r="G8" s="59">
        <v>48.3</v>
      </c>
      <c r="H8" s="61" t="s">
        <v>149</v>
      </c>
      <c r="I8" s="61" t="s">
        <v>23</v>
      </c>
      <c r="J8" s="61" t="s">
        <v>136</v>
      </c>
      <c r="K8" s="62">
        <v>0.6</v>
      </c>
      <c r="L8" s="10">
        <f t="shared" si="0"/>
        <v>8.4456000000000007</v>
      </c>
      <c r="M8" s="10">
        <f t="shared" si="1"/>
        <v>7.0656000000000008</v>
      </c>
      <c r="N8" s="11">
        <f t="shared" si="2"/>
        <v>11.011396946800167</v>
      </c>
      <c r="O8" s="10">
        <f t="shared" si="3"/>
        <v>144.92753623188406</v>
      </c>
      <c r="P8" s="12">
        <f t="shared" si="4"/>
        <v>0.68821230917501031</v>
      </c>
      <c r="Q8" s="10">
        <f t="shared" si="5"/>
        <v>5.0135040000000002</v>
      </c>
      <c r="R8" s="13">
        <f t="shared" si="6"/>
        <v>20.703933747412009</v>
      </c>
      <c r="S8" s="13">
        <f t="shared" si="7"/>
        <v>242.15224320000002</v>
      </c>
      <c r="T8" s="22" t="str">
        <f>IF(R8&lt;&gt;"",VLOOKUP(P8,Constants!$D$3:$E$10,2),"")</f>
        <v>2/3</v>
      </c>
    </row>
    <row r="9" spans="2:20" ht="15" customHeight="1" x14ac:dyDescent="0.25">
      <c r="B9" s="59" t="s">
        <v>166</v>
      </c>
      <c r="C9" s="59" t="s">
        <v>158</v>
      </c>
      <c r="D9" s="60">
        <v>2.74</v>
      </c>
      <c r="E9" s="59">
        <v>2448</v>
      </c>
      <c r="F9" s="59">
        <v>2048</v>
      </c>
      <c r="G9" s="59">
        <v>22</v>
      </c>
      <c r="H9" s="61" t="s">
        <v>149</v>
      </c>
      <c r="I9" s="61" t="s">
        <v>23</v>
      </c>
      <c r="J9" s="61" t="s">
        <v>136</v>
      </c>
      <c r="K9" s="62">
        <v>0.7</v>
      </c>
      <c r="L9" s="10">
        <f t="shared" si="0"/>
        <v>6.7075200000000006</v>
      </c>
      <c r="M9" s="10">
        <f t="shared" si="1"/>
        <v>5.6115200000000005</v>
      </c>
      <c r="N9" s="11">
        <f t="shared" si="2"/>
        <v>8.7452833722412908</v>
      </c>
      <c r="O9" s="10">
        <f t="shared" si="3"/>
        <v>182.48175182481751</v>
      </c>
      <c r="P9" s="12">
        <f t="shared" si="4"/>
        <v>0.54658021076508068</v>
      </c>
      <c r="Q9" s="10">
        <f t="shared" si="5"/>
        <v>5.0135040000000002</v>
      </c>
      <c r="R9" s="13">
        <f t="shared" si="6"/>
        <v>45.454545454545453</v>
      </c>
      <c r="S9" s="13">
        <f t="shared" si="7"/>
        <v>110.297088</v>
      </c>
      <c r="T9" s="22" t="str">
        <f>IF(R9&lt;&gt;"",VLOOKUP(P9,Constants!$D$3:$E$10,2),"")</f>
        <v>1/2</v>
      </c>
    </row>
    <row r="10" spans="2:20" ht="15" customHeight="1" x14ac:dyDescent="0.25">
      <c r="B10" s="59" t="s">
        <v>111</v>
      </c>
      <c r="C10" s="59" t="s">
        <v>144</v>
      </c>
      <c r="D10" s="60">
        <v>3.45</v>
      </c>
      <c r="E10" s="59">
        <v>1440</v>
      </c>
      <c r="F10" s="59">
        <v>1080</v>
      </c>
      <c r="G10" s="59">
        <v>73</v>
      </c>
      <c r="H10" s="61" t="s">
        <v>149</v>
      </c>
      <c r="I10" s="61" t="s">
        <v>23</v>
      </c>
      <c r="J10" s="61" t="s">
        <v>136</v>
      </c>
      <c r="K10" s="62">
        <v>0.7</v>
      </c>
      <c r="L10" s="10">
        <f t="shared" si="0"/>
        <v>4.968</v>
      </c>
      <c r="M10" s="10">
        <f t="shared" si="1"/>
        <v>3.726</v>
      </c>
      <c r="N10" s="11">
        <f t="shared" si="2"/>
        <v>6.21</v>
      </c>
      <c r="O10" s="10">
        <f>IF(D10&lt;&gt;"",1000/(2*D10),"")</f>
        <v>144.92753623188406</v>
      </c>
      <c r="P10" s="12">
        <f>IF($N10&lt;&gt;"",D10*SQRT(E10*E10+F10*F10)/16000,"")</f>
        <v>0.388125</v>
      </c>
      <c r="Q10" s="10">
        <f>IF(F10&lt;&gt;"",F10*E10/1000000,"")</f>
        <v>1.5551999999999999</v>
      </c>
      <c r="R10" s="13">
        <f>IF(G10&lt;&gt;"",1000/G10,"")</f>
        <v>13.698630136986301</v>
      </c>
      <c r="S10" s="13">
        <f t="shared" si="7"/>
        <v>113.52959999999999</v>
      </c>
      <c r="T10" s="22" t="str">
        <f>IF(R10&lt;&gt;"",VLOOKUP(P10,Constants!$D$3:$E$10,2),"")</f>
        <v>1/3</v>
      </c>
    </row>
    <row r="11" spans="2:20" ht="15" customHeight="1" x14ac:dyDescent="0.25">
      <c r="B11" s="59" t="s">
        <v>113</v>
      </c>
      <c r="C11" s="59" t="s">
        <v>142</v>
      </c>
      <c r="D11" s="60">
        <v>5.86</v>
      </c>
      <c r="E11" s="59">
        <v>1920</v>
      </c>
      <c r="F11" s="59">
        <v>1080</v>
      </c>
      <c r="G11" s="59">
        <v>42</v>
      </c>
      <c r="H11" s="61" t="s">
        <v>149</v>
      </c>
      <c r="I11" s="61" t="s">
        <v>23</v>
      </c>
      <c r="J11" s="61" t="s">
        <v>136</v>
      </c>
      <c r="K11" s="62">
        <v>0.8</v>
      </c>
      <c r="L11" s="10">
        <f t="shared" si="0"/>
        <v>11.251200000000001</v>
      </c>
      <c r="M11" s="10">
        <f t="shared" si="1"/>
        <v>6.3288000000000002</v>
      </c>
      <c r="N11" s="11">
        <f t="shared" si="2"/>
        <v>12.909036016682268</v>
      </c>
      <c r="O11" s="10">
        <f>IF(D11&lt;&gt;"",1000/(2*D11),"")</f>
        <v>85.324232081911262</v>
      </c>
      <c r="P11" s="12">
        <f>IF($N11&lt;&gt;"",D11*SQRT(E11*E11+F11*F11)/16000,"")</f>
        <v>0.80681475104264178</v>
      </c>
      <c r="Q11" s="10">
        <f>IF(F11&lt;&gt;"",F11*E11/1000000,"")</f>
        <v>2.0735999999999999</v>
      </c>
      <c r="R11" s="13">
        <f>IF(G11&lt;&gt;"",1000/G11,"")</f>
        <v>23.80952380952381</v>
      </c>
      <c r="S11" s="13">
        <f t="shared" si="7"/>
        <v>87.091200000000001</v>
      </c>
      <c r="T11" s="22" t="str">
        <f>IF(R11&lt;&gt;"",VLOOKUP(P11,Constants!$D$3:$E$10,2),"")</f>
        <v>2/3</v>
      </c>
    </row>
    <row r="12" spans="2:20" ht="15" customHeight="1" x14ac:dyDescent="0.25">
      <c r="B12" s="59" t="s">
        <v>115</v>
      </c>
      <c r="C12" s="59" t="s">
        <v>140</v>
      </c>
      <c r="D12" s="60">
        <v>3.45</v>
      </c>
      <c r="E12" s="59">
        <v>2448</v>
      </c>
      <c r="F12" s="59">
        <v>2048</v>
      </c>
      <c r="G12" s="59">
        <v>23</v>
      </c>
      <c r="H12" s="61" t="s">
        <v>149</v>
      </c>
      <c r="I12" s="61" t="s">
        <v>23</v>
      </c>
      <c r="J12" s="61" t="s">
        <v>136</v>
      </c>
      <c r="K12" s="62">
        <v>0.8</v>
      </c>
      <c r="L12" s="10">
        <f t="shared" si="0"/>
        <v>8.4456000000000007</v>
      </c>
      <c r="M12" s="10">
        <f t="shared" si="1"/>
        <v>7.0656000000000008</v>
      </c>
      <c r="N12" s="11">
        <f t="shared" si="2"/>
        <v>11.011396946800167</v>
      </c>
      <c r="O12" s="10">
        <f>IF(D12&lt;&gt;"",1000/(2*D12),"")</f>
        <v>144.92753623188406</v>
      </c>
      <c r="P12" s="12">
        <f>IF($N12&lt;&gt;"",D12*SQRT(E12*E12+F12*F12)/16000,"")</f>
        <v>0.68821230917501031</v>
      </c>
      <c r="Q12" s="10">
        <f>IF(F12&lt;&gt;"",F12*E12/1000000,"")</f>
        <v>5.0135040000000002</v>
      </c>
      <c r="R12" s="13">
        <f>IF(G12&lt;&gt;"",1000/G12,"")</f>
        <v>43.478260869565219</v>
      </c>
      <c r="S12" s="13">
        <f t="shared" si="7"/>
        <v>115.310592</v>
      </c>
      <c r="T12" s="22" t="str">
        <f>IF(R12&lt;&gt;"",VLOOKUP(P12,Constants!$D$3:$E$10,2),"")</f>
        <v>2/3</v>
      </c>
    </row>
    <row r="13" spans="2:20" ht="15" customHeight="1" x14ac:dyDescent="0.25">
      <c r="B13" s="59" t="s">
        <v>221</v>
      </c>
      <c r="C13" s="59" t="s">
        <v>222</v>
      </c>
      <c r="D13" s="60">
        <v>2.2000000000000002</v>
      </c>
      <c r="E13" s="59">
        <v>2590</v>
      </c>
      <c r="F13" s="59">
        <v>1942</v>
      </c>
      <c r="G13" s="59">
        <v>14</v>
      </c>
      <c r="H13" s="61" t="s">
        <v>150</v>
      </c>
      <c r="I13" s="61" t="s">
        <v>23</v>
      </c>
      <c r="J13" s="61" t="s">
        <v>136</v>
      </c>
      <c r="K13" s="62">
        <v>0.8</v>
      </c>
      <c r="L13" s="10" t="str">
        <f>IF($D15&lt;&gt;"",$D15*$E15/1000,"")</f>
        <v/>
      </c>
      <c r="M13" s="10" t="str">
        <f>IF($D15&lt;&gt;"",$D15*$F15/1000,"")</f>
        <v/>
      </c>
      <c r="N13" s="11" t="str">
        <f t="shared" si="2"/>
        <v/>
      </c>
      <c r="O13" s="10" t="str">
        <f>IF(D15&lt;&gt;"",1000/(2*D15),"")</f>
        <v/>
      </c>
      <c r="P13" s="12" t="str">
        <f>IF($N13&lt;&gt;"",D15*SQRT(E15*E15+F15*F15)/16000,"")</f>
        <v/>
      </c>
      <c r="Q13" s="10" t="str">
        <f>IF(F15&lt;&gt;"",F15*E15/1000000,"")</f>
        <v/>
      </c>
      <c r="R13" s="13" t="str">
        <f>IF(G15&lt;&gt;"",1000/G15,"")</f>
        <v/>
      </c>
      <c r="S13" s="13" t="str">
        <f t="shared" si="7"/>
        <v/>
      </c>
      <c r="T13" s="22" t="str">
        <f>IF(R13&lt;&gt;"",VLOOKUP(P13,Constants!$D$3:$E$10,2),"")</f>
        <v/>
      </c>
    </row>
    <row r="14" spans="2:20" ht="15" customHeight="1" x14ac:dyDescent="0.25">
      <c r="B14" s="59" t="s">
        <v>146</v>
      </c>
      <c r="C14" s="59" t="s">
        <v>145</v>
      </c>
      <c r="D14" s="60">
        <v>2.4</v>
      </c>
      <c r="E14" s="59">
        <v>5472</v>
      </c>
      <c r="F14" s="59">
        <v>3648</v>
      </c>
      <c r="G14" s="59">
        <v>5</v>
      </c>
      <c r="H14" s="61" t="s">
        <v>150</v>
      </c>
      <c r="I14" s="61" t="s">
        <v>23</v>
      </c>
      <c r="J14" s="61" t="s">
        <v>136</v>
      </c>
      <c r="K14" s="62">
        <v>0.8</v>
      </c>
      <c r="L14" s="10" t="e">
        <f>IF(#REF!&lt;&gt;"",#REF!*#REF!/1000,"")</f>
        <v>#REF!</v>
      </c>
      <c r="M14" s="10" t="e">
        <f>IF(#REF!&lt;&gt;"",#REF!*#REF!/1000,"")</f>
        <v>#REF!</v>
      </c>
      <c r="N14" s="11" t="e">
        <f t="shared" si="2"/>
        <v>#REF!</v>
      </c>
      <c r="O14" s="10" t="e">
        <f>IF(#REF!&lt;&gt;"",1000/(2*#REF!),"")</f>
        <v>#REF!</v>
      </c>
      <c r="P14" s="12" t="e">
        <f>IF($N14&lt;&gt;"",#REF!*SQRT(#REF!*#REF!+#REF!*#REF!)/16000,"")</f>
        <v>#REF!</v>
      </c>
      <c r="Q14" s="10" t="e">
        <f>IF(#REF!&lt;&gt;"",#REF!*#REF!/1000000,"")</f>
        <v>#REF!</v>
      </c>
      <c r="R14" s="13" t="e">
        <f>IF(#REF!&lt;&gt;"",1000/#REF!,"")</f>
        <v>#REF!</v>
      </c>
      <c r="S14" s="13" t="e">
        <f t="shared" si="7"/>
        <v>#REF!</v>
      </c>
      <c r="T14" s="22" t="e">
        <f>IF(R14&lt;&gt;"",VLOOKUP(P14,Constants!$D$3:$E$10,2),"")</f>
        <v>#REF!</v>
      </c>
    </row>
    <row r="15" spans="2:20" ht="15" customHeight="1" x14ac:dyDescent="0.25"/>
    <row r="16" spans="2:20" ht="15" customHeight="1" x14ac:dyDescent="0.25"/>
    <row r="17" ht="15" customHeight="1" x14ac:dyDescent="0.25"/>
    <row r="18" ht="15" customHeight="1" x14ac:dyDescent="0.25"/>
    <row r="19" ht="15" customHeight="1" x14ac:dyDescent="0.25"/>
    <row r="20" ht="15" customHeight="1" x14ac:dyDescent="0.25"/>
    <row r="21" ht="15" customHeight="1" x14ac:dyDescent="0.25"/>
    <row r="22" ht="15" customHeight="1" x14ac:dyDescent="0.25"/>
    <row r="23" ht="15" customHeight="1" x14ac:dyDescent="0.25"/>
    <row r="24" ht="15" customHeight="1" x14ac:dyDescent="0.25"/>
    <row r="25" ht="15" customHeight="1" x14ac:dyDescent="0.25"/>
    <row r="26" ht="15" customHeight="1" x14ac:dyDescent="0.25"/>
    <row r="27" ht="15" customHeight="1" x14ac:dyDescent="0.25"/>
    <row r="28" ht="15" customHeight="1" x14ac:dyDescent="0.25"/>
    <row r="29" ht="15" customHeight="1" x14ac:dyDescent="0.25"/>
    <row r="30" ht="15" customHeight="1" x14ac:dyDescent="0.25"/>
    <row r="31" ht="15" customHeight="1" x14ac:dyDescent="0.25"/>
    <row r="32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605AD591-F0B5-498C-9991-B17394546E2F}">
          <x14:formula1>
            <xm:f>Constants!$B$3:$B$5</xm:f>
          </x14:formula1>
          <xm:sqref>I1:I12 I14</xm:sqref>
        </x14:dataValidation>
        <x14:dataValidation type="list" allowBlank="1" showInputMessage="1" showErrorMessage="1" xr:uid="{EF076BE2-4E13-45C6-9E4E-E69C917AD3E0}">
          <x14:formula1>
            <xm:f>Constants!$C$3:$C$4</xm:f>
          </x14:formula1>
          <xm:sqref>H1:H12 H14</xm:sqref>
        </x14:dataValidation>
        <x14:dataValidation type="list" allowBlank="1" showInputMessage="1" showErrorMessage="1" xr:uid="{7F2ED664-50CF-4510-81AC-FB7905EF1133}">
          <x14:formula1>
            <xm:f>Constants!$H$3:$H$4</xm:f>
          </x14:formula1>
          <xm:sqref>J2:J12 J14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2815-0DF1-4BB5-82AB-7F6894DDBCD3}">
  <sheetPr codeName="Full8"/>
  <dimension ref="A1"/>
  <sheetViews>
    <sheetView workbookViewId="0">
      <selection activeCell="F3" sqref="F3"/>
    </sheetView>
  </sheetViews>
  <sheetFormatPr defaultColWidth="11.5703125" defaultRowHeight="15" x14ac:dyDescent="0.25"/>
  <cols>
    <col min="2" max="2" width="20.7109375" customWidth="1"/>
    <col min="3" max="3" width="52.28515625" customWidth="1"/>
    <col min="4" max="4" width="18.85546875" customWidth="1"/>
    <col min="5" max="7" width="20.7109375" customWidth="1"/>
    <col min="8" max="8" width="12.85546875" customWidth="1"/>
    <col min="9" max="9" width="16.7109375" customWidth="1"/>
    <col min="10" max="10" width="17" customWidth="1"/>
  </cols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992BD90E2E0774FA157B323D0716EFB" ma:contentTypeVersion="19" ma:contentTypeDescription="Crear nuevo documento." ma:contentTypeScope="" ma:versionID="725704ab4a472d3413a192c1665bde13">
  <xsd:schema xmlns:xsd="http://www.w3.org/2001/XMLSchema" xmlns:xs="http://www.w3.org/2001/XMLSchema" xmlns:p="http://schemas.microsoft.com/office/2006/metadata/properties" xmlns:ns2="91ed702d-9342-4c03-bc9a-06435ddae9f8" xmlns:ns3="9af4ca78-c068-4371-97b7-fa4276bad4c5" targetNamespace="http://schemas.microsoft.com/office/2006/metadata/properties" ma:root="true" ma:fieldsID="b82d67f42df33737b1d4d41901567251" ns2:_="" ns3:_="">
    <xsd:import namespace="91ed702d-9342-4c03-bc9a-06435ddae9f8"/>
    <xsd:import namespace="9af4ca78-c068-4371-97b7-fa4276bad4c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ed702d-9342-4c03-bc9a-06435ddae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Etiquetas de imagen" ma:readOnly="false" ma:fieldId="{5cf76f15-5ced-4ddc-b409-7134ff3c332f}" ma:taxonomyMulti="true" ma:sspId="12573a36-b3bc-428c-b76e-477d369ca8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f4ca78-c068-4371-97b7-fa4276bad4c5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d732aae9-e8f7-4c14-b2a6-a0f142d83679}" ma:internalName="TaxCatchAll" ma:showField="CatchAllData" ma:web="9af4ca78-c068-4371-97b7-fa4276bad4c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f4ca78-c068-4371-97b7-fa4276bad4c5" xsi:nil="true"/>
    <lcf76f155ced4ddcb4097134ff3c332f xmlns="91ed702d-9342-4c03-bc9a-06435ddae9f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3AF05707-34DD-414F-84AD-505368F43C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ed702d-9342-4c03-bc9a-06435ddae9f8"/>
    <ds:schemaRef ds:uri="9af4ca78-c068-4371-97b7-fa4276bad4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E1E1AF-69AB-4C26-A290-200908AA6D5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BB32B1-2F11-4C9A-A2EA-E430C8557103}">
  <ds:schemaRefs>
    <ds:schemaRef ds:uri="91ed702d-9342-4c03-bc9a-06435ddae9f8"/>
    <ds:schemaRef ds:uri="9af4ca78-c068-4371-97b7-fa4276bad4c5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Habilitar 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 Bramon</dc:creator>
  <cp:lastModifiedBy>Carlos Palou de Comasema Buñola</cp:lastModifiedBy>
  <dcterms:created xsi:type="dcterms:W3CDTF">2015-06-05T18:19:34Z</dcterms:created>
  <dcterms:modified xsi:type="dcterms:W3CDTF">2026-01-22T12:01:51Z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0x0101000992BD90E2E0774FA157B323D0716EFB</vt:lpwstr>
  </property>
  <property fmtid="{D5CDD505-2E9C-101B-9397-08002B2CF9AE}" pid="3" name="MediaServiceImageTags">
    <vt:lpwstr/>
  </property>
</Properties>
</file>